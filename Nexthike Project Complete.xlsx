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ubhashree Mohanty\Desktop\"/>
    </mc:Choice>
  </mc:AlternateContent>
  <xr:revisionPtr revIDLastSave="0" documentId="13_ncr:1_{39CD0E07-FF95-4F6F-B385-8755DB77A2EA}" xr6:coauthVersionLast="47" xr6:coauthVersionMax="47" xr10:uidLastSave="{00000000-0000-0000-0000-000000000000}"/>
  <bookViews>
    <workbookView xWindow="-108" yWindow="-108" windowWidth="23256" windowHeight="12456" firstSheet="7" activeTab="14" xr2:uid="{00000000-000D-0000-FFFF-FFFF00000000}"/>
  </bookViews>
  <sheets>
    <sheet name="dataset_1" sheetId="3" r:id="rId1"/>
    <sheet name="dataset_2" sheetId="4" r:id="rId2"/>
    <sheet name="Datasheet A" sheetId="5" r:id="rId3"/>
    <sheet name="Dataset_3" sheetId="25" r:id="rId4"/>
    <sheet name="Sheet14" sheetId="48" r:id="rId5"/>
    <sheet name="Datasheet B" sheetId="6" r:id="rId6"/>
    <sheet name="Conditional Logic" sheetId="9" r:id="rId7"/>
    <sheet name="Statistical Analysis" sheetId="10" r:id="rId8"/>
    <sheet name="Sheet6" sheetId="31" r:id="rId9"/>
    <sheet name="Sheet8" sheetId="33" r:id="rId10"/>
    <sheet name="Sheet9" sheetId="34" r:id="rId11"/>
    <sheet name="Sheet10" sheetId="35" r:id="rId12"/>
    <sheet name="Sheet11" sheetId="36" r:id="rId13"/>
    <sheet name="Sheet12" sheetId="37" r:id="rId14"/>
    <sheet name="Dashboard" sheetId="40" r:id="rId15"/>
    <sheet name="ChartData" sheetId="12" state="hidden" r:id="rId16"/>
  </sheets>
  <externalReferences>
    <externalReference r:id="rId17"/>
  </externalReferences>
  <definedNames>
    <definedName name="ExternalData_1" localSheetId="0" hidden="1">dataset_1!$A$1:$J$611</definedName>
    <definedName name="ExternalData_2" localSheetId="2" hidden="1">'Datasheet A'!$A$1:$P$611</definedName>
    <definedName name="ExternalData_3" localSheetId="1" hidden="1">dataset_2!$A$1:$H$1000</definedName>
    <definedName name="Slicer_Afternoon">#N/A</definedName>
    <definedName name="Slicer_Average">#N/A</definedName>
    <definedName name="Slicer_Avg_Casual">#N/A</definedName>
    <definedName name="Slicer_Avg_Rentals_Hr">#N/A</definedName>
    <definedName name="Slicer_Day_Type">#N/A</definedName>
    <definedName name="Slicer_Hour">#N/A</definedName>
    <definedName name="Slicer_Max_Rentals">#N/A</definedName>
    <definedName name="Slicer_Min_Rentals">#N/A</definedName>
    <definedName name="Slicer_Temp_Category">#N/A</definedName>
    <definedName name="Slicer_Total">#N/A</definedName>
    <definedName name="Slicer_Total_Rentals">#N/A</definedName>
    <definedName name="Slicer_USERS">#N/A</definedName>
    <definedName name="Slicer_Weather_Condition">#N/A</definedName>
    <definedName name="Slicer_Working_Day">#N/A</definedName>
  </definedNames>
  <calcPr calcId="191029"/>
  <pivotCaches>
    <pivotCache cacheId="0" r:id="rId18"/>
    <pivotCache cacheId="1" r:id="rId19"/>
    <pivotCache cacheId="2" r:id="rId20"/>
    <pivotCache cacheId="3" r:id="rId21"/>
    <pivotCache cacheId="4" r:id="rId22"/>
    <pivotCache cacheId="5" r:id="rId23"/>
    <pivotCache cacheId="6"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995" i="6" l="1"/>
  <c r="V996" i="6"/>
  <c r="V997" i="6"/>
  <c r="P1002"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AD2" i="9"/>
  <c r="AC2" i="9"/>
  <c r="AB2" i="9"/>
  <c r="AA991" i="9"/>
  <c r="AA992" i="9"/>
  <c r="AA993" i="9"/>
  <c r="AA994" i="9"/>
  <c r="AA995" i="9"/>
  <c r="AA996" i="9"/>
  <c r="AA997" i="9"/>
  <c r="AA998" i="9"/>
  <c r="AA999" i="9"/>
  <c r="AA1000" i="9"/>
  <c r="AA1001" i="9"/>
  <c r="AE991" i="9"/>
  <c r="AE992" i="9"/>
  <c r="AE993" i="9"/>
  <c r="AE994" i="9"/>
  <c r="AE995" i="9"/>
  <c r="AE996" i="9"/>
  <c r="AE997" i="9"/>
  <c r="AE998" i="9"/>
  <c r="AE999" i="9"/>
  <c r="AE1000" i="9"/>
  <c r="AE1001" i="9"/>
  <c r="Z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K1002" i="9"/>
  <c r="L1002" i="9"/>
  <c r="M1002" i="9"/>
  <c r="N1002" i="9"/>
  <c r="O1002" i="9"/>
  <c r="J1002" i="9"/>
  <c r="P1003" i="6"/>
  <c r="O1003" i="6"/>
  <c r="N1003" i="6"/>
  <c r="M1003" i="6"/>
  <c r="L1003" i="6"/>
  <c r="K1003" i="6"/>
  <c r="J1003" i="6"/>
  <c r="O1002" i="6"/>
  <c r="N1002" i="6"/>
  <c r="M1002" i="6"/>
  <c r="L1002" i="6"/>
  <c r="K1002" i="6"/>
  <c r="J1002" i="6"/>
  <c r="AE930" i="9" l="1"/>
  <c r="AE955" i="9"/>
  <c r="AE982" i="9"/>
  <c r="AE911" i="9"/>
  <c r="AE945" i="9"/>
  <c r="AE921" i="9"/>
  <c r="AE857" i="9"/>
  <c r="AE793" i="9"/>
  <c r="AE729" i="9"/>
  <c r="AE665" i="9"/>
  <c r="AE601" i="9"/>
  <c r="AE537" i="9"/>
  <c r="AE473" i="9"/>
  <c r="AE409" i="9"/>
  <c r="AE335" i="9"/>
  <c r="AE96" i="9"/>
  <c r="AE856" i="9"/>
  <c r="AE944" i="9"/>
  <c r="AE951" i="9"/>
  <c r="AE946" i="9"/>
  <c r="AE957" i="9"/>
  <c r="AE869" i="9"/>
  <c r="AE741" i="9"/>
  <c r="AE613" i="9"/>
  <c r="AE980" i="9"/>
  <c r="AE908" i="9"/>
  <c r="AE939" i="9"/>
  <c r="AE966" i="9"/>
  <c r="AE863" i="9"/>
  <c r="AE926" i="9"/>
  <c r="AE905" i="9"/>
  <c r="AE841" i="9"/>
  <c r="AE777" i="9"/>
  <c r="AE713" i="9"/>
  <c r="AE649" i="9"/>
  <c r="AE585" i="9"/>
  <c r="AE521" i="9"/>
  <c r="AE457" i="9"/>
  <c r="AE393" i="9"/>
  <c r="AE288" i="9"/>
  <c r="AE32" i="9"/>
  <c r="AE840" i="9"/>
  <c r="AE924" i="9"/>
  <c r="AE912" i="9"/>
  <c r="AE927" i="9"/>
  <c r="AE941" i="9"/>
  <c r="AE853" i="9"/>
  <c r="AE725" i="9"/>
  <c r="AE964" i="9"/>
  <c r="AE987" i="9"/>
  <c r="AE918" i="9"/>
  <c r="AE950" i="9"/>
  <c r="AE977" i="9"/>
  <c r="AE903" i="9"/>
  <c r="AE889" i="9"/>
  <c r="AE825" i="9"/>
  <c r="AE761" i="9"/>
  <c r="AE697" i="9"/>
  <c r="AE633" i="9"/>
  <c r="AE569" i="9"/>
  <c r="AE505" i="9"/>
  <c r="AE441" i="9"/>
  <c r="AE377" i="9"/>
  <c r="AE224" i="9"/>
  <c r="AE888" i="9"/>
  <c r="AE824" i="9"/>
  <c r="AE983" i="9"/>
  <c r="AE867" i="9"/>
  <c r="AE904" i="9"/>
  <c r="AE933" i="9"/>
  <c r="AE805" i="9"/>
  <c r="AE677" i="9"/>
  <c r="AE948" i="9"/>
  <c r="AE971" i="9"/>
  <c r="AE883" i="9"/>
  <c r="AE932" i="9"/>
  <c r="AE961" i="9"/>
  <c r="AE937" i="9"/>
  <c r="AE873" i="9"/>
  <c r="AE809" i="9"/>
  <c r="AE745" i="9"/>
  <c r="AE681" i="9"/>
  <c r="AE617" i="9"/>
  <c r="AE553" i="9"/>
  <c r="AE489" i="9"/>
  <c r="AE425" i="9"/>
  <c r="AE360" i="9"/>
  <c r="AE160" i="9"/>
  <c r="AE872" i="9"/>
  <c r="AE808" i="9"/>
  <c r="AE960" i="9"/>
  <c r="AE967" i="9"/>
  <c r="AE978" i="9"/>
  <c r="AE973" i="9"/>
  <c r="AE917" i="9"/>
  <c r="AE789" i="9"/>
  <c r="AE661" i="9"/>
  <c r="AE549" i="9"/>
  <c r="AE485" i="9"/>
  <c r="AE421" i="9"/>
  <c r="AE355" i="9"/>
  <c r="AE144" i="9"/>
  <c r="AE868" i="9"/>
  <c r="AE988" i="9"/>
  <c r="AE919" i="9"/>
  <c r="AE947" i="9"/>
  <c r="AE974" i="9"/>
  <c r="AE895" i="9"/>
  <c r="AE936" i="9"/>
  <c r="AE913" i="9"/>
  <c r="AE849" i="9"/>
  <c r="AE785" i="9"/>
  <c r="AE721" i="9"/>
  <c r="AE657" i="9"/>
  <c r="AE593" i="9"/>
  <c r="AE529" i="9"/>
  <c r="AE465" i="9"/>
  <c r="AE401" i="9"/>
  <c r="AE319" i="9"/>
  <c r="AE64" i="9"/>
  <c r="AE848" i="9"/>
  <c r="AE968" i="9"/>
  <c r="AE871" i="9"/>
  <c r="AE923" i="9"/>
  <c r="AE954" i="9"/>
  <c r="AE981" i="9"/>
  <c r="AE910" i="9"/>
  <c r="AE893" i="9"/>
  <c r="AE829" i="9"/>
  <c r="AE765" i="9"/>
  <c r="AE701" i="9"/>
  <c r="AE637" i="9"/>
  <c r="AE573" i="9"/>
  <c r="AE509" i="9"/>
  <c r="AE445" i="9"/>
  <c r="AE381" i="9"/>
  <c r="AE240" i="9"/>
  <c r="AE876" i="9"/>
  <c r="AE764" i="9"/>
  <c r="AE700" i="9"/>
  <c r="AE636" i="9"/>
  <c r="AE572" i="9"/>
  <c r="AE508" i="9"/>
  <c r="AE444" i="9"/>
  <c r="AE380" i="9"/>
  <c r="AE236" i="9"/>
  <c r="AE851" i="9"/>
  <c r="AE787" i="9"/>
  <c r="AE723" i="9"/>
  <c r="AE659" i="9"/>
  <c r="AE595" i="9"/>
  <c r="AE531" i="9"/>
  <c r="AE467" i="9"/>
  <c r="AE403" i="9"/>
  <c r="AE323" i="9"/>
  <c r="AE72" i="9"/>
  <c r="AE862" i="9"/>
  <c r="AE798" i="9"/>
  <c r="AE734" i="9"/>
  <c r="AE670" i="9"/>
  <c r="AE606" i="9"/>
  <c r="AE542" i="9"/>
  <c r="AE478" i="9"/>
  <c r="AE414" i="9"/>
  <c r="AE344" i="9"/>
  <c r="AE116" i="9"/>
  <c r="AA956" i="9"/>
  <c r="AA892" i="9"/>
  <c r="AA817" i="9"/>
  <c r="AA731" i="9"/>
  <c r="AA504" i="9"/>
  <c r="AE275" i="9"/>
  <c r="AE211" i="9"/>
  <c r="AE147" i="9"/>
  <c r="AE83" i="9"/>
  <c r="AE19" i="9"/>
  <c r="AA943" i="9"/>
  <c r="AA879" i="9"/>
  <c r="AA799" i="9"/>
  <c r="AA707" i="9"/>
  <c r="AA435" i="9"/>
  <c r="AE792" i="9"/>
  <c r="AE728" i="9"/>
  <c r="AE664" i="9"/>
  <c r="AE600" i="9"/>
  <c r="AE536" i="9"/>
  <c r="AE788" i="9"/>
  <c r="AE724" i="9"/>
  <c r="AE660" i="9"/>
  <c r="AE596" i="9"/>
  <c r="AE532" i="9"/>
  <c r="AE468" i="9"/>
  <c r="AE404" i="9"/>
  <c r="AE324" i="9"/>
  <c r="AE76" i="9"/>
  <c r="AE811" i="9"/>
  <c r="AE747" i="9"/>
  <c r="AE683" i="9"/>
  <c r="AE619" i="9"/>
  <c r="AE555" i="9"/>
  <c r="AE491" i="9"/>
  <c r="AE427" i="9"/>
  <c r="AE363" i="9"/>
  <c r="AE168" i="9"/>
  <c r="AE886" i="9"/>
  <c r="AE822" i="9"/>
  <c r="AE758" i="9"/>
  <c r="AE694" i="9"/>
  <c r="AE598" i="9"/>
  <c r="AE502" i="9"/>
  <c r="AE20" i="9"/>
  <c r="AA686" i="9"/>
  <c r="AE597" i="9"/>
  <c r="AE533" i="9"/>
  <c r="AE469" i="9"/>
  <c r="AE405" i="9"/>
  <c r="AE327" i="9"/>
  <c r="AE80" i="9"/>
  <c r="AE852" i="9"/>
  <c r="AE972" i="9"/>
  <c r="AE887" i="9"/>
  <c r="AE928" i="9"/>
  <c r="AE958" i="9"/>
  <c r="AE985" i="9"/>
  <c r="AE915" i="9"/>
  <c r="AE897" i="9"/>
  <c r="AE833" i="9"/>
  <c r="AE769" i="9"/>
  <c r="AE705" i="9"/>
  <c r="AE641" i="9"/>
  <c r="AE577" i="9"/>
  <c r="AE513" i="9"/>
  <c r="AE449" i="9"/>
  <c r="AE385" i="9"/>
  <c r="AE256" i="9"/>
  <c r="AE896" i="9"/>
  <c r="AE832" i="9"/>
  <c r="AE952" i="9"/>
  <c r="AE975" i="9"/>
  <c r="AE899" i="9"/>
  <c r="AE938" i="9"/>
  <c r="AE965" i="9"/>
  <c r="AE859" i="9"/>
  <c r="AE877" i="9"/>
  <c r="AE813" i="9"/>
  <c r="AE749" i="9"/>
  <c r="AE685" i="9"/>
  <c r="AE621" i="9"/>
  <c r="AE557" i="9"/>
  <c r="AE493" i="9"/>
  <c r="AE429" i="9"/>
  <c r="AE365" i="9"/>
  <c r="AE176" i="9"/>
  <c r="AE828" i="9"/>
  <c r="AE748" i="9"/>
  <c r="AE684" i="9"/>
  <c r="AE620" i="9"/>
  <c r="AE556" i="9"/>
  <c r="AE492" i="9"/>
  <c r="AE428" i="9"/>
  <c r="AE364" i="9"/>
  <c r="AE172" i="9"/>
  <c r="AE835" i="9"/>
  <c r="AE771" i="9"/>
  <c r="AE707" i="9"/>
  <c r="AE643" i="9"/>
  <c r="AE579" i="9"/>
  <c r="AE515" i="9"/>
  <c r="AE451" i="9"/>
  <c r="AE387" i="9"/>
  <c r="AE264" i="9"/>
  <c r="AE8" i="9"/>
  <c r="AE846" i="9"/>
  <c r="AE782" i="9"/>
  <c r="AE718" i="9"/>
  <c r="AE654" i="9"/>
  <c r="AE590" i="9"/>
  <c r="AE526" i="9"/>
  <c r="AE462" i="9"/>
  <c r="AE398" i="9"/>
  <c r="AE308" i="9"/>
  <c r="AE52" i="9"/>
  <c r="AA940" i="9"/>
  <c r="AA876" i="9"/>
  <c r="AA795" i="9"/>
  <c r="AA702" i="9"/>
  <c r="AA419" i="9"/>
  <c r="AE259" i="9"/>
  <c r="AE195" i="9"/>
  <c r="AE131" i="9"/>
  <c r="AE67" i="9"/>
  <c r="AE3" i="9"/>
  <c r="AA927" i="9"/>
  <c r="AA863" i="9"/>
  <c r="AA778" i="9"/>
  <c r="AA667" i="9"/>
  <c r="AE358" i="9"/>
  <c r="AE776" i="9"/>
  <c r="AE712" i="9"/>
  <c r="AE648" i="9"/>
  <c r="AE584" i="9"/>
  <c r="AE520" i="9"/>
  <c r="AE772" i="9"/>
  <c r="AE708" i="9"/>
  <c r="AE644" i="9"/>
  <c r="AE580" i="9"/>
  <c r="AE516" i="9"/>
  <c r="AE452" i="9"/>
  <c r="AE388" i="9"/>
  <c r="AE268" i="9"/>
  <c r="AE12" i="9"/>
  <c r="AE795" i="9"/>
  <c r="AE731" i="9"/>
  <c r="AE667" i="9"/>
  <c r="AE603" i="9"/>
  <c r="AE539" i="9"/>
  <c r="AE475" i="9"/>
  <c r="AE411" i="9"/>
  <c r="AE339" i="9"/>
  <c r="AE104" i="9"/>
  <c r="AE870" i="9"/>
  <c r="AE806" i="9"/>
  <c r="AE742" i="9"/>
  <c r="AE662" i="9"/>
  <c r="AE582" i="9"/>
  <c r="AE454" i="9"/>
  <c r="AA932" i="9"/>
  <c r="AE976" i="9"/>
  <c r="AE900" i="9"/>
  <c r="AE934" i="9"/>
  <c r="AE962" i="9"/>
  <c r="AE989" i="9"/>
  <c r="AE920" i="9"/>
  <c r="AE901" i="9"/>
  <c r="AE837" i="9"/>
  <c r="AE773" i="9"/>
  <c r="AE709" i="9"/>
  <c r="AE645" i="9"/>
  <c r="AE581" i="9"/>
  <c r="AE517" i="9"/>
  <c r="AE453" i="9"/>
  <c r="AE389" i="9"/>
  <c r="AE272" i="9"/>
  <c r="AE16" i="9"/>
  <c r="AE956" i="9"/>
  <c r="AE979" i="9"/>
  <c r="AE907" i="9"/>
  <c r="AE942" i="9"/>
  <c r="AE969" i="9"/>
  <c r="AE875" i="9"/>
  <c r="AE881" i="9"/>
  <c r="AE817" i="9"/>
  <c r="AE753" i="9"/>
  <c r="AE689" i="9"/>
  <c r="AE625" i="9"/>
  <c r="AE561" i="9"/>
  <c r="AE497" i="9"/>
  <c r="AE433" i="9"/>
  <c r="AE369" i="9"/>
  <c r="AE192" i="9"/>
  <c r="AE880" i="9"/>
  <c r="AE816" i="9"/>
  <c r="AE935" i="9"/>
  <c r="AE959" i="9"/>
  <c r="AE986" i="9"/>
  <c r="AE916" i="9"/>
  <c r="AE949" i="9"/>
  <c r="AE925" i="9"/>
  <c r="AE861" i="9"/>
  <c r="AE797" i="9"/>
  <c r="AE733" i="9"/>
  <c r="AE669" i="9"/>
  <c r="AE605" i="9"/>
  <c r="AE541" i="9"/>
  <c r="AE477" i="9"/>
  <c r="AE413" i="9"/>
  <c r="AE343" i="9"/>
  <c r="AE112" i="9"/>
  <c r="AE796" i="9"/>
  <c r="AE732" i="9"/>
  <c r="AE668" i="9"/>
  <c r="AE604" i="9"/>
  <c r="AE540" i="9"/>
  <c r="AE476" i="9"/>
  <c r="AE412" i="9"/>
  <c r="AE340" i="9"/>
  <c r="AE108" i="9"/>
  <c r="AE819" i="9"/>
  <c r="AE755" i="9"/>
  <c r="AE691" i="9"/>
  <c r="AE627" i="9"/>
  <c r="AE563" i="9"/>
  <c r="AE499" i="9"/>
  <c r="AE435" i="9"/>
  <c r="AE371" i="9"/>
  <c r="AE200" i="9"/>
  <c r="AE894" i="9"/>
  <c r="AE830" i="9"/>
  <c r="AE766" i="9"/>
  <c r="AE702" i="9"/>
  <c r="AE638" i="9"/>
  <c r="AE574" i="9"/>
  <c r="AE510" i="9"/>
  <c r="AE446" i="9"/>
  <c r="AE382" i="9"/>
  <c r="AE244" i="9"/>
  <c r="AA988" i="9"/>
  <c r="AA924" i="9"/>
  <c r="AA859" i="9"/>
  <c r="AA774" i="9"/>
  <c r="AA655" i="9"/>
  <c r="AE307" i="9"/>
  <c r="AE243" i="9"/>
  <c r="AE179" i="9"/>
  <c r="AE115" i="9"/>
  <c r="AE51" i="9"/>
  <c r="AA975" i="9"/>
  <c r="AA911" i="9"/>
  <c r="AA842" i="9"/>
  <c r="AA757" i="9"/>
  <c r="AA603" i="9"/>
  <c r="AE860" i="9"/>
  <c r="AE760" i="9"/>
  <c r="AE696" i="9"/>
  <c r="AE632" i="9"/>
  <c r="AE568" i="9"/>
  <c r="AE844" i="9"/>
  <c r="AE756" i="9"/>
  <c r="AE692" i="9"/>
  <c r="AE628" i="9"/>
  <c r="AE564" i="9"/>
  <c r="AE500" i="9"/>
  <c r="AE436" i="9"/>
  <c r="AE372" i="9"/>
  <c r="AE204" i="9"/>
  <c r="AE843" i="9"/>
  <c r="AE779" i="9"/>
  <c r="AE715" i="9"/>
  <c r="AE651" i="9"/>
  <c r="AE587" i="9"/>
  <c r="AE523" i="9"/>
  <c r="AE459" i="9"/>
  <c r="AE395" i="9"/>
  <c r="AE296" i="9"/>
  <c r="AE40" i="9"/>
  <c r="AE854" i="9"/>
  <c r="AE790" i="9"/>
  <c r="AE726" i="9"/>
  <c r="AE646" i="9"/>
  <c r="AE566" i="9"/>
  <c r="AE390" i="9"/>
  <c r="AA868" i="9"/>
  <c r="AE891" i="9"/>
  <c r="AE885" i="9"/>
  <c r="AE821" i="9"/>
  <c r="AE757" i="9"/>
  <c r="AE693" i="9"/>
  <c r="AE629" i="9"/>
  <c r="AE565" i="9"/>
  <c r="AE501" i="9"/>
  <c r="AE437" i="9"/>
  <c r="AE373" i="9"/>
  <c r="AE208" i="9"/>
  <c r="AE884" i="9"/>
  <c r="AE940" i="9"/>
  <c r="AE963" i="9"/>
  <c r="AE990" i="9"/>
  <c r="AE922" i="9"/>
  <c r="AE953" i="9"/>
  <c r="AE929" i="9"/>
  <c r="AE865" i="9"/>
  <c r="AE801" i="9"/>
  <c r="AE737" i="9"/>
  <c r="AE673" i="9"/>
  <c r="AE609" i="9"/>
  <c r="AE545" i="9"/>
  <c r="AE481" i="9"/>
  <c r="AE417" i="9"/>
  <c r="AE349" i="9"/>
  <c r="AE128" i="9"/>
  <c r="AE864" i="9"/>
  <c r="AE800" i="9"/>
  <c r="AE984" i="9"/>
  <c r="AE914" i="9"/>
  <c r="AE943" i="9"/>
  <c r="AE970" i="9"/>
  <c r="AE879" i="9"/>
  <c r="AE931" i="9"/>
  <c r="AE909" i="9"/>
  <c r="AE845" i="9"/>
  <c r="AE781" i="9"/>
  <c r="AE717" i="9"/>
  <c r="AE653" i="9"/>
  <c r="AE589" i="9"/>
  <c r="AE525" i="9"/>
  <c r="AE461" i="9"/>
  <c r="AE397" i="9"/>
  <c r="AE304" i="9"/>
  <c r="AE48" i="9"/>
  <c r="AE780" i="9"/>
  <c r="AE716" i="9"/>
  <c r="AE652" i="9"/>
  <c r="AE588" i="9"/>
  <c r="AE524" i="9"/>
  <c r="AE460" i="9"/>
  <c r="AE396" i="9"/>
  <c r="AE300" i="9"/>
  <c r="AE44" i="9"/>
  <c r="AE803" i="9"/>
  <c r="AE739" i="9"/>
  <c r="AE675" i="9"/>
  <c r="AE611" i="9"/>
  <c r="AE547" i="9"/>
  <c r="AE483" i="9"/>
  <c r="AE419" i="9"/>
  <c r="AE352" i="9"/>
  <c r="AE136" i="9"/>
  <c r="AE878" i="9"/>
  <c r="AE814" i="9"/>
  <c r="AE750" i="9"/>
  <c r="AE686" i="9"/>
  <c r="AE622" i="9"/>
  <c r="AE558" i="9"/>
  <c r="AE494" i="9"/>
  <c r="AE430" i="9"/>
  <c r="AE366" i="9"/>
  <c r="AE180" i="9"/>
  <c r="AA972" i="9"/>
  <c r="AA908" i="9"/>
  <c r="AA838" i="9"/>
  <c r="AA753" i="9"/>
  <c r="AA590" i="9"/>
  <c r="AE291" i="9"/>
  <c r="AE227" i="9"/>
  <c r="AE163" i="9"/>
  <c r="AE99" i="9"/>
  <c r="AE35" i="9"/>
  <c r="AA959" i="9"/>
  <c r="AA895" i="9"/>
  <c r="AA821" i="9"/>
  <c r="AA735" i="9"/>
  <c r="AA520" i="9"/>
  <c r="AE820" i="9"/>
  <c r="AE744" i="9"/>
  <c r="AE680" i="9"/>
  <c r="AE616" i="9"/>
  <c r="AE552" i="9"/>
  <c r="AE812" i="9"/>
  <c r="AE740" i="9"/>
  <c r="AE676" i="9"/>
  <c r="AE612" i="9"/>
  <c r="AE548" i="9"/>
  <c r="AE484" i="9"/>
  <c r="AE420" i="9"/>
  <c r="AE353" i="9"/>
  <c r="AE140" i="9"/>
  <c r="AE827" i="9"/>
  <c r="AE763" i="9"/>
  <c r="AE699" i="9"/>
  <c r="AE635" i="9"/>
  <c r="AE571" i="9"/>
  <c r="AE507" i="9"/>
  <c r="AE443" i="9"/>
  <c r="AE379" i="9"/>
  <c r="AE232" i="9"/>
  <c r="AE902" i="9"/>
  <c r="AE838" i="9"/>
  <c r="AE774" i="9"/>
  <c r="AE710" i="9"/>
  <c r="AE630" i="9"/>
  <c r="AE518" i="9"/>
  <c r="AE276" i="9"/>
  <c r="AA785" i="9"/>
  <c r="AE315" i="9"/>
  <c r="AE251" i="9"/>
  <c r="AE187" i="9"/>
  <c r="AE123" i="9"/>
  <c r="AE59" i="9"/>
  <c r="AA983" i="9"/>
  <c r="AA919" i="9"/>
  <c r="AA853" i="9"/>
  <c r="AA767" i="9"/>
  <c r="AA635" i="9"/>
  <c r="AE350" i="9"/>
  <c r="AE286" i="9"/>
  <c r="AE222" i="9"/>
  <c r="AE836" i="9"/>
  <c r="AE752" i="9"/>
  <c r="AE688" i="9"/>
  <c r="AE624" i="9"/>
  <c r="AE560" i="9"/>
  <c r="AE496" i="9"/>
  <c r="AE432" i="9"/>
  <c r="AE368" i="9"/>
  <c r="AE188" i="9"/>
  <c r="AE839" i="9"/>
  <c r="AE775" i="9"/>
  <c r="AE711" i="9"/>
  <c r="AE647" i="9"/>
  <c r="AE583" i="9"/>
  <c r="AE519" i="9"/>
  <c r="AE455" i="9"/>
  <c r="AE391" i="9"/>
  <c r="AE280" i="9"/>
  <c r="AE24" i="9"/>
  <c r="AE850" i="9"/>
  <c r="AE786" i="9"/>
  <c r="AE722" i="9"/>
  <c r="AE658" i="9"/>
  <c r="AE594" i="9"/>
  <c r="AE530" i="9"/>
  <c r="AE466" i="9"/>
  <c r="AE402" i="9"/>
  <c r="AE320" i="9"/>
  <c r="AE68" i="9"/>
  <c r="AA944" i="9"/>
  <c r="AA880" i="9"/>
  <c r="AA801" i="9"/>
  <c r="AA710" i="9"/>
  <c r="AA440" i="9"/>
  <c r="AE263" i="9"/>
  <c r="AE199" i="9"/>
  <c r="AE135" i="9"/>
  <c r="AE71" i="9"/>
  <c r="AE7" i="9"/>
  <c r="AA931" i="9"/>
  <c r="AA867" i="9"/>
  <c r="AA783" i="9"/>
  <c r="AA683" i="9"/>
  <c r="AE156" i="9"/>
  <c r="AE639" i="9"/>
  <c r="AE383" i="9"/>
  <c r="AE778" i="9"/>
  <c r="AE522" i="9"/>
  <c r="AE36" i="9"/>
  <c r="AA694" i="9"/>
  <c r="AE127" i="9"/>
  <c r="AA858" i="9"/>
  <c r="AE354" i="9"/>
  <c r="AE266" i="9"/>
  <c r="AE182" i="9"/>
  <c r="AE118" i="9"/>
  <c r="AE54" i="9"/>
  <c r="AA982" i="9"/>
  <c r="AA918" i="9"/>
  <c r="AA851" i="9"/>
  <c r="AA766" i="9"/>
  <c r="AA631" i="9"/>
  <c r="AE333" i="9"/>
  <c r="AE269" i="9"/>
  <c r="AE205" i="9"/>
  <c r="AE141" i="9"/>
  <c r="AE77" i="9"/>
  <c r="AE13" i="9"/>
  <c r="AA937" i="9"/>
  <c r="AA873" i="9"/>
  <c r="AA791" i="9"/>
  <c r="AA695" i="9"/>
  <c r="AA402" i="9"/>
  <c r="AA622" i="9"/>
  <c r="AA546" i="9"/>
  <c r="AA460" i="9"/>
  <c r="AA318" i="9"/>
  <c r="AA62" i="9"/>
  <c r="AA685" i="9"/>
  <c r="AA621" i="9"/>
  <c r="AE408" i="9"/>
  <c r="AE751" i="9"/>
  <c r="AE495" i="9"/>
  <c r="AE890" i="9"/>
  <c r="AE634" i="9"/>
  <c r="AE378" i="9"/>
  <c r="AA854" i="9"/>
  <c r="AE239" i="9"/>
  <c r="AA971" i="9"/>
  <c r="AA619" i="9"/>
  <c r="AE306" i="9"/>
  <c r="AE218" i="9"/>
  <c r="AE146" i="9"/>
  <c r="AE82" i="9"/>
  <c r="AE18" i="9"/>
  <c r="AA946" i="9"/>
  <c r="AA882" i="9"/>
  <c r="AA803" i="9"/>
  <c r="AA714" i="9"/>
  <c r="AA451" i="9"/>
  <c r="AE297" i="9"/>
  <c r="AE233" i="9"/>
  <c r="AE169" i="9"/>
  <c r="AE105" i="9"/>
  <c r="AE41" i="9"/>
  <c r="AA965" i="9"/>
  <c r="AA901" i="9"/>
  <c r="AA829" i="9"/>
  <c r="AA743" i="9"/>
  <c r="AA552" i="9"/>
  <c r="AA650" i="9"/>
  <c r="AA583" i="9"/>
  <c r="AA498" i="9"/>
  <c r="AA412" i="9"/>
  <c r="AA174" i="9"/>
  <c r="AA713" i="9"/>
  <c r="AA649" i="9"/>
  <c r="AA582" i="9"/>
  <c r="AA496" i="9"/>
  <c r="AA362" i="9"/>
  <c r="AA42" i="9"/>
  <c r="AA784" i="9"/>
  <c r="AE799" i="9"/>
  <c r="AE479" i="9"/>
  <c r="AE746" i="9"/>
  <c r="AE426" i="9"/>
  <c r="AA833" i="9"/>
  <c r="AE31" i="9"/>
  <c r="AE322" i="9"/>
  <c r="AE158" i="9"/>
  <c r="AA894" i="9"/>
  <c r="AE309" i="9"/>
  <c r="AE53" i="9"/>
  <c r="AA759" i="9"/>
  <c r="AA514" i="9"/>
  <c r="AE15" i="9"/>
  <c r="AE49" i="9"/>
  <c r="AA597" i="9"/>
  <c r="AA772" i="9"/>
  <c r="AA490" i="9"/>
  <c r="AA16" i="9"/>
  <c r="AA405" i="9"/>
  <c r="AA149" i="9"/>
  <c r="AA384" i="9"/>
  <c r="AA128" i="9"/>
  <c r="AA359" i="9"/>
  <c r="AE438" i="9"/>
  <c r="AE374" i="9"/>
  <c r="AE212" i="9"/>
  <c r="AA980" i="9"/>
  <c r="AA916" i="9"/>
  <c r="AA849" i="9"/>
  <c r="AA763" i="9"/>
  <c r="AA623" i="9"/>
  <c r="AE299" i="9"/>
  <c r="AE235" i="9"/>
  <c r="AE171" i="9"/>
  <c r="AE107" i="9"/>
  <c r="AE43" i="9"/>
  <c r="AA967" i="9"/>
  <c r="AA903" i="9"/>
  <c r="AA831" i="9"/>
  <c r="AA746" i="9"/>
  <c r="AA563" i="9"/>
  <c r="AE334" i="9"/>
  <c r="AE270" i="9"/>
  <c r="AE206" i="9"/>
  <c r="AE804" i="9"/>
  <c r="AE736" i="9"/>
  <c r="AE672" i="9"/>
  <c r="AE608" i="9"/>
  <c r="AE544" i="9"/>
  <c r="AE480" i="9"/>
  <c r="AE416" i="9"/>
  <c r="AE348" i="9"/>
  <c r="AE124" i="9"/>
  <c r="AE823" i="9"/>
  <c r="AE759" i="9"/>
  <c r="AE695" i="9"/>
  <c r="AE631" i="9"/>
  <c r="AE567" i="9"/>
  <c r="AE503" i="9"/>
  <c r="AE439" i="9"/>
  <c r="AE375" i="9"/>
  <c r="AE216" i="9"/>
  <c r="AE898" i="9"/>
  <c r="AE834" i="9"/>
  <c r="AE770" i="9"/>
  <c r="AE706" i="9"/>
  <c r="AE642" i="9"/>
  <c r="AE578" i="9"/>
  <c r="AE514" i="9"/>
  <c r="AE450" i="9"/>
  <c r="AE386" i="9"/>
  <c r="AE260" i="9"/>
  <c r="AE4" i="9"/>
  <c r="AA928" i="9"/>
  <c r="AA864" i="9"/>
  <c r="AA779" i="9"/>
  <c r="AA671" i="9"/>
  <c r="AE311" i="9"/>
  <c r="AE247" i="9"/>
  <c r="AE183" i="9"/>
  <c r="AE119" i="9"/>
  <c r="AE55" i="9"/>
  <c r="AA979" i="9"/>
  <c r="AA915" i="9"/>
  <c r="AA847" i="9"/>
  <c r="AA762" i="9"/>
  <c r="AE488" i="9"/>
  <c r="AE831" i="9"/>
  <c r="AE575" i="9"/>
  <c r="AE248" i="9"/>
  <c r="AE714" i="9"/>
  <c r="AE458" i="9"/>
  <c r="AA936" i="9"/>
  <c r="AA386" i="9"/>
  <c r="AE63" i="9"/>
  <c r="AA773" i="9"/>
  <c r="AE330" i="9"/>
  <c r="AE246" i="9"/>
  <c r="AE166" i="9"/>
  <c r="AE102" i="9"/>
  <c r="AE38" i="9"/>
  <c r="AA966" i="9"/>
  <c r="AA902" i="9"/>
  <c r="AA830" i="9"/>
  <c r="AA745" i="9"/>
  <c r="AA558" i="9"/>
  <c r="AE317" i="9"/>
  <c r="AE253" i="9"/>
  <c r="AE189" i="9"/>
  <c r="AE125" i="9"/>
  <c r="AE61" i="9"/>
  <c r="AA985" i="9"/>
  <c r="AA921" i="9"/>
  <c r="AA855" i="9"/>
  <c r="AA770" i="9"/>
  <c r="AA643" i="9"/>
  <c r="AA670" i="9"/>
  <c r="AA606" i="9"/>
  <c r="AA524" i="9"/>
  <c r="AA439" i="9"/>
  <c r="AA254" i="9"/>
  <c r="AA669" i="9"/>
  <c r="AA605" i="9"/>
  <c r="AE332" i="9"/>
  <c r="AE687" i="9"/>
  <c r="AE431" i="9"/>
  <c r="AE826" i="9"/>
  <c r="AE570" i="9"/>
  <c r="AE228" i="9"/>
  <c r="AA769" i="9"/>
  <c r="AE175" i="9"/>
  <c r="AA907" i="9"/>
  <c r="AA456" i="9"/>
  <c r="AE282" i="9"/>
  <c r="AE198" i="9"/>
  <c r="AE130" i="9"/>
  <c r="AE66" i="9"/>
  <c r="AE2" i="9"/>
  <c r="AA930" i="9"/>
  <c r="AA866" i="9"/>
  <c r="AA782" i="9"/>
  <c r="AA679" i="9"/>
  <c r="AE345" i="9"/>
  <c r="AE281" i="9"/>
  <c r="AE217" i="9"/>
  <c r="AE153" i="9"/>
  <c r="AE89" i="9"/>
  <c r="AE25" i="9"/>
  <c r="AA949" i="9"/>
  <c r="AA885" i="9"/>
  <c r="AA807" i="9"/>
  <c r="AA719" i="9"/>
  <c r="AA467" i="9"/>
  <c r="AA634" i="9"/>
  <c r="AA562" i="9"/>
  <c r="AA476" i="9"/>
  <c r="AA366" i="9"/>
  <c r="AA110" i="9"/>
  <c r="AA697" i="9"/>
  <c r="AA633" i="9"/>
  <c r="AA560" i="9"/>
  <c r="AA475" i="9"/>
  <c r="AA298" i="9"/>
  <c r="AA848" i="9"/>
  <c r="AE456" i="9"/>
  <c r="AE735" i="9"/>
  <c r="AE347" i="9"/>
  <c r="AE682" i="9"/>
  <c r="AE361" i="9"/>
  <c r="AA568" i="9"/>
  <c r="AA815" i="9"/>
  <c r="AE258" i="9"/>
  <c r="AE94" i="9"/>
  <c r="AA819" i="9"/>
  <c r="AE245" i="9"/>
  <c r="AA977" i="9"/>
  <c r="AA611" i="9"/>
  <c r="AA428" i="9"/>
  <c r="AE154" i="9"/>
  <c r="AA754" i="9"/>
  <c r="AA480" i="9"/>
  <c r="AA708" i="9"/>
  <c r="AA403" i="9"/>
  <c r="AA341" i="9"/>
  <c r="AA85" i="9"/>
  <c r="AA320" i="9"/>
  <c r="AA64" i="9"/>
  <c r="AE678" i="9"/>
  <c r="AE614" i="9"/>
  <c r="AE550" i="9"/>
  <c r="AE486" i="9"/>
  <c r="AE422" i="9"/>
  <c r="AE356" i="9"/>
  <c r="AE148" i="9"/>
  <c r="AA964" i="9"/>
  <c r="AA900" i="9"/>
  <c r="AA827" i="9"/>
  <c r="AA742" i="9"/>
  <c r="AA547" i="9"/>
  <c r="AE283" i="9"/>
  <c r="AE219" i="9"/>
  <c r="AE155" i="9"/>
  <c r="AE91" i="9"/>
  <c r="AE27" i="9"/>
  <c r="AA951" i="9"/>
  <c r="AA887" i="9"/>
  <c r="AA810" i="9"/>
  <c r="AA723" i="9"/>
  <c r="AA478" i="9"/>
  <c r="AE318" i="9"/>
  <c r="AE254" i="9"/>
  <c r="AE190" i="9"/>
  <c r="AE784" i="9"/>
  <c r="AE720" i="9"/>
  <c r="AE656" i="9"/>
  <c r="AE592" i="9"/>
  <c r="AE528" i="9"/>
  <c r="AE464" i="9"/>
  <c r="AE400" i="9"/>
  <c r="AE316" i="9"/>
  <c r="AE60" i="9"/>
  <c r="AE807" i="9"/>
  <c r="AE743" i="9"/>
  <c r="AE679" i="9"/>
  <c r="AE615" i="9"/>
  <c r="AE551" i="9"/>
  <c r="AE487" i="9"/>
  <c r="AE423" i="9"/>
  <c r="AE357" i="9"/>
  <c r="AE152" i="9"/>
  <c r="AE882" i="9"/>
  <c r="AE818" i="9"/>
  <c r="AE754" i="9"/>
  <c r="AE690" i="9"/>
  <c r="AE626" i="9"/>
  <c r="AE562" i="9"/>
  <c r="AE498" i="9"/>
  <c r="AE434" i="9"/>
  <c r="AE370" i="9"/>
  <c r="AE196" i="9"/>
  <c r="AA976" i="9"/>
  <c r="AA912" i="9"/>
  <c r="AA843" i="9"/>
  <c r="AA758" i="9"/>
  <c r="AA607" i="9"/>
  <c r="AE295" i="9"/>
  <c r="AE231" i="9"/>
  <c r="AE167" i="9"/>
  <c r="AE103" i="9"/>
  <c r="AE39" i="9"/>
  <c r="AA963" i="9"/>
  <c r="AA899" i="9"/>
  <c r="AA826" i="9"/>
  <c r="AA741" i="9"/>
  <c r="AE424" i="9"/>
  <c r="AE767" i="9"/>
  <c r="AE511" i="9"/>
  <c r="AE906" i="9"/>
  <c r="AE650" i="9"/>
  <c r="AE394" i="9"/>
  <c r="AA872" i="9"/>
  <c r="AE255" i="9"/>
  <c r="AA987" i="9"/>
  <c r="AA651" i="9"/>
  <c r="AE310" i="9"/>
  <c r="AE226" i="9"/>
  <c r="AE150" i="9"/>
  <c r="AE86" i="9"/>
  <c r="AE22" i="9"/>
  <c r="AA950" i="9"/>
  <c r="AA886" i="9"/>
  <c r="AA809" i="9"/>
  <c r="AA722" i="9"/>
  <c r="AA472" i="9"/>
  <c r="AE301" i="9"/>
  <c r="AE237" i="9"/>
  <c r="AE173" i="9"/>
  <c r="AE109" i="9"/>
  <c r="AE45" i="9"/>
  <c r="AA969" i="9"/>
  <c r="AA905" i="9"/>
  <c r="AA834" i="9"/>
  <c r="AA749" i="9"/>
  <c r="AA574" i="9"/>
  <c r="AA654" i="9"/>
  <c r="AA588" i="9"/>
  <c r="AA503" i="9"/>
  <c r="AA418" i="9"/>
  <c r="AA190" i="9"/>
  <c r="AA717" i="9"/>
  <c r="AA653" i="9"/>
  <c r="AA587" i="9"/>
  <c r="AE92" i="9"/>
  <c r="AE623" i="9"/>
  <c r="AE367" i="9"/>
  <c r="AE762" i="9"/>
  <c r="AE506" i="9"/>
  <c r="AA984" i="9"/>
  <c r="AA639" i="9"/>
  <c r="AE111" i="9"/>
  <c r="AA837" i="9"/>
  <c r="AE346" i="9"/>
  <c r="AE262" i="9"/>
  <c r="AE178" i="9"/>
  <c r="AE114" i="9"/>
  <c r="AE50" i="9"/>
  <c r="AA978" i="9"/>
  <c r="AA914" i="9"/>
  <c r="AA846" i="9"/>
  <c r="AA761" i="9"/>
  <c r="AA615" i="9"/>
  <c r="AE329" i="9"/>
  <c r="AE265" i="9"/>
  <c r="AE201" i="9"/>
  <c r="AE137" i="9"/>
  <c r="AE73" i="9"/>
  <c r="AE9" i="9"/>
  <c r="AA933" i="9"/>
  <c r="AA869" i="9"/>
  <c r="AA786" i="9"/>
  <c r="AA687" i="9"/>
  <c r="AA682" i="9"/>
  <c r="AA618" i="9"/>
  <c r="AA540" i="9"/>
  <c r="AA455" i="9"/>
  <c r="AA302" i="9"/>
  <c r="AA46" i="9"/>
  <c r="AA681" i="9"/>
  <c r="AA617" i="9"/>
  <c r="AA539" i="9"/>
  <c r="AA454" i="9"/>
  <c r="AA170" i="9"/>
  <c r="AA832" i="9"/>
  <c r="AE392" i="9"/>
  <c r="AE607" i="9"/>
  <c r="AE120" i="9"/>
  <c r="AE618" i="9"/>
  <c r="AA968" i="9"/>
  <c r="AE287" i="9"/>
  <c r="AA730" i="9"/>
  <c r="AE234" i="9"/>
  <c r="AE30" i="9"/>
  <c r="AA734" i="9"/>
  <c r="AE181" i="9"/>
  <c r="AA913" i="9"/>
  <c r="AA662" i="9"/>
  <c r="AE440" i="9"/>
  <c r="AA890" i="9"/>
  <c r="AA508" i="9"/>
  <c r="AA282" i="9"/>
  <c r="AA644" i="9"/>
  <c r="AA150" i="9"/>
  <c r="AA533" i="9"/>
  <c r="AA277" i="9"/>
  <c r="AA20" i="9"/>
  <c r="AA256" i="9"/>
  <c r="AE534" i="9"/>
  <c r="AE470" i="9"/>
  <c r="AE406" i="9"/>
  <c r="AE328" i="9"/>
  <c r="AE84" i="9"/>
  <c r="AA948" i="9"/>
  <c r="AA884" i="9"/>
  <c r="AA806" i="9"/>
  <c r="AA718" i="9"/>
  <c r="AA462" i="9"/>
  <c r="AE267" i="9"/>
  <c r="AE203" i="9"/>
  <c r="AE139" i="9"/>
  <c r="AE75" i="9"/>
  <c r="AE11" i="9"/>
  <c r="AA935" i="9"/>
  <c r="AA871" i="9"/>
  <c r="AA789" i="9"/>
  <c r="AA691" i="9"/>
  <c r="AA370" i="9"/>
  <c r="AE302" i="9"/>
  <c r="AE238" i="9"/>
  <c r="AE892" i="9"/>
  <c r="AE768" i="9"/>
  <c r="AE704" i="9"/>
  <c r="AE640" i="9"/>
  <c r="AE576" i="9"/>
  <c r="AE512" i="9"/>
  <c r="AE448" i="9"/>
  <c r="AE384" i="9"/>
  <c r="AE252" i="9"/>
  <c r="AE855" i="9"/>
  <c r="AE791" i="9"/>
  <c r="AE727" i="9"/>
  <c r="AE663" i="9"/>
  <c r="AE599" i="9"/>
  <c r="AE535" i="9"/>
  <c r="AE471" i="9"/>
  <c r="AE407" i="9"/>
  <c r="AE331" i="9"/>
  <c r="AE88" i="9"/>
  <c r="AE866" i="9"/>
  <c r="AE802" i="9"/>
  <c r="AE738" i="9"/>
  <c r="AE674" i="9"/>
  <c r="AE610" i="9"/>
  <c r="AE546" i="9"/>
  <c r="AE482" i="9"/>
  <c r="AE418" i="9"/>
  <c r="AE351" i="9"/>
  <c r="AE132" i="9"/>
  <c r="AA960" i="9"/>
  <c r="AA896" i="9"/>
  <c r="AA822" i="9"/>
  <c r="AA737" i="9"/>
  <c r="AA526" i="9"/>
  <c r="AE279" i="9"/>
  <c r="AE215" i="9"/>
  <c r="AE151" i="9"/>
  <c r="AE87" i="9"/>
  <c r="AE23" i="9"/>
  <c r="AA947" i="9"/>
  <c r="AA883" i="9"/>
  <c r="AA805" i="9"/>
  <c r="AA715" i="9"/>
  <c r="AE359" i="9"/>
  <c r="AE703" i="9"/>
  <c r="AE447" i="9"/>
  <c r="AE842" i="9"/>
  <c r="AE586" i="9"/>
  <c r="AE292" i="9"/>
  <c r="AA790" i="9"/>
  <c r="AE191" i="9"/>
  <c r="AA923" i="9"/>
  <c r="AA499" i="9"/>
  <c r="AE290" i="9"/>
  <c r="AE202" i="9"/>
  <c r="AE134" i="9"/>
  <c r="AE70" i="9"/>
  <c r="AE6" i="9"/>
  <c r="AA934" i="9"/>
  <c r="AA870" i="9"/>
  <c r="AA787" i="9"/>
  <c r="AA690" i="9"/>
  <c r="AA354" i="9"/>
  <c r="AE285" i="9"/>
  <c r="AE221" i="9"/>
  <c r="AE157" i="9"/>
  <c r="AE93" i="9"/>
  <c r="AE29" i="9"/>
  <c r="AA953" i="9"/>
  <c r="AA889" i="9"/>
  <c r="AA813" i="9"/>
  <c r="AA727" i="9"/>
  <c r="AA488" i="9"/>
  <c r="AA638" i="9"/>
  <c r="AA567" i="9"/>
  <c r="AA482" i="9"/>
  <c r="AA382" i="9"/>
  <c r="AA126" i="9"/>
  <c r="AA701" i="9"/>
  <c r="AA637" i="9"/>
  <c r="AE472" i="9"/>
  <c r="AE815" i="9"/>
  <c r="AE559" i="9"/>
  <c r="AE184" i="9"/>
  <c r="AE698" i="9"/>
  <c r="AE442" i="9"/>
  <c r="AA920" i="9"/>
  <c r="AE303" i="9"/>
  <c r="AE47" i="9"/>
  <c r="AA751" i="9"/>
  <c r="AE326" i="9"/>
  <c r="AE242" i="9"/>
  <c r="AE162" i="9"/>
  <c r="AE98" i="9"/>
  <c r="AE34" i="9"/>
  <c r="AA962" i="9"/>
  <c r="AA898" i="9"/>
  <c r="AA825" i="9"/>
  <c r="AA739" i="9"/>
  <c r="AA536" i="9"/>
  <c r="AE313" i="9"/>
  <c r="AE249" i="9"/>
  <c r="AE185" i="9"/>
  <c r="AE121" i="9"/>
  <c r="AE57" i="9"/>
  <c r="AA981" i="9"/>
  <c r="AA917" i="9"/>
  <c r="AA850" i="9"/>
  <c r="AA765" i="9"/>
  <c r="AA627" i="9"/>
  <c r="AA666" i="9"/>
  <c r="AA602" i="9"/>
  <c r="AA519" i="9"/>
  <c r="AA434" i="9"/>
  <c r="AA238" i="9"/>
  <c r="AA665" i="9"/>
  <c r="AA601" i="9"/>
  <c r="AA518" i="9"/>
  <c r="AA411" i="9"/>
  <c r="AA106" i="9"/>
  <c r="AA816" i="9"/>
  <c r="AE28" i="9"/>
  <c r="AE543" i="9"/>
  <c r="AE874" i="9"/>
  <c r="AE490" i="9"/>
  <c r="AA904" i="9"/>
  <c r="AE95" i="9"/>
  <c r="AE342" i="9"/>
  <c r="AE174" i="9"/>
  <c r="AA958" i="9"/>
  <c r="AA515" i="9"/>
  <c r="AE117" i="9"/>
  <c r="AA845" i="9"/>
  <c r="AA598" i="9"/>
  <c r="AE666" i="9"/>
  <c r="AE305" i="9"/>
  <c r="AA725" i="9"/>
  <c r="AA856" i="9"/>
  <c r="AA575" i="9"/>
  <c r="AA274" i="9"/>
  <c r="AA469" i="9"/>
  <c r="AA213" i="9"/>
  <c r="AA192" i="9"/>
  <c r="AA295" i="9"/>
  <c r="AA231" i="9"/>
  <c r="AA167" i="9"/>
  <c r="AA103" i="9"/>
  <c r="AA39" i="9"/>
  <c r="AE719" i="9"/>
  <c r="AE336" i="9"/>
  <c r="AA542" i="9"/>
  <c r="AE74" i="9"/>
  <c r="AA793" i="9"/>
  <c r="AE225" i="9"/>
  <c r="AA957" i="9"/>
  <c r="AA510" i="9"/>
  <c r="AA398" i="9"/>
  <c r="AA689" i="9"/>
  <c r="AA555" i="9"/>
  <c r="AA443" i="9"/>
  <c r="AA186" i="9"/>
  <c r="AA828" i="9"/>
  <c r="AA752" i="9"/>
  <c r="AA688" i="9"/>
  <c r="AA624" i="9"/>
  <c r="AA548" i="9"/>
  <c r="AA463" i="9"/>
  <c r="AA326" i="9"/>
  <c r="AA70" i="9"/>
  <c r="AA194" i="9"/>
  <c r="AA577" i="9"/>
  <c r="AA513" i="9"/>
  <c r="AA449" i="9"/>
  <c r="AA385" i="9"/>
  <c r="AA321" i="9"/>
  <c r="AA257" i="9"/>
  <c r="AA193" i="9"/>
  <c r="AA129" i="9"/>
  <c r="AA49" i="9"/>
  <c r="AA364" i="9"/>
  <c r="AA284" i="9"/>
  <c r="AA188" i="9"/>
  <c r="AA92" i="9"/>
  <c r="AA195" i="9"/>
  <c r="AA726" i="9"/>
  <c r="AE145" i="9"/>
  <c r="AA645" i="9"/>
  <c r="AA804" i="9"/>
  <c r="AA522" i="9"/>
  <c r="AA114" i="9"/>
  <c r="AA429" i="9"/>
  <c r="AA173" i="9"/>
  <c r="AE223" i="9"/>
  <c r="AA955" i="9"/>
  <c r="AA584" i="9"/>
  <c r="AE298" i="9"/>
  <c r="AE214" i="9"/>
  <c r="AE142" i="9"/>
  <c r="AE78" i="9"/>
  <c r="AE14" i="9"/>
  <c r="AA942" i="9"/>
  <c r="AA878" i="9"/>
  <c r="AA798" i="9"/>
  <c r="AA706" i="9"/>
  <c r="AA430" i="9"/>
  <c r="AE293" i="9"/>
  <c r="AE229" i="9"/>
  <c r="AE165" i="9"/>
  <c r="AE101" i="9"/>
  <c r="AE37" i="9"/>
  <c r="AA961" i="9"/>
  <c r="AA897" i="9"/>
  <c r="AA823" i="9"/>
  <c r="AA738" i="9"/>
  <c r="AA531" i="9"/>
  <c r="AA646" i="9"/>
  <c r="AA578" i="9"/>
  <c r="AA492" i="9"/>
  <c r="AA407" i="9"/>
  <c r="AE783" i="9"/>
  <c r="AE410" i="9"/>
  <c r="AA699" i="9"/>
  <c r="AE90" i="9"/>
  <c r="AA814" i="9"/>
  <c r="AE241" i="9"/>
  <c r="AA973" i="9"/>
  <c r="AA595" i="9"/>
  <c r="AA423" i="9"/>
  <c r="AA693" i="9"/>
  <c r="AA566" i="9"/>
  <c r="AA448" i="9"/>
  <c r="AA202" i="9"/>
  <c r="AA836" i="9"/>
  <c r="AA756" i="9"/>
  <c r="AA692" i="9"/>
  <c r="AA628" i="9"/>
  <c r="AA554" i="9"/>
  <c r="AA468" i="9"/>
  <c r="AA342" i="9"/>
  <c r="AA86" i="9"/>
  <c r="AA210" i="9"/>
  <c r="AA581" i="9"/>
  <c r="AA517" i="9"/>
  <c r="AA453" i="9"/>
  <c r="AA389" i="9"/>
  <c r="AA325" i="9"/>
  <c r="AA261" i="9"/>
  <c r="AA197" i="9"/>
  <c r="AA133" i="9"/>
  <c r="AA69" i="9"/>
  <c r="AA368" i="9"/>
  <c r="AA304" i="9"/>
  <c r="AA240" i="9"/>
  <c r="AA176" i="9"/>
  <c r="AA112" i="9"/>
  <c r="AA48" i="9"/>
  <c r="AA343" i="9"/>
  <c r="AA279" i="9"/>
  <c r="AA215" i="9"/>
  <c r="AA151" i="9"/>
  <c r="AA87" i="9"/>
  <c r="AA22" i="9"/>
  <c r="AA15" i="9"/>
  <c r="AE463" i="9"/>
  <c r="AA811" i="9"/>
  <c r="AE294" i="9"/>
  <c r="AE10" i="9"/>
  <c r="AA698" i="9"/>
  <c r="AE161" i="9"/>
  <c r="AA893" i="9"/>
  <c r="AA642" i="9"/>
  <c r="AA206" i="9"/>
  <c r="AA657" i="9"/>
  <c r="AA528" i="9"/>
  <c r="AA416" i="9"/>
  <c r="AA90" i="9"/>
  <c r="AA808" i="9"/>
  <c r="AA736" i="9"/>
  <c r="AA672" i="9"/>
  <c r="AA608" i="9"/>
  <c r="AA527" i="9"/>
  <c r="AA442" i="9"/>
  <c r="AA262" i="9"/>
  <c r="AA130" i="9"/>
  <c r="AA561" i="9"/>
  <c r="AA497" i="9"/>
  <c r="AA433" i="9"/>
  <c r="AA369" i="9"/>
  <c r="AA305" i="9"/>
  <c r="AA241" i="9"/>
  <c r="AA177" i="9"/>
  <c r="AA113" i="9"/>
  <c r="AA14" i="9"/>
  <c r="AA348" i="9"/>
  <c r="AA252" i="9"/>
  <c r="AA172" i="9"/>
  <c r="AA44" i="9"/>
  <c r="AA387" i="9"/>
  <c r="AA131" i="9"/>
  <c r="AE274" i="9"/>
  <c r="AA877" i="9"/>
  <c r="AA523" i="9"/>
  <c r="AA732" i="9"/>
  <c r="AA436" i="9"/>
  <c r="AA365" i="9"/>
  <c r="AA109" i="9"/>
  <c r="AA432" i="9"/>
  <c r="AA234" i="9"/>
  <c r="AA800" i="9"/>
  <c r="AE284" i="9"/>
  <c r="AE671" i="9"/>
  <c r="AE415" i="9"/>
  <c r="AE810" i="9"/>
  <c r="AE554" i="9"/>
  <c r="AE164" i="9"/>
  <c r="AA747" i="9"/>
  <c r="AE159" i="9"/>
  <c r="AA891" i="9"/>
  <c r="AA414" i="9"/>
  <c r="AE278" i="9"/>
  <c r="AE194" i="9"/>
  <c r="AE126" i="9"/>
  <c r="AE62" i="9"/>
  <c r="AA990" i="9"/>
  <c r="AA926" i="9"/>
  <c r="AA862" i="9"/>
  <c r="AA777" i="9"/>
  <c r="AA663" i="9"/>
  <c r="AE341" i="9"/>
  <c r="AE277" i="9"/>
  <c r="AE213" i="9"/>
  <c r="AE149" i="9"/>
  <c r="AE85" i="9"/>
  <c r="AE21" i="9"/>
  <c r="AA945" i="9"/>
  <c r="AA881" i="9"/>
  <c r="AA802" i="9"/>
  <c r="AA711" i="9"/>
  <c r="AA446" i="9"/>
  <c r="AA630" i="9"/>
  <c r="AA556" i="9"/>
  <c r="AA471" i="9"/>
  <c r="AA350" i="9"/>
  <c r="AE527" i="9"/>
  <c r="AA888" i="9"/>
  <c r="AE314" i="9"/>
  <c r="AE26" i="9"/>
  <c r="AA729" i="9"/>
  <c r="AE177" i="9"/>
  <c r="AA909" i="9"/>
  <c r="AA658" i="9"/>
  <c r="AA222" i="9"/>
  <c r="AA661" i="9"/>
  <c r="AA534" i="9"/>
  <c r="AA422" i="9"/>
  <c r="AA122" i="9"/>
  <c r="AA812" i="9"/>
  <c r="AA740" i="9"/>
  <c r="AA676" i="9"/>
  <c r="AA612" i="9"/>
  <c r="AA532" i="9"/>
  <c r="AA447" i="9"/>
  <c r="AA278" i="9"/>
  <c r="AA21" i="9"/>
  <c r="AA146" i="9"/>
  <c r="AA565" i="9"/>
  <c r="AA501" i="9"/>
  <c r="AA437" i="9"/>
  <c r="AA373" i="9"/>
  <c r="AA309" i="9"/>
  <c r="AA245" i="9"/>
  <c r="AA181" i="9"/>
  <c r="AA117" i="9"/>
  <c r="AA53" i="9"/>
  <c r="AA352" i="9"/>
  <c r="AA288" i="9"/>
  <c r="AA224" i="9"/>
  <c r="AA160" i="9"/>
  <c r="AA96" i="9"/>
  <c r="AA32" i="9"/>
  <c r="AA391" i="9"/>
  <c r="AA327" i="9"/>
  <c r="AA263" i="9"/>
  <c r="AA199" i="9"/>
  <c r="AA135" i="9"/>
  <c r="AA71" i="9"/>
  <c r="AE858" i="9"/>
  <c r="AE207" i="9"/>
  <c r="AE210" i="9"/>
  <c r="AA938" i="9"/>
  <c r="AA408" i="9"/>
  <c r="AE97" i="9"/>
  <c r="AA818" i="9"/>
  <c r="AA572" i="9"/>
  <c r="AA78" i="9"/>
  <c r="AA625" i="9"/>
  <c r="AA502" i="9"/>
  <c r="AA346" i="9"/>
  <c r="AA5" i="9"/>
  <c r="AA788" i="9"/>
  <c r="AA720" i="9"/>
  <c r="AA656" i="9"/>
  <c r="AA591" i="9"/>
  <c r="AA506" i="9"/>
  <c r="AA420" i="9"/>
  <c r="AA198" i="9"/>
  <c r="AA322" i="9"/>
  <c r="AA66" i="9"/>
  <c r="AA545" i="9"/>
  <c r="AA481" i="9"/>
  <c r="AA417" i="9"/>
  <c r="AA353" i="9"/>
  <c r="AA289" i="9"/>
  <c r="AA225" i="9"/>
  <c r="AA161" i="9"/>
  <c r="AA81" i="9"/>
  <c r="AA316" i="9"/>
  <c r="AA236" i="9"/>
  <c r="AA156" i="9"/>
  <c r="AA28" i="9"/>
  <c r="AA323" i="9"/>
  <c r="AA67" i="9"/>
  <c r="AA986" i="9"/>
  <c r="AA626" i="9"/>
  <c r="AA406" i="9"/>
  <c r="AA668" i="9"/>
  <c r="AA246" i="9"/>
  <c r="AA557" i="9"/>
  <c r="AA301" i="9"/>
  <c r="AA45" i="9"/>
  <c r="AE110" i="9"/>
  <c r="AE46" i="9"/>
  <c r="AA974" i="9"/>
  <c r="AA910" i="9"/>
  <c r="AA841" i="9"/>
  <c r="AA755" i="9"/>
  <c r="AA599" i="9"/>
  <c r="AE325" i="9"/>
  <c r="AE261" i="9"/>
  <c r="AE197" i="9"/>
  <c r="AE133" i="9"/>
  <c r="AE69" i="9"/>
  <c r="AE5" i="9"/>
  <c r="AA929" i="9"/>
  <c r="AA865" i="9"/>
  <c r="AA781" i="9"/>
  <c r="AA675" i="9"/>
  <c r="AA678" i="9"/>
  <c r="AA614" i="9"/>
  <c r="AA535" i="9"/>
  <c r="AA450" i="9"/>
  <c r="AA286" i="9"/>
  <c r="AE56" i="9"/>
  <c r="AE271" i="9"/>
  <c r="AE230" i="9"/>
  <c r="AA954" i="9"/>
  <c r="AA494" i="9"/>
  <c r="AE113" i="9"/>
  <c r="AA839" i="9"/>
  <c r="AA594" i="9"/>
  <c r="AA94" i="9"/>
  <c r="AA629" i="9"/>
  <c r="AA507" i="9"/>
  <c r="AA378" i="9"/>
  <c r="AA26" i="9"/>
  <c r="AA792" i="9"/>
  <c r="AA724" i="9"/>
  <c r="AA660" i="9"/>
  <c r="AA596" i="9"/>
  <c r="AA511" i="9"/>
  <c r="AA426" i="9"/>
  <c r="AA214" i="9"/>
  <c r="AA338" i="9"/>
  <c r="AA82" i="9"/>
  <c r="AA549" i="9"/>
  <c r="AA485" i="9"/>
  <c r="AA421" i="9"/>
  <c r="AA357" i="9"/>
  <c r="AA293" i="9"/>
  <c r="AA229" i="9"/>
  <c r="AA165" i="9"/>
  <c r="AA101" i="9"/>
  <c r="AA37" i="9"/>
  <c r="AA400" i="9"/>
  <c r="AA336" i="9"/>
  <c r="AA272" i="9"/>
  <c r="AA208" i="9"/>
  <c r="AA144" i="9"/>
  <c r="AA80" i="9"/>
  <c r="AA13" i="9"/>
  <c r="AA375" i="9"/>
  <c r="AA311" i="9"/>
  <c r="AA247" i="9"/>
  <c r="AA183" i="9"/>
  <c r="AA119" i="9"/>
  <c r="AA55" i="9"/>
  <c r="AE376" i="9"/>
  <c r="AE602" i="9"/>
  <c r="AA939" i="9"/>
  <c r="AE138" i="9"/>
  <c r="AA874" i="9"/>
  <c r="AE289" i="9"/>
  <c r="AE33" i="9"/>
  <c r="AA733" i="9"/>
  <c r="AA487" i="9"/>
  <c r="AA721" i="9"/>
  <c r="AA592" i="9"/>
  <c r="AA470" i="9"/>
  <c r="AA266" i="9"/>
  <c r="AA852" i="9"/>
  <c r="AA768" i="9"/>
  <c r="AA704" i="9"/>
  <c r="AA640" i="9"/>
  <c r="AA570" i="9"/>
  <c r="AA484" i="9"/>
  <c r="AA390" i="9"/>
  <c r="AA134" i="9"/>
  <c r="AA258" i="9"/>
  <c r="AA593" i="9"/>
  <c r="AA529" i="9"/>
  <c r="AA465" i="9"/>
  <c r="AA401" i="9"/>
  <c r="AA337" i="9"/>
  <c r="AA273" i="9"/>
  <c r="AA209" i="9"/>
  <c r="AA145" i="9"/>
  <c r="AA65" i="9"/>
  <c r="AA380" i="9"/>
  <c r="AA300" i="9"/>
  <c r="AA220" i="9"/>
  <c r="AA108" i="9"/>
  <c r="AA259" i="9"/>
  <c r="AE399" i="9"/>
  <c r="AA647" i="9"/>
  <c r="AA158" i="9"/>
  <c r="AA74" i="9"/>
  <c r="AA604" i="9"/>
  <c r="AA493" i="9"/>
  <c r="AA237" i="9"/>
  <c r="AA344" i="9"/>
  <c r="AA280" i="9"/>
  <c r="AA216" i="9"/>
  <c r="AA152" i="9"/>
  <c r="AA88" i="9"/>
  <c r="AA24" i="9"/>
  <c r="AA383" i="9"/>
  <c r="AA319" i="9"/>
  <c r="AA255" i="9"/>
  <c r="AA191" i="9"/>
  <c r="AA127" i="9"/>
  <c r="AA63" i="9"/>
  <c r="AA97" i="9"/>
  <c r="AA33" i="9"/>
  <c r="AA396" i="9"/>
  <c r="AA332" i="9"/>
  <c r="AA268" i="9"/>
  <c r="AA204" i="9"/>
  <c r="AA140" i="9"/>
  <c r="AA76" i="9"/>
  <c r="AA8" i="9"/>
  <c r="AA371" i="9"/>
  <c r="AA307" i="9"/>
  <c r="AA243" i="9"/>
  <c r="AA179" i="9"/>
  <c r="AA115" i="9"/>
  <c r="AA51" i="9"/>
  <c r="AE794" i="9"/>
  <c r="AE143" i="9"/>
  <c r="AE186" i="9"/>
  <c r="AA922" i="9"/>
  <c r="AE337" i="9"/>
  <c r="AE81" i="9"/>
  <c r="AA797" i="9"/>
  <c r="AA551" i="9"/>
  <c r="AA30" i="9"/>
  <c r="AA613" i="9"/>
  <c r="AA491" i="9"/>
  <c r="AA330" i="9"/>
  <c r="AA780" i="9"/>
  <c r="AA716" i="9"/>
  <c r="AA652" i="9"/>
  <c r="AA586" i="9"/>
  <c r="AA500" i="9"/>
  <c r="AA415" i="9"/>
  <c r="AA182" i="9"/>
  <c r="AA306" i="9"/>
  <c r="AA50" i="9"/>
  <c r="AA541" i="9"/>
  <c r="AA477" i="9"/>
  <c r="AA413" i="9"/>
  <c r="AA349" i="9"/>
  <c r="AA285" i="9"/>
  <c r="AA221" i="9"/>
  <c r="AA157" i="9"/>
  <c r="AA93" i="9"/>
  <c r="AA29" i="9"/>
  <c r="AA392" i="9"/>
  <c r="AA328" i="9"/>
  <c r="AA264" i="9"/>
  <c r="AA200" i="9"/>
  <c r="AA136" i="9"/>
  <c r="AA72" i="9"/>
  <c r="AA2" i="9"/>
  <c r="AA367" i="9"/>
  <c r="AA303" i="9"/>
  <c r="AA239" i="9"/>
  <c r="AA175" i="9"/>
  <c r="AA111" i="9"/>
  <c r="AA47" i="9"/>
  <c r="AA124" i="9"/>
  <c r="AA60" i="9"/>
  <c r="AA355" i="9"/>
  <c r="AA291" i="9"/>
  <c r="AA227" i="9"/>
  <c r="AA163" i="9"/>
  <c r="AA99" i="9"/>
  <c r="AA35" i="9"/>
  <c r="AE220" i="9"/>
  <c r="AE538" i="9"/>
  <c r="AA875" i="9"/>
  <c r="AE122" i="9"/>
  <c r="AA857" i="9"/>
  <c r="AE273" i="9"/>
  <c r="AE17" i="9"/>
  <c r="AA703" i="9"/>
  <c r="AA466" i="9"/>
  <c r="AA709" i="9"/>
  <c r="AA576" i="9"/>
  <c r="AA464" i="9"/>
  <c r="AA250" i="9"/>
  <c r="AA844" i="9"/>
  <c r="AA764" i="9"/>
  <c r="AA700" i="9"/>
  <c r="AA636" i="9"/>
  <c r="AA564" i="9"/>
  <c r="AA479" i="9"/>
  <c r="AA374" i="9"/>
  <c r="AA118" i="9"/>
  <c r="AA242" i="9"/>
  <c r="AA589" i="9"/>
  <c r="AA525" i="9"/>
  <c r="AA461" i="9"/>
  <c r="AA397" i="9"/>
  <c r="AA333" i="9"/>
  <c r="AA269" i="9"/>
  <c r="AA205" i="9"/>
  <c r="AA141" i="9"/>
  <c r="AA77" i="9"/>
  <c r="AA9" i="9"/>
  <c r="AA376" i="9"/>
  <c r="AA312" i="9"/>
  <c r="AA248" i="9"/>
  <c r="AA184" i="9"/>
  <c r="AA120" i="9"/>
  <c r="AA56" i="9"/>
  <c r="AA351" i="9"/>
  <c r="AA287" i="9"/>
  <c r="AA223" i="9"/>
  <c r="AA159" i="9"/>
  <c r="AA95" i="9"/>
  <c r="AA31" i="9"/>
  <c r="AA339" i="9"/>
  <c r="AA275" i="9"/>
  <c r="AA211" i="9"/>
  <c r="AA147" i="9"/>
  <c r="AA83" i="9"/>
  <c r="AA17" i="9"/>
  <c r="AA11" i="9"/>
  <c r="AE655" i="9"/>
  <c r="AE100" i="9"/>
  <c r="AE362" i="9"/>
  <c r="AE58" i="9"/>
  <c r="AA771" i="9"/>
  <c r="AE209" i="9"/>
  <c r="AA941" i="9"/>
  <c r="AA424" i="9"/>
  <c r="AA334" i="9"/>
  <c r="AA677" i="9"/>
  <c r="AA550" i="9"/>
  <c r="AA438" i="9"/>
  <c r="AA154" i="9"/>
  <c r="AA824" i="9"/>
  <c r="AA748" i="9"/>
  <c r="AA684" i="9"/>
  <c r="AA620" i="9"/>
  <c r="AA543" i="9"/>
  <c r="AA458" i="9"/>
  <c r="AA310" i="9"/>
  <c r="AA54" i="9"/>
  <c r="AA178" i="9"/>
  <c r="AA573" i="9"/>
  <c r="AA509" i="9"/>
  <c r="AA445" i="9"/>
  <c r="AA381" i="9"/>
  <c r="AA317" i="9"/>
  <c r="AA253" i="9"/>
  <c r="AA189" i="9"/>
  <c r="AA125" i="9"/>
  <c r="AA61" i="9"/>
  <c r="AA360" i="9"/>
  <c r="AA296" i="9"/>
  <c r="AA232" i="9"/>
  <c r="AA168" i="9"/>
  <c r="AA104" i="9"/>
  <c r="AA40" i="9"/>
  <c r="AA399" i="9"/>
  <c r="AA335" i="9"/>
  <c r="AA271" i="9"/>
  <c r="AA207" i="9"/>
  <c r="AA143" i="9"/>
  <c r="AA79" i="9"/>
  <c r="AA12" i="9"/>
  <c r="AA7" i="9"/>
  <c r="AE504" i="9"/>
  <c r="AE730" i="9"/>
  <c r="AE79" i="9"/>
  <c r="AE170" i="9"/>
  <c r="AA906" i="9"/>
  <c r="AE321" i="9"/>
  <c r="AE65" i="9"/>
  <c r="AA775" i="9"/>
  <c r="AA530" i="9"/>
  <c r="AA10" i="9"/>
  <c r="AA609" i="9"/>
  <c r="AA486" i="9"/>
  <c r="AA314" i="9"/>
  <c r="AA860" i="9"/>
  <c r="AA776" i="9"/>
  <c r="AA712" i="9"/>
  <c r="AA648" i="9"/>
  <c r="AA580" i="9"/>
  <c r="AA495" i="9"/>
  <c r="AA410" i="9"/>
  <c r="AA166" i="9"/>
  <c r="AA290" i="9"/>
  <c r="AA34" i="9"/>
  <c r="AA537" i="9"/>
  <c r="AA473" i="9"/>
  <c r="AA409" i="9"/>
  <c r="AA345" i="9"/>
  <c r="AA281" i="9"/>
  <c r="AA217" i="9"/>
  <c r="AA153" i="9"/>
  <c r="AA89" i="9"/>
  <c r="AA25" i="9"/>
  <c r="AA388" i="9"/>
  <c r="AA324" i="9"/>
  <c r="AA260" i="9"/>
  <c r="AA196" i="9"/>
  <c r="AA132" i="9"/>
  <c r="AA68" i="9"/>
  <c r="AA315" i="9"/>
  <c r="AA59" i="9"/>
  <c r="AA171" i="9"/>
  <c r="AE847" i="9"/>
  <c r="AE474" i="9"/>
  <c r="AA794" i="9"/>
  <c r="AE106" i="9"/>
  <c r="AA835" i="9"/>
  <c r="AE257" i="9"/>
  <c r="AA989" i="9"/>
  <c r="AA659" i="9"/>
  <c r="AA444" i="9"/>
  <c r="AA705" i="9"/>
  <c r="AA571" i="9"/>
  <c r="AA459" i="9"/>
  <c r="AA218" i="9"/>
  <c r="AA840" i="9"/>
  <c r="AA760" i="9"/>
  <c r="AA696" i="9"/>
  <c r="AA632" i="9"/>
  <c r="AA559" i="9"/>
  <c r="AA474" i="9"/>
  <c r="AA358" i="9"/>
  <c r="AA102" i="9"/>
  <c r="AA226" i="9"/>
  <c r="AA585" i="9"/>
  <c r="AA521" i="9"/>
  <c r="AA457" i="9"/>
  <c r="AA393" i="9"/>
  <c r="AA329" i="9"/>
  <c r="AA265" i="9"/>
  <c r="AA201" i="9"/>
  <c r="AA137" i="9"/>
  <c r="AA73" i="9"/>
  <c r="AA4" i="9"/>
  <c r="AA372" i="9"/>
  <c r="AA308" i="9"/>
  <c r="AA244" i="9"/>
  <c r="AA180" i="9"/>
  <c r="AA116" i="9"/>
  <c r="AA52" i="9"/>
  <c r="AA251" i="9"/>
  <c r="AA107" i="9"/>
  <c r="AE591" i="9"/>
  <c r="AA952" i="9"/>
  <c r="AE338" i="9"/>
  <c r="AE42" i="9"/>
  <c r="AA750" i="9"/>
  <c r="AE193" i="9"/>
  <c r="AA925" i="9"/>
  <c r="AA674" i="9"/>
  <c r="AA270" i="9"/>
  <c r="AA673" i="9"/>
  <c r="AA544" i="9"/>
  <c r="AA427" i="9"/>
  <c r="AA138" i="9"/>
  <c r="AA820" i="9"/>
  <c r="AA744" i="9"/>
  <c r="AA680" i="9"/>
  <c r="AA616" i="9"/>
  <c r="AA538" i="9"/>
  <c r="AA452" i="9"/>
  <c r="AA294" i="9"/>
  <c r="AA38" i="9"/>
  <c r="AA162" i="9"/>
  <c r="AA569" i="9"/>
  <c r="AA505" i="9"/>
  <c r="AA441" i="9"/>
  <c r="AA377" i="9"/>
  <c r="AA313" i="9"/>
  <c r="AA249" i="9"/>
  <c r="AA185" i="9"/>
  <c r="AA121" i="9"/>
  <c r="AA57" i="9"/>
  <c r="AA356" i="9"/>
  <c r="AA292" i="9"/>
  <c r="AA228" i="9"/>
  <c r="AA164" i="9"/>
  <c r="AA100" i="9"/>
  <c r="AA36" i="9"/>
  <c r="AA187" i="9"/>
  <c r="AA363" i="9"/>
  <c r="AA23" i="9"/>
  <c r="AE312" i="9"/>
  <c r="AA483" i="9"/>
  <c r="AE250" i="9"/>
  <c r="AA970" i="9"/>
  <c r="AA579" i="9"/>
  <c r="AE129" i="9"/>
  <c r="AA861" i="9"/>
  <c r="AA610" i="9"/>
  <c r="AA142" i="9"/>
  <c r="AA641" i="9"/>
  <c r="AA512" i="9"/>
  <c r="AA394" i="9"/>
  <c r="AA58" i="9"/>
  <c r="AA796" i="9"/>
  <c r="AA728" i="9"/>
  <c r="AA664" i="9"/>
  <c r="AA600" i="9"/>
  <c r="AA516" i="9"/>
  <c r="AA431" i="9"/>
  <c r="AA230" i="9"/>
  <c r="AA98" i="9"/>
  <c r="AA553" i="9"/>
  <c r="AA489" i="9"/>
  <c r="AA425" i="9"/>
  <c r="AA361" i="9"/>
  <c r="AA297" i="9"/>
  <c r="AA233" i="9"/>
  <c r="AA169" i="9"/>
  <c r="AA105" i="9"/>
  <c r="AA41" i="9"/>
  <c r="AA404" i="9"/>
  <c r="AA340" i="9"/>
  <c r="AA276" i="9"/>
  <c r="AA212" i="9"/>
  <c r="AA148" i="9"/>
  <c r="AA84" i="9"/>
  <c r="AA18" i="9"/>
  <c r="AA379" i="9"/>
  <c r="AA123" i="9"/>
  <c r="AA299" i="9"/>
  <c r="AA43" i="9"/>
  <c r="AA347" i="9"/>
  <c r="AA91" i="9"/>
  <c r="AA19" i="9"/>
  <c r="AA267" i="9"/>
  <c r="AA6" i="9"/>
  <c r="AA235" i="9"/>
  <c r="AA283" i="9"/>
  <c r="AA27" i="9"/>
  <c r="AA203" i="9"/>
  <c r="AA219" i="9"/>
  <c r="AA395" i="9"/>
  <c r="AA139" i="9"/>
  <c r="AA155" i="9"/>
  <c r="AA331" i="9"/>
  <c r="AA75" i="9"/>
  <c r="AA3" i="9"/>
  <c r="P1002" i="9"/>
  <c r="AD492" i="9" s="1"/>
  <c r="AD428" i="9" l="1"/>
  <c r="AD640" i="9"/>
  <c r="AD899" i="9"/>
  <c r="AD624" i="9"/>
  <c r="AD755" i="9"/>
  <c r="AD607" i="9"/>
  <c r="AD194" i="9"/>
  <c r="AD855" i="9"/>
  <c r="AD511" i="9"/>
  <c r="AD815" i="9"/>
  <c r="AD538" i="9"/>
  <c r="AD628" i="9"/>
  <c r="AD690" i="9"/>
  <c r="AD673" i="9"/>
  <c r="AD419" i="9"/>
  <c r="AD361" i="9"/>
  <c r="AD803" i="9"/>
  <c r="AD600" i="9"/>
  <c r="AD727" i="9"/>
  <c r="AD353" i="9"/>
  <c r="AD339" i="9"/>
  <c r="AD539" i="9"/>
  <c r="AD527" i="9"/>
  <c r="AD907" i="9"/>
  <c r="AD689" i="9"/>
  <c r="AD291" i="9"/>
  <c r="AD369" i="9"/>
  <c r="AD495" i="9"/>
  <c r="AD636" i="9"/>
  <c r="AD310" i="9"/>
  <c r="AD481" i="9"/>
  <c r="AD345" i="9"/>
  <c r="AD417" i="9"/>
  <c r="AD401" i="9"/>
  <c r="AD201" i="9"/>
  <c r="AD317" i="9"/>
  <c r="AD259" i="9"/>
  <c r="AD635" i="9"/>
  <c r="AD634" i="9"/>
  <c r="AD827" i="9"/>
  <c r="AD674" i="9"/>
  <c r="AD598" i="9"/>
  <c r="AD572" i="9"/>
  <c r="AD547" i="9"/>
  <c r="AD601" i="9"/>
  <c r="AD360" i="9"/>
  <c r="AD89" i="9"/>
  <c r="AD619" i="9"/>
  <c r="AD568" i="9"/>
  <c r="AD435" i="9"/>
  <c r="AD585" i="9"/>
  <c r="AD414" i="9"/>
  <c r="AD608" i="9"/>
  <c r="AD664" i="9"/>
  <c r="AD723" i="9"/>
  <c r="AD626" i="9"/>
  <c r="AD328" i="9"/>
  <c r="AD562" i="9"/>
  <c r="AD947" i="9"/>
  <c r="AD719" i="9"/>
  <c r="AD296" i="9"/>
  <c r="AD44" i="9"/>
  <c r="AD512" i="9"/>
  <c r="AD648" i="9"/>
  <c r="AD959" i="9"/>
  <c r="AD490" i="9"/>
  <c r="AB910" i="9"/>
  <c r="AD679" i="9"/>
  <c r="AD698" i="9"/>
  <c r="AD576" i="9"/>
  <c r="AD883" i="9"/>
  <c r="AD397" i="9"/>
  <c r="AD195" i="9"/>
  <c r="AD337" i="9"/>
  <c r="AD879" i="9"/>
  <c r="AD549" i="9"/>
  <c r="AD531" i="9"/>
  <c r="AD532" i="9"/>
  <c r="AD3" i="9"/>
  <c r="AD1000" i="9"/>
  <c r="AD995" i="9"/>
  <c r="AC994" i="9"/>
  <c r="AC999" i="9"/>
  <c r="AC1001" i="9"/>
  <c r="AB769" i="9"/>
  <c r="AB837" i="9"/>
  <c r="AB669" i="9"/>
  <c r="AB637" i="9"/>
  <c r="AB311" i="9"/>
  <c r="AC615" i="9"/>
  <c r="AB284" i="9"/>
  <c r="AC13" i="9"/>
  <c r="AB56" i="9"/>
  <c r="AB493" i="9"/>
  <c r="AB483" i="9"/>
  <c r="AB358" i="9"/>
  <c r="AB403" i="9"/>
  <c r="AB918" i="9"/>
  <c r="AB16" i="9"/>
  <c r="AC894" i="9"/>
  <c r="AC52" i="9"/>
  <c r="AB996" i="9"/>
  <c r="AB391" i="9"/>
  <c r="AB864" i="9"/>
  <c r="AB477" i="9"/>
  <c r="AB970" i="9"/>
  <c r="AB765" i="9"/>
  <c r="AB827" i="9"/>
  <c r="AB859" i="9"/>
  <c r="AB736" i="9"/>
  <c r="AB739" i="9"/>
  <c r="AB799" i="9"/>
  <c r="AB849" i="9"/>
  <c r="AB375" i="9"/>
  <c r="AB4" i="9"/>
  <c r="AB658" i="9"/>
  <c r="AB940" i="9"/>
  <c r="AB599" i="9"/>
  <c r="AB734" i="9"/>
  <c r="AC314" i="9"/>
  <c r="AB29" i="9"/>
  <c r="AC791" i="9"/>
  <c r="AB210" i="9"/>
  <c r="AB143" i="9"/>
  <c r="AC964" i="9"/>
  <c r="AC937" i="9"/>
  <c r="AC73" i="9"/>
  <c r="AB431" i="9"/>
  <c r="AB313" i="9"/>
  <c r="AC417" i="9"/>
  <c r="AD748" i="9"/>
  <c r="AC516" i="9"/>
  <c r="AB428" i="9"/>
  <c r="AB571" i="9"/>
  <c r="AB548" i="9"/>
  <c r="AB664" i="9"/>
  <c r="AC341" i="9"/>
  <c r="AB125" i="9"/>
  <c r="AC619" i="9"/>
  <c r="AB635" i="9"/>
  <c r="AB368" i="9"/>
  <c r="AB475" i="9"/>
  <c r="AB412" i="9"/>
  <c r="AD1001" i="9"/>
  <c r="AD996" i="9"/>
  <c r="AD991" i="9"/>
  <c r="AC3" i="9"/>
  <c r="AC992" i="9"/>
  <c r="AC993" i="9"/>
  <c r="AB875" i="9"/>
  <c r="AB683" i="9"/>
  <c r="AB444" i="9"/>
  <c r="AB419" i="9"/>
  <c r="AB893" i="9"/>
  <c r="AB257" i="9"/>
  <c r="AB950" i="9"/>
  <c r="AC35" i="9"/>
  <c r="AC957" i="9"/>
  <c r="AB583" i="9"/>
  <c r="AB847" i="9"/>
  <c r="AB675" i="9"/>
  <c r="AB619" i="9"/>
  <c r="AB285" i="9"/>
  <c r="AB410" i="9"/>
  <c r="AC790" i="9"/>
  <c r="AC324" i="9"/>
  <c r="AB704" i="9"/>
  <c r="AB796" i="9"/>
  <c r="AB867" i="9"/>
  <c r="AB709" i="9"/>
  <c r="AB468" i="9"/>
  <c r="AB343" i="9"/>
  <c r="AB735" i="9"/>
  <c r="AB812" i="9"/>
  <c r="AB878" i="9"/>
  <c r="AB790" i="9"/>
  <c r="AB828" i="9"/>
  <c r="AB604" i="9"/>
  <c r="AB355" i="9"/>
  <c r="AB460" i="9"/>
  <c r="AB308" i="9"/>
  <c r="AB502" i="9"/>
  <c r="AC965" i="9"/>
  <c r="AB45" i="9"/>
  <c r="AC760" i="9"/>
  <c r="AB605" i="9"/>
  <c r="AB639" i="9"/>
  <c r="AC545" i="9"/>
  <c r="AB660" i="9"/>
  <c r="AC563" i="9"/>
  <c r="AC528" i="9"/>
  <c r="AB378" i="9"/>
  <c r="AB982" i="9"/>
  <c r="AC540" i="9"/>
  <c r="AC748" i="9"/>
  <c r="AC415" i="9"/>
  <c r="AB139" i="9"/>
  <c r="AB886" i="9"/>
  <c r="AB584" i="9"/>
  <c r="AB780" i="9"/>
  <c r="AC300" i="9"/>
  <c r="AB60" i="9"/>
  <c r="AB634" i="9"/>
  <c r="AB459" i="9"/>
  <c r="AB699" i="9"/>
  <c r="AB916" i="9"/>
  <c r="AB624" i="9"/>
  <c r="AB817" i="9"/>
  <c r="AB512" i="9"/>
  <c r="AB423" i="9"/>
  <c r="AB976" i="9"/>
  <c r="AB630" i="9"/>
  <c r="AB87" i="9"/>
  <c r="AB402" i="9"/>
  <c r="AB991" i="9"/>
  <c r="AB649" i="9"/>
  <c r="AB478" i="9"/>
  <c r="AC477" i="9"/>
  <c r="AB112" i="9"/>
  <c r="AC526" i="9"/>
  <c r="AC530" i="9"/>
  <c r="AB222" i="9"/>
  <c r="AC708" i="9"/>
  <c r="AC422" i="9"/>
  <c r="AC739" i="9"/>
  <c r="AB341" i="9"/>
  <c r="AB140" i="9"/>
  <c r="AC610" i="9"/>
  <c r="AD997" i="9"/>
  <c r="AD992" i="9"/>
  <c r="AD998" i="9"/>
  <c r="AC991" i="9"/>
  <c r="AC996" i="9"/>
  <c r="AC998" i="9"/>
  <c r="AB792" i="9"/>
  <c r="AB753" i="9"/>
  <c r="AB850" i="9"/>
  <c r="AB568" i="9"/>
  <c r="AB977" i="9"/>
  <c r="AC288" i="9"/>
  <c r="AC629" i="9"/>
  <c r="AC609" i="9"/>
  <c r="AC796" i="9"/>
  <c r="AB904" i="9"/>
  <c r="AB492" i="9"/>
  <c r="AB693" i="9"/>
  <c r="AC631" i="9"/>
  <c r="AB811" i="9"/>
  <c r="AC597" i="9"/>
  <c r="AC583" i="9"/>
  <c r="AB652" i="9"/>
  <c r="AB767" i="9"/>
  <c r="AB898" i="9"/>
  <c r="AB787" i="9"/>
  <c r="AB595" i="9"/>
  <c r="AB980" i="9"/>
  <c r="AB936" i="9"/>
  <c r="AB563" i="9"/>
  <c r="AB928" i="9"/>
  <c r="AB964" i="9"/>
  <c r="AB520" i="9"/>
  <c r="AB813" i="9"/>
  <c r="AB472" i="9"/>
  <c r="AB482" i="9"/>
  <c r="AB487" i="9"/>
  <c r="AB688" i="9"/>
  <c r="AB409" i="9"/>
  <c r="AC776" i="9"/>
  <c r="AB34" i="9"/>
  <c r="AB919" i="9"/>
  <c r="AB246" i="9"/>
  <c r="AB469" i="9"/>
  <c r="AC771" i="9"/>
  <c r="AB814" i="9"/>
  <c r="AB281" i="9"/>
  <c r="AB291" i="9"/>
  <c r="AB28" i="9"/>
  <c r="AC77" i="9"/>
  <c r="AC735" i="9"/>
  <c r="AC428" i="9"/>
  <c r="AB332" i="9"/>
  <c r="AC325" i="9"/>
  <c r="AB744" i="9"/>
  <c r="AB844" i="9"/>
  <c r="AB491" i="9"/>
  <c r="AB301" i="9"/>
  <c r="AD993" i="9"/>
  <c r="AC1000" i="9"/>
  <c r="AB725" i="9"/>
  <c r="AB577" i="9"/>
  <c r="AB879" i="9"/>
  <c r="AB545" i="9"/>
  <c r="AB748" i="9"/>
  <c r="AB949" i="9"/>
  <c r="AB885" i="9"/>
  <c r="AB724" i="9"/>
  <c r="AB515" i="9"/>
  <c r="AB497" i="9"/>
  <c r="AB348" i="9"/>
  <c r="AC928" i="9"/>
  <c r="AB610" i="9"/>
  <c r="AC41" i="9"/>
  <c r="AB761" i="9"/>
  <c r="AB572" i="9"/>
  <c r="AB825" i="9"/>
  <c r="AB912" i="9"/>
  <c r="AB863" i="9"/>
  <c r="AB177" i="9"/>
  <c r="AB52" i="9"/>
  <c r="AB145" i="9"/>
  <c r="AB516" i="9"/>
  <c r="AC485" i="9"/>
  <c r="AC586" i="9"/>
  <c r="AB622" i="9"/>
  <c r="AC805" i="9"/>
  <c r="AB25" i="9"/>
  <c r="AC502" i="9"/>
  <c r="AC353" i="9"/>
  <c r="AC426" i="9"/>
  <c r="AC142" i="9"/>
  <c r="AC672" i="9"/>
  <c r="AB503" i="9"/>
  <c r="AB636" i="9"/>
  <c r="AB892" i="9"/>
  <c r="AB564" i="9"/>
  <c r="AB975" i="9"/>
  <c r="AB463" i="9"/>
  <c r="AC769" i="9"/>
  <c r="AC628" i="9"/>
  <c r="AD850" i="9"/>
  <c r="AB662" i="9"/>
  <c r="AB889" i="9"/>
  <c r="AB857" i="9"/>
  <c r="AB676" i="9"/>
  <c r="AB440" i="9"/>
  <c r="AB894" i="9"/>
  <c r="AB806" i="9"/>
  <c r="AB667" i="9"/>
  <c r="AB573" i="9"/>
  <c r="AB768" i="9"/>
  <c r="AB771" i="9"/>
  <c r="AB838" i="9"/>
  <c r="AB909" i="9"/>
  <c r="AB747" i="9"/>
  <c r="AB685" i="9"/>
  <c r="AB710" i="9"/>
  <c r="AB756" i="9"/>
  <c r="AB569" i="9"/>
  <c r="AB540" i="9"/>
  <c r="AB427" i="9"/>
  <c r="AB228" i="9"/>
  <c r="AC887" i="9"/>
  <c r="AB703" i="9"/>
  <c r="AB528" i="9"/>
  <c r="AC718" i="9"/>
  <c r="AC750" i="9"/>
  <c r="AB666" i="9"/>
  <c r="AB96" i="9"/>
  <c r="AB108" i="9"/>
  <c r="AC717" i="9"/>
  <c r="AB190" i="9"/>
  <c r="AC458" i="9"/>
  <c r="AB181" i="9"/>
  <c r="AC161" i="9"/>
  <c r="AC958" i="9"/>
  <c r="AC310" i="9"/>
  <c r="AC189" i="9"/>
  <c r="AB620" i="9"/>
  <c r="AB852" i="9"/>
  <c r="AB342" i="9"/>
  <c r="AB408" i="9"/>
  <c r="AD999" i="9"/>
  <c r="AC997" i="9"/>
  <c r="AB214" i="9"/>
  <c r="AC783" i="9"/>
  <c r="AB260" i="9"/>
  <c r="AC520" i="9"/>
  <c r="AB499" i="9"/>
  <c r="AB922" i="9"/>
  <c r="AB711" i="9"/>
  <c r="AB603" i="9"/>
  <c r="AB718" i="9"/>
  <c r="AB934" i="9"/>
  <c r="AC595" i="9"/>
  <c r="AB789" i="9"/>
  <c r="AB801" i="9"/>
  <c r="AB264" i="9"/>
  <c r="AB672" i="9"/>
  <c r="AB805" i="9"/>
  <c r="AB621" i="9"/>
  <c r="AB416" i="9"/>
  <c r="AB640" i="9"/>
  <c r="AB784" i="9"/>
  <c r="AB356" i="9"/>
  <c r="AB134" i="9"/>
  <c r="AB128" i="9"/>
  <c r="AB452" i="9"/>
  <c r="AC936" i="9"/>
  <c r="AC916" i="9"/>
  <c r="AB269" i="9"/>
  <c r="AB14" i="9"/>
  <c r="AB465" i="9"/>
  <c r="AC740" i="9"/>
  <c r="AB91" i="9"/>
  <c r="AD705" i="9"/>
  <c r="AB229" i="9"/>
  <c r="AB899" i="9"/>
  <c r="AB532" i="9"/>
  <c r="AB632" i="9"/>
  <c r="AB441" i="9"/>
  <c r="AB941" i="9"/>
  <c r="AC761" i="9"/>
  <c r="AC949" i="9"/>
  <c r="AB322" i="9"/>
  <c r="AB872" i="9"/>
  <c r="AB1000" i="9"/>
  <c r="AB923" i="9"/>
  <c r="AB851" i="9"/>
  <c r="AB866" i="9"/>
  <c r="AB445" i="9"/>
  <c r="AB587" i="9"/>
  <c r="AB785" i="9"/>
  <c r="AB646" i="9"/>
  <c r="AB960" i="9"/>
  <c r="AB740" i="9"/>
  <c r="AB897" i="9"/>
  <c r="AB856" i="9"/>
  <c r="AB956" i="9"/>
  <c r="AB713" i="9"/>
  <c r="AB380" i="9"/>
  <c r="AB659" i="9"/>
  <c r="AB663" i="9"/>
  <c r="AB49" i="9"/>
  <c r="AB822" i="9"/>
  <c r="AB917" i="9"/>
  <c r="AB911" i="9"/>
  <c r="AB592" i="9"/>
  <c r="AB231" i="9"/>
  <c r="AB549" i="9"/>
  <c r="AC680" i="9"/>
  <c r="AB189" i="9"/>
  <c r="AB316" i="9"/>
  <c r="AC642" i="9"/>
  <c r="AC853" i="9"/>
  <c r="AC884" i="9"/>
  <c r="AC984" i="9"/>
  <c r="AB490" i="9"/>
  <c r="AB170" i="9"/>
  <c r="AD994" i="9"/>
  <c r="AB479" i="9"/>
  <c r="AB290" i="9"/>
  <c r="AB945" i="9"/>
  <c r="AB781" i="9"/>
  <c r="AC569" i="9"/>
  <c r="AB8" i="9"/>
  <c r="AB392" i="9"/>
  <c r="AB608" i="9"/>
  <c r="AB692" i="9"/>
  <c r="AB738" i="9"/>
  <c r="AB920" i="9"/>
  <c r="AC813" i="9"/>
  <c r="AB383" i="9"/>
  <c r="AC557" i="9"/>
  <c r="AB111" i="9"/>
  <c r="AC469" i="9"/>
  <c r="AB218" i="9"/>
  <c r="AB576" i="9"/>
  <c r="AB953" i="9"/>
  <c r="AB858" i="9"/>
  <c r="AC851" i="9"/>
  <c r="AB929" i="9"/>
  <c r="AB598" i="9"/>
  <c r="AB868" i="9"/>
  <c r="AB488" i="9"/>
  <c r="AB524" i="9"/>
  <c r="AB931" i="9"/>
  <c r="AB984" i="9"/>
  <c r="AB873" i="9"/>
  <c r="AB461" i="9"/>
  <c r="AB489" i="9"/>
  <c r="AB295" i="9"/>
  <c r="AC649" i="9"/>
  <c r="AB836" i="9"/>
  <c r="AB946" i="9"/>
  <c r="AB370" i="9"/>
  <c r="AB160" i="9"/>
  <c r="AC621" i="9"/>
  <c r="AC291" i="9"/>
  <c r="AC533" i="9"/>
  <c r="AC97" i="9"/>
  <c r="AB933" i="9"/>
  <c r="AB648" i="9"/>
  <c r="AB647" i="9"/>
  <c r="AB989" i="9"/>
  <c r="AB821" i="9"/>
  <c r="AB344" i="9"/>
  <c r="AB888" i="9"/>
  <c r="AB853" i="9"/>
  <c r="AB727" i="9"/>
  <c r="AB882" i="9"/>
  <c r="AB546" i="9"/>
  <c r="AB196" i="9"/>
  <c r="AB681" i="9"/>
  <c r="AB968" i="9"/>
  <c r="AB376" i="9"/>
  <c r="AB337" i="9"/>
  <c r="AB161" i="9"/>
  <c r="AB150" i="9"/>
  <c r="AB788" i="9"/>
  <c r="AB823" i="9"/>
  <c r="AB535" i="9"/>
  <c r="AB601" i="9"/>
  <c r="AB247" i="9"/>
  <c r="AB924" i="9"/>
  <c r="AC409" i="9"/>
  <c r="AC968" i="9"/>
  <c r="AC567" i="9"/>
  <c r="AB415" i="9"/>
  <c r="AB237" i="9"/>
  <c r="AB226" i="9"/>
  <c r="AB843" i="9"/>
  <c r="AC509" i="9"/>
  <c r="AC952" i="9"/>
  <c r="AC548" i="9"/>
  <c r="AB399" i="9"/>
  <c r="AB221" i="9"/>
  <c r="AB557" i="9"/>
  <c r="AB340" i="9"/>
  <c r="AC889" i="9"/>
  <c r="AC983" i="9"/>
  <c r="AB776" i="9"/>
  <c r="AB661" i="9"/>
  <c r="AC298" i="9"/>
  <c r="AB227" i="9"/>
  <c r="AC897" i="9"/>
  <c r="AC963" i="9"/>
  <c r="AB346" i="9"/>
  <c r="AB335" i="9"/>
  <c r="AC493" i="9"/>
  <c r="AC995" i="9"/>
  <c r="AC57" i="9"/>
  <c r="AB382" i="9"/>
  <c r="AB424" i="9"/>
  <c r="AB305" i="9"/>
  <c r="AB815" i="9"/>
  <c r="AC135" i="9"/>
  <c r="AC819" i="9"/>
  <c r="AB684" i="9"/>
  <c r="AB732" i="9"/>
  <c r="AB354" i="9"/>
  <c r="AB834" i="9"/>
  <c r="AB585" i="9"/>
  <c r="AB371" i="9"/>
  <c r="AB714" i="9"/>
  <c r="AC249" i="9"/>
  <c r="AC515" i="9"/>
  <c r="AC669" i="9"/>
  <c r="AB678" i="9"/>
  <c r="AB225" i="9"/>
  <c r="AC664" i="9"/>
  <c r="AC121" i="9"/>
  <c r="AB379" i="9"/>
  <c r="AB777" i="9"/>
  <c r="AB959" i="9"/>
  <c r="AB596" i="9"/>
  <c r="AB359" i="9"/>
  <c r="AB760" i="9"/>
  <c r="AB901" i="9"/>
  <c r="AB552" i="9"/>
  <c r="AB674" i="9"/>
  <c r="AB135" i="9"/>
  <c r="AC665" i="9"/>
  <c r="AC871" i="9"/>
  <c r="AB638" i="9"/>
  <c r="AC856" i="9"/>
  <c r="AB494" i="9"/>
  <c r="AC498" i="9"/>
  <c r="AC875" i="9"/>
  <c r="AC320" i="9"/>
  <c r="AC923" i="9"/>
  <c r="AB869" i="9"/>
  <c r="AB939" i="9"/>
  <c r="AB614" i="9"/>
  <c r="AB582" i="9"/>
  <c r="AB764" i="9"/>
  <c r="AB773" i="9"/>
  <c r="AB436" i="9"/>
  <c r="AB507" i="9"/>
  <c r="AB891" i="9"/>
  <c r="AB877" i="9"/>
  <c r="AB579" i="9"/>
  <c r="AB633" i="9"/>
  <c r="AB279" i="9"/>
  <c r="AB448" i="9"/>
  <c r="AB965" i="9"/>
  <c r="AB484" i="9"/>
  <c r="AB594" i="9"/>
  <c r="AB244" i="9"/>
  <c r="AB422" i="9"/>
  <c r="AB411" i="9"/>
  <c r="AB860" i="9"/>
  <c r="AB589" i="9"/>
  <c r="AB345" i="9"/>
  <c r="AB326" i="9"/>
  <c r="AB438" i="9"/>
  <c r="AC606" i="9"/>
  <c r="AC712" i="9"/>
  <c r="AB871" i="9"/>
  <c r="AB670" i="9"/>
  <c r="AB320" i="9"/>
  <c r="AB930" i="9"/>
  <c r="AB525" i="9"/>
  <c r="AC670" i="9"/>
  <c r="AC696" i="9"/>
  <c r="AB855" i="9"/>
  <c r="AB654" i="9"/>
  <c r="AB304" i="9"/>
  <c r="AB544" i="9"/>
  <c r="AB70" i="9"/>
  <c r="AC486" i="9"/>
  <c r="AC727" i="9"/>
  <c r="AB575" i="9"/>
  <c r="AB895" i="9"/>
  <c r="AB840" i="9"/>
  <c r="AB130" i="9"/>
  <c r="AC460" i="9"/>
  <c r="AC707" i="9"/>
  <c r="AB433" i="9"/>
  <c r="AB390" i="9"/>
  <c r="AB719" i="9"/>
  <c r="AB717" i="9"/>
  <c r="AB759" i="9"/>
  <c r="AB55" i="9"/>
  <c r="AB270" i="9"/>
  <c r="AB705" i="9"/>
  <c r="AB932" i="9"/>
  <c r="AB615" i="9"/>
  <c r="AB745" i="9"/>
  <c r="AB896" i="9"/>
  <c r="AC361" i="9"/>
  <c r="AB462" i="9"/>
  <c r="AC500" i="9"/>
  <c r="AB580" i="9"/>
  <c r="AB746" i="9"/>
  <c r="AC208" i="9"/>
  <c r="AB938" i="9"/>
  <c r="AB689" i="9"/>
  <c r="AB665" i="9"/>
  <c r="AB274" i="9"/>
  <c r="AB504" i="9"/>
  <c r="AB742" i="9"/>
  <c r="AB839" i="9"/>
  <c r="AB406" i="9"/>
  <c r="AB588" i="9"/>
  <c r="AB651" i="9"/>
  <c r="AB531" i="9"/>
  <c r="AB547" i="9"/>
  <c r="AB720" i="9"/>
  <c r="AB166" i="9"/>
  <c r="AB404" i="9"/>
  <c r="AB565" i="9"/>
  <c r="AB195" i="9"/>
  <c r="AC726" i="9"/>
  <c r="AC397" i="9"/>
  <c r="AC450" i="9"/>
  <c r="AC757" i="9"/>
  <c r="AC778" i="9"/>
  <c r="AB312" i="9"/>
  <c r="AC667" i="9"/>
  <c r="AB925" i="9"/>
  <c r="AB870" i="9"/>
  <c r="AB721" i="9"/>
  <c r="AB396" i="9"/>
  <c r="AB973" i="9"/>
  <c r="AB550" i="9"/>
  <c r="AB631" i="9"/>
  <c r="AB803" i="9"/>
  <c r="AB519" i="9"/>
  <c r="AB908" i="9"/>
  <c r="AB374" i="9"/>
  <c r="AB377" i="9"/>
  <c r="AB23" i="9"/>
  <c r="AB995" i="9"/>
  <c r="AB957" i="9"/>
  <c r="AB643" i="9"/>
  <c r="AB333" i="9"/>
  <c r="AB327" i="9"/>
  <c r="AB611" i="9"/>
  <c r="AB943" i="9"/>
  <c r="AB907" i="9"/>
  <c r="AB770" i="9"/>
  <c r="AB81" i="9"/>
  <c r="AB831" i="9"/>
  <c r="AB393" i="9"/>
  <c r="AC690" i="9"/>
  <c r="AC405" i="9"/>
  <c r="AB890" i="9"/>
  <c r="AB414" i="9"/>
  <c r="AB64" i="9"/>
  <c r="AB833" i="9"/>
  <c r="AB321" i="9"/>
  <c r="AC729" i="9"/>
  <c r="AC373" i="9"/>
  <c r="AB874" i="9"/>
  <c r="AB398" i="9"/>
  <c r="AB48" i="9"/>
  <c r="AB783" i="9"/>
  <c r="AC773" i="9"/>
  <c r="AC872" i="9"/>
  <c r="AB456" i="9"/>
  <c r="AB830" i="9"/>
  <c r="AB193" i="9"/>
  <c r="AB366" i="9"/>
  <c r="AB992" i="9"/>
  <c r="AB935" i="9"/>
  <c r="AB832" i="9"/>
  <c r="AB715" i="9"/>
  <c r="AB990" i="9"/>
  <c r="AB191" i="9"/>
  <c r="AB752" i="9"/>
  <c r="AB905" i="9"/>
  <c r="AB211" i="9"/>
  <c r="AB201" i="9"/>
  <c r="AC5" i="9"/>
  <c r="AB372" i="9"/>
  <c r="AB707" i="9"/>
  <c r="AB113" i="9"/>
  <c r="AB566" i="9"/>
  <c r="AB961" i="9"/>
  <c r="AB539" i="9"/>
  <c r="AB671" i="9"/>
  <c r="AB310" i="9"/>
  <c r="AB485" i="9"/>
  <c r="AC616" i="9"/>
  <c r="AB61" i="9"/>
  <c r="AC596" i="9"/>
  <c r="AB252" i="9"/>
  <c r="AB626" i="9"/>
  <c r="AB558" i="9"/>
  <c r="AC602" i="9"/>
  <c r="AC900" i="9"/>
  <c r="AC478" i="9"/>
  <c r="AB217" i="9"/>
  <c r="AB206" i="9"/>
  <c r="AC657" i="9"/>
  <c r="AC903" i="9"/>
  <c r="AB163" i="9"/>
  <c r="AC961" i="9"/>
  <c r="AC931" i="9"/>
  <c r="AB657" i="9"/>
  <c r="AB303" i="9"/>
  <c r="AB694" i="9"/>
  <c r="AB686" i="9"/>
  <c r="AC441" i="9"/>
  <c r="AC932" i="9"/>
  <c r="AC521" i="9"/>
  <c r="AB249" i="9"/>
  <c r="AC390" i="9"/>
  <c r="AC671" i="9"/>
  <c r="AB283" i="9"/>
  <c r="AC710" i="9"/>
  <c r="AC684" i="9"/>
  <c r="AC364" i="9"/>
  <c r="AC71" i="9"/>
  <c r="AD812" i="9"/>
  <c r="AC351" i="9"/>
  <c r="AB76" i="9"/>
  <c r="AC864" i="9"/>
  <c r="AB429" i="9"/>
  <c r="AB75" i="9"/>
  <c r="AC674" i="9"/>
  <c r="AC445" i="9"/>
  <c r="AC499" i="9"/>
  <c r="AB551" i="9"/>
  <c r="AB443" i="9"/>
  <c r="AB876" i="9"/>
  <c r="AB653" i="9"/>
  <c r="AB361" i="9"/>
  <c r="AB7" i="9"/>
  <c r="AB556" i="9"/>
  <c r="AB700" i="9"/>
  <c r="AB723" i="9"/>
  <c r="AB450" i="9"/>
  <c r="AB100" i="9"/>
  <c r="AB795" i="9"/>
  <c r="AB118" i="9"/>
  <c r="AC529" i="9"/>
  <c r="AC759" i="9"/>
  <c r="AB607" i="9"/>
  <c r="AB437" i="9"/>
  <c r="AB83" i="9"/>
  <c r="AB804" i="9"/>
  <c r="AB102" i="9"/>
  <c r="AC508" i="9"/>
  <c r="AC743" i="9"/>
  <c r="AB591" i="9"/>
  <c r="AB421" i="9"/>
  <c r="AB67" i="9"/>
  <c r="AB434" i="9"/>
  <c r="AC974" i="9"/>
  <c r="AC549" i="9"/>
  <c r="AB644" i="9"/>
  <c r="AB510" i="9"/>
  <c r="AC550" i="9"/>
  <c r="AB272" i="9"/>
  <c r="AC982" i="9"/>
  <c r="AC522" i="9"/>
  <c r="AB538" i="9"/>
  <c r="AB188" i="9"/>
  <c r="AC682" i="9"/>
  <c r="AC967" i="9"/>
  <c r="AB179" i="9"/>
  <c r="AC929" i="9"/>
  <c r="AC947" i="9"/>
  <c r="AB673" i="9"/>
  <c r="AB319" i="9"/>
  <c r="AC574" i="9"/>
  <c r="AB914" i="9"/>
  <c r="AB389" i="9"/>
  <c r="AC25" i="9"/>
  <c r="AC756" i="9"/>
  <c r="AB762" i="9"/>
  <c r="AB73" i="9"/>
  <c r="AB62" i="9"/>
  <c r="AC437" i="9"/>
  <c r="AB243" i="9"/>
  <c r="AC865" i="9"/>
  <c r="AC979" i="9"/>
  <c r="AB362" i="9"/>
  <c r="AC734" i="9"/>
  <c r="AC474" i="9"/>
  <c r="AB53" i="9"/>
  <c r="AB42" i="9"/>
  <c r="AC470" i="9"/>
  <c r="AC747" i="9"/>
  <c r="AC180" i="9"/>
  <c r="AD722" i="9"/>
  <c r="AC29" i="9"/>
  <c r="AC163" i="9"/>
  <c r="AC841" i="9"/>
  <c r="AC911" i="9"/>
  <c r="AB184" i="9"/>
  <c r="AC698" i="9"/>
  <c r="AC924" i="9"/>
  <c r="AC532" i="9"/>
  <c r="AB505" i="9"/>
  <c r="AB151" i="9"/>
  <c r="AB679" i="9"/>
  <c r="AB743" i="9"/>
  <c r="AB749" i="9"/>
  <c r="AB466" i="9"/>
  <c r="AB116" i="9"/>
  <c r="AB979" i="9"/>
  <c r="AB921" i="9"/>
  <c r="AB600" i="9"/>
  <c r="AB387" i="9"/>
  <c r="AB209" i="9"/>
  <c r="AB198" i="9"/>
  <c r="AB562" i="9"/>
  <c r="AC910" i="9"/>
  <c r="AC584" i="9"/>
  <c r="AB708" i="9"/>
  <c r="AB542" i="9"/>
  <c r="AB192" i="9"/>
  <c r="AC666" i="9"/>
  <c r="AB498" i="9"/>
  <c r="AC942" i="9"/>
  <c r="AC568" i="9"/>
  <c r="AB687" i="9"/>
  <c r="AB526" i="9"/>
  <c r="AB176" i="9"/>
  <c r="AB695" i="9"/>
  <c r="AB978" i="9"/>
  <c r="AC109" i="9"/>
  <c r="AB848" i="9"/>
  <c r="AC833" i="9"/>
  <c r="AB988" i="9"/>
  <c r="AB233" i="9"/>
  <c r="AB955" i="9"/>
  <c r="AB612" i="9"/>
  <c r="AB628" i="9"/>
  <c r="AB800" i="9"/>
  <c r="AB435" i="9"/>
  <c r="AC624" i="9"/>
  <c r="AB987" i="9"/>
  <c r="AB668" i="9"/>
  <c r="AB731" i="9"/>
  <c r="AB952" i="9"/>
  <c r="AB425" i="9"/>
  <c r="AB835" i="9"/>
  <c r="AB39" i="9"/>
  <c r="AB501" i="9"/>
  <c r="AC585" i="9"/>
  <c r="AB131" i="9"/>
  <c r="AB751" i="9"/>
  <c r="AC781" i="9"/>
  <c r="AB347" i="9"/>
  <c r="AB79" i="9"/>
  <c r="AC878" i="9"/>
  <c r="AB141" i="9"/>
  <c r="AC758" i="9"/>
  <c r="AC644" i="9"/>
  <c r="AB650" i="9"/>
  <c r="AB300" i="9"/>
  <c r="AB993" i="9"/>
  <c r="AB616" i="9"/>
  <c r="AB656" i="9"/>
  <c r="AB82" i="9"/>
  <c r="AC398" i="9"/>
  <c r="AC675" i="9"/>
  <c r="AB401" i="9"/>
  <c r="AB47" i="9"/>
  <c r="AC536" i="9"/>
  <c r="AB205" i="9"/>
  <c r="AC686" i="9"/>
  <c r="AC676" i="9"/>
  <c r="AB682" i="9"/>
  <c r="AB223" i="9"/>
  <c r="AC816" i="9"/>
  <c r="AB381" i="9"/>
  <c r="AB27" i="9"/>
  <c r="AC785" i="9"/>
  <c r="AC349" i="9"/>
  <c r="AC451" i="9"/>
  <c r="AC78" i="9"/>
  <c r="AD769" i="9"/>
  <c r="AC144" i="9"/>
  <c r="AC789" i="9"/>
  <c r="AC608" i="9"/>
  <c r="AB165" i="9"/>
  <c r="AB154" i="9"/>
  <c r="AC605" i="9"/>
  <c r="AC859" i="9"/>
  <c r="AB132" i="9"/>
  <c r="AB432" i="9"/>
  <c r="AB360" i="9"/>
  <c r="AB927" i="9"/>
  <c r="AB786" i="9"/>
  <c r="AB97" i="9"/>
  <c r="AB86" i="9"/>
  <c r="AB338" i="9"/>
  <c r="AB716" i="9"/>
  <c r="AB439" i="9"/>
  <c r="AB537" i="9"/>
  <c r="AB183" i="9"/>
  <c r="AB971" i="9"/>
  <c r="AC709" i="9"/>
  <c r="AC904" i="9"/>
  <c r="AC484" i="9"/>
  <c r="AB351" i="9"/>
  <c r="AB173" i="9"/>
  <c r="AB162" i="9"/>
  <c r="AB883" i="9"/>
  <c r="AC741" i="9"/>
  <c r="AC888" i="9"/>
  <c r="AC457" i="9"/>
  <c r="AB846" i="9"/>
  <c r="AB157" i="9"/>
  <c r="AB944" i="9"/>
  <c r="AB84" i="9"/>
  <c r="AC697" i="9"/>
  <c r="AC919" i="9"/>
  <c r="AB691" i="9"/>
  <c r="AB597" i="9"/>
  <c r="AC775" i="9"/>
  <c r="AB99" i="9"/>
  <c r="AC677" i="9"/>
  <c r="AC899" i="9"/>
  <c r="AB625" i="9"/>
  <c r="AB271" i="9"/>
  <c r="AB963" i="9"/>
  <c r="AB755" i="9"/>
  <c r="AB114" i="9"/>
  <c r="AC430" i="9"/>
  <c r="AC691" i="9"/>
  <c r="AB417" i="9"/>
  <c r="AB63" i="9"/>
  <c r="AC658" i="9"/>
  <c r="AC342" i="9"/>
  <c r="AB208" i="9"/>
  <c r="AC393" i="9"/>
  <c r="AC480" i="9"/>
  <c r="AB506" i="9"/>
  <c r="AB156" i="9"/>
  <c r="AB969" i="9"/>
  <c r="AB906" i="9"/>
  <c r="AB146" i="9"/>
  <c r="AC481" i="9"/>
  <c r="AC723" i="9"/>
  <c r="AB449" i="9"/>
  <c r="AC969" i="9"/>
  <c r="AC863" i="9"/>
  <c r="AB136" i="9"/>
  <c r="AC797" i="9"/>
  <c r="AC876" i="9"/>
  <c r="AC462" i="9"/>
  <c r="AC263" i="9"/>
  <c r="AD978" i="9"/>
  <c r="AC543" i="9"/>
  <c r="AC154" i="9"/>
  <c r="AC358" i="9"/>
  <c r="AC655" i="9"/>
  <c r="AB267" i="9"/>
  <c r="AC742" i="9"/>
  <c r="AC668" i="9"/>
  <c r="AC348" i="9"/>
  <c r="AB241" i="9"/>
  <c r="AB230" i="9"/>
  <c r="AB420" i="9"/>
  <c r="AB737" i="9"/>
  <c r="AB471" i="9"/>
  <c r="AB553" i="9"/>
  <c r="AB199" i="9"/>
  <c r="AB816" i="9"/>
  <c r="AB395" i="9"/>
  <c r="AB697" i="9"/>
  <c r="AB642" i="9"/>
  <c r="AB292" i="9"/>
  <c r="AB509" i="9"/>
  <c r="AB212" i="9"/>
  <c r="AC953" i="9"/>
  <c r="AC951" i="9"/>
  <c r="AB733" i="9"/>
  <c r="AB629" i="9"/>
  <c r="AB275" i="9"/>
  <c r="AB865" i="9"/>
  <c r="AB148" i="9"/>
  <c r="AC985" i="9"/>
  <c r="AC935" i="9"/>
  <c r="AB712" i="9"/>
  <c r="AB613" i="9"/>
  <c r="AB259" i="9"/>
  <c r="AB407" i="9"/>
  <c r="AC449" i="9"/>
  <c r="AC744" i="9"/>
  <c r="AB903" i="9"/>
  <c r="AB702" i="9"/>
  <c r="AC650" i="9"/>
  <c r="AB317" i="9"/>
  <c r="AC472" i="9"/>
  <c r="AC724" i="9"/>
  <c r="AB730" i="9"/>
  <c r="AB41" i="9"/>
  <c r="AB30" i="9"/>
  <c r="AB680" i="9"/>
  <c r="AB455" i="9"/>
  <c r="AB560" i="9"/>
  <c r="AB178" i="9"/>
  <c r="AB541" i="9"/>
  <c r="AB807" i="9"/>
  <c r="AB981" i="9"/>
  <c r="AB728" i="9"/>
  <c r="AC660" i="9"/>
  <c r="AD961" i="9"/>
  <c r="AB567" i="9"/>
  <c r="AB900" i="9"/>
  <c r="AB947" i="9"/>
  <c r="AB627" i="9"/>
  <c r="AB71" i="9"/>
  <c r="AB514" i="9"/>
  <c r="AC601" i="9"/>
  <c r="AB147" i="9"/>
  <c r="AC807" i="9"/>
  <c r="AB690" i="9"/>
  <c r="AB574" i="9"/>
  <c r="AC854" i="9"/>
  <c r="AB602" i="9"/>
  <c r="AB158" i="9"/>
  <c r="AC600" i="9"/>
  <c r="AB307" i="9"/>
  <c r="AC801" i="9"/>
  <c r="AC201" i="9"/>
  <c r="AB394" i="9"/>
  <c r="AB44" i="9"/>
  <c r="AC981" i="9"/>
  <c r="AB20" i="9"/>
  <c r="AB581" i="9"/>
  <c r="AC877" i="9"/>
  <c r="AC820" i="9"/>
  <c r="AB826" i="9"/>
  <c r="AB137" i="9"/>
  <c r="AB126" i="9"/>
  <c r="AC728" i="9"/>
  <c r="AB32" i="9"/>
  <c r="AC737" i="9"/>
  <c r="AC330" i="9"/>
  <c r="AB426" i="9"/>
  <c r="AC153" i="9"/>
  <c r="AC560" i="9"/>
  <c r="AB117" i="9"/>
  <c r="AB106" i="9"/>
  <c r="AC556" i="9"/>
  <c r="AC811" i="9"/>
  <c r="AC244" i="9"/>
  <c r="AC906" i="9"/>
  <c r="AC354" i="9"/>
  <c r="AC227" i="9"/>
  <c r="AC594" i="9"/>
  <c r="AC975" i="9"/>
  <c r="AB248" i="9"/>
  <c r="AC377" i="9"/>
  <c r="AC988" i="9"/>
  <c r="AC603" i="9"/>
  <c r="AB215" i="9"/>
  <c r="AB508" i="9"/>
  <c r="AB954" i="9"/>
  <c r="AB862" i="9"/>
  <c r="AB530" i="9"/>
  <c r="AB180" i="9"/>
  <c r="AB884" i="9"/>
  <c r="AB454" i="9"/>
  <c r="AB757" i="9"/>
  <c r="AB451" i="9"/>
  <c r="AB273" i="9"/>
  <c r="AB262" i="9"/>
  <c r="AB818" i="9"/>
  <c r="AC782" i="9"/>
  <c r="AC648" i="9"/>
  <c r="AB793" i="9"/>
  <c r="AB606" i="9"/>
  <c r="AB256" i="9"/>
  <c r="AC304" i="9"/>
  <c r="AB754" i="9"/>
  <c r="AC814" i="9"/>
  <c r="AC632" i="9"/>
  <c r="AB772" i="9"/>
  <c r="AB590" i="9"/>
  <c r="AB240" i="9"/>
  <c r="AB364" i="9"/>
  <c r="AB974" i="9"/>
  <c r="AC374" i="9"/>
  <c r="AC663" i="9"/>
  <c r="AB511" i="9"/>
  <c r="AB775" i="9"/>
  <c r="AB623" i="9"/>
  <c r="AB50" i="9"/>
  <c r="AC332" i="9"/>
  <c r="AC643" i="9"/>
  <c r="AB369" i="9"/>
  <c r="AB15" i="9"/>
  <c r="AB276" i="9"/>
  <c r="AB645" i="9"/>
  <c r="AC845" i="9"/>
  <c r="AC836" i="9"/>
  <c r="AB842" i="9"/>
  <c r="AB153" i="9"/>
  <c r="AB142" i="9"/>
  <c r="AC593" i="9"/>
  <c r="AC647" i="9"/>
  <c r="AB35" i="9"/>
  <c r="AC645" i="9"/>
  <c r="AC867" i="9"/>
  <c r="AB593" i="9"/>
  <c r="AB239" i="9"/>
  <c r="AB457" i="9"/>
  <c r="AB430" i="9"/>
  <c r="AC749" i="9"/>
  <c r="AC868" i="9"/>
  <c r="AB363" i="9"/>
  <c r="AB185" i="9"/>
  <c r="AC173" i="9"/>
  <c r="AC607" i="9"/>
  <c r="AB219" i="9"/>
  <c r="AC838" i="9"/>
  <c r="AC620" i="9"/>
  <c r="AC286" i="9"/>
  <c r="AC7" i="9"/>
  <c r="AD876" i="9"/>
  <c r="AC269" i="9"/>
  <c r="AB159" i="9"/>
  <c r="AC800" i="9"/>
  <c r="AB365" i="9"/>
  <c r="AB11" i="9"/>
  <c r="AC817" i="9"/>
  <c r="AC309" i="9"/>
  <c r="AC435" i="9"/>
  <c r="AB324" i="9"/>
  <c r="AB948" i="9"/>
  <c r="AB518" i="9"/>
  <c r="AB779" i="9"/>
  <c r="AB467" i="9"/>
  <c r="AB289" i="9"/>
  <c r="AB278" i="9"/>
  <c r="AB741" i="9"/>
  <c r="AB880" i="9"/>
  <c r="AB480" i="9"/>
  <c r="AB386" i="9"/>
  <c r="AB36" i="9"/>
  <c r="AB791" i="9"/>
  <c r="AB38" i="9"/>
  <c r="AC438" i="9"/>
  <c r="AC695" i="9"/>
  <c r="AB543" i="9"/>
  <c r="AB373" i="9"/>
  <c r="AB19" i="9"/>
  <c r="AB881" i="9"/>
  <c r="AB6" i="9"/>
  <c r="AC406" i="9"/>
  <c r="AC679" i="9"/>
  <c r="AB915" i="9"/>
  <c r="AC237" i="9"/>
  <c r="AB458" i="9"/>
  <c r="AB802" i="9"/>
  <c r="AC823" i="9"/>
  <c r="AC793" i="9"/>
  <c r="AB729" i="9"/>
  <c r="AB481" i="9"/>
  <c r="AB336" i="9"/>
  <c r="AB220" i="9"/>
  <c r="AC565" i="9"/>
  <c r="AC927" i="9"/>
  <c r="AC553" i="9"/>
  <c r="AC218" i="9"/>
  <c r="AC514" i="9"/>
  <c r="AB820" i="9"/>
  <c r="AB263" i="9"/>
  <c r="AB706" i="9"/>
  <c r="AC825" i="9"/>
  <c r="AB339" i="9"/>
  <c r="AC105" i="9"/>
  <c r="AB696" i="9"/>
  <c r="AB766" i="9"/>
  <c r="AC788" i="9"/>
  <c r="AC921" i="9"/>
  <c r="AB586" i="9"/>
  <c r="AB495" i="9"/>
  <c r="AB329" i="9"/>
  <c r="AC822" i="9"/>
  <c r="AC752" i="9"/>
  <c r="AC9" i="9"/>
  <c r="AC80" i="9"/>
  <c r="AB90" i="9"/>
  <c r="AB68" i="9"/>
  <c r="AB722" i="9"/>
  <c r="AB476" i="9"/>
  <c r="AB902" i="9"/>
  <c r="AB798" i="9"/>
  <c r="AC869" i="9"/>
  <c r="AB782" i="9"/>
  <c r="AB845" i="9"/>
  <c r="AC633" i="9"/>
  <c r="AB388" i="9"/>
  <c r="AB533" i="9"/>
  <c r="AB367" i="9"/>
  <c r="AC578" i="9"/>
  <c r="AC835" i="9"/>
  <c r="AB297" i="9"/>
  <c r="AC821" i="9"/>
  <c r="AC711" i="9"/>
  <c r="AB51" i="9"/>
  <c r="AC661" i="9"/>
  <c r="AC883" i="9"/>
  <c r="AB609" i="9"/>
  <c r="AB255" i="9"/>
  <c r="AC766" i="9"/>
  <c r="AC933" i="9"/>
  <c r="AB253" i="9"/>
  <c r="AC622" i="9"/>
  <c r="AC692" i="9"/>
  <c r="AB698" i="9"/>
  <c r="AB9" i="9"/>
  <c r="AB942" i="9"/>
  <c r="AC839" i="9"/>
  <c r="AB115" i="9"/>
  <c r="AC693" i="9"/>
  <c r="AC915" i="9"/>
  <c r="AB641" i="9"/>
  <c r="AC926" i="9"/>
  <c r="AC357" i="9"/>
  <c r="AB328" i="9"/>
  <c r="AB998" i="9"/>
  <c r="AC350" i="9"/>
  <c r="AC683" i="9"/>
  <c r="AC116" i="9"/>
  <c r="AD786" i="9"/>
  <c r="AC392" i="9"/>
  <c r="AC99" i="9"/>
  <c r="AC689" i="9"/>
  <c r="AC847" i="9"/>
  <c r="AB120" i="9"/>
  <c r="AC829" i="9"/>
  <c r="AC860" i="9"/>
  <c r="AC394" i="9"/>
  <c r="AC119" i="9"/>
  <c r="AD764" i="9"/>
  <c r="AC399" i="9"/>
  <c r="AC10" i="9"/>
  <c r="AC673" i="9"/>
  <c r="AC831" i="9"/>
  <c r="AB104" i="9"/>
  <c r="AC861" i="9"/>
  <c r="AC844" i="9"/>
  <c r="AC362" i="9"/>
  <c r="AC231" i="9"/>
  <c r="AD987" i="9"/>
  <c r="AC511" i="9"/>
  <c r="AC122" i="9"/>
  <c r="AB204" i="9"/>
  <c r="AC896" i="9"/>
  <c r="AC473" i="9"/>
  <c r="AB107" i="9"/>
  <c r="AC541" i="9"/>
  <c r="AC490" i="9"/>
  <c r="AC531" i="9"/>
  <c r="AC158" i="9"/>
  <c r="AD988" i="9"/>
  <c r="AC224" i="9"/>
  <c r="AD774" i="9"/>
  <c r="AC229" i="9"/>
  <c r="AC246" i="9"/>
  <c r="AD900" i="9"/>
  <c r="AC177" i="9"/>
  <c r="AC770" i="9"/>
  <c r="AD989" i="9"/>
  <c r="AD960" i="9"/>
  <c r="AC268" i="9"/>
  <c r="AC858" i="9"/>
  <c r="AC402" i="9"/>
  <c r="AC251" i="9"/>
  <c r="AD776" i="9"/>
  <c r="AC62" i="9"/>
  <c r="AD785" i="9"/>
  <c r="AC128" i="9"/>
  <c r="AB268" i="9"/>
  <c r="AC912" i="9"/>
  <c r="AC494" i="9"/>
  <c r="AB123" i="9"/>
  <c r="AC456" i="9"/>
  <c r="AC512" i="9"/>
  <c r="AC547" i="9"/>
  <c r="AC174" i="9"/>
  <c r="AD972" i="9"/>
  <c r="AC240" i="9"/>
  <c r="AC946" i="9"/>
  <c r="AC917" i="9"/>
  <c r="AC576" i="9"/>
  <c r="AB133" i="9"/>
  <c r="AB122" i="9"/>
  <c r="AC573" i="9"/>
  <c r="AC827" i="9"/>
  <c r="AC260" i="9"/>
  <c r="AC874" i="9"/>
  <c r="AC386" i="9"/>
  <c r="AC243" i="9"/>
  <c r="AD864" i="9"/>
  <c r="AC285" i="9"/>
  <c r="AC694" i="9"/>
  <c r="AD937" i="9"/>
  <c r="AC331" i="9"/>
  <c r="AD926" i="9"/>
  <c r="AC468" i="9"/>
  <c r="AC287" i="9"/>
  <c r="AD954" i="9"/>
  <c r="AC21" i="9"/>
  <c r="AC194" i="9"/>
  <c r="AD941" i="9"/>
  <c r="AC247" i="9"/>
  <c r="AD971" i="9"/>
  <c r="AC527" i="9"/>
  <c r="AC138" i="9"/>
  <c r="AC713" i="9"/>
  <c r="AC959" i="9"/>
  <c r="AB232" i="9"/>
  <c r="AC488" i="9"/>
  <c r="AC972" i="9"/>
  <c r="AC587" i="9"/>
  <c r="AC20" i="9"/>
  <c r="AD882" i="9"/>
  <c r="AC281" i="9"/>
  <c r="AB352" i="9"/>
  <c r="AB937" i="9"/>
  <c r="AB962" i="9"/>
  <c r="AB972" i="9"/>
  <c r="AB774" i="9"/>
  <c r="AC852" i="9"/>
  <c r="AB194" i="9"/>
  <c r="AB127" i="9"/>
  <c r="AC918" i="9"/>
  <c r="AC552" i="9"/>
  <c r="AC787" i="9"/>
  <c r="AB200" i="9"/>
  <c r="AC327" i="9"/>
  <c r="AC497" i="9"/>
  <c r="AC732" i="9"/>
  <c r="AB861" i="9"/>
  <c r="AB470" i="9"/>
  <c r="AB17" i="9"/>
  <c r="AC233" i="9"/>
  <c r="AB523" i="9"/>
  <c r="AB797" i="9"/>
  <c r="AC901" i="9"/>
  <c r="AB182" i="9"/>
  <c r="AB794" i="9"/>
  <c r="AB13" i="9"/>
  <c r="AB236" i="9"/>
  <c r="AB926" i="9"/>
  <c r="AB318" i="9"/>
  <c r="AC612" i="9"/>
  <c r="AB309" i="9"/>
  <c r="AC387" i="9"/>
  <c r="AC385" i="9"/>
  <c r="AC534" i="9"/>
  <c r="AB726" i="9"/>
  <c r="AB33" i="9"/>
  <c r="AB758" i="9"/>
  <c r="AC837" i="9"/>
  <c r="AB109" i="9"/>
  <c r="AC824" i="9"/>
  <c r="AB357" i="9"/>
  <c r="AB521" i="9"/>
  <c r="AC464" i="9"/>
  <c r="AB464" i="9"/>
  <c r="AB536" i="9"/>
  <c r="AB144" i="9"/>
  <c r="AC613" i="9"/>
  <c r="AC579" i="9"/>
  <c r="AB124" i="9"/>
  <c r="AB486" i="9"/>
  <c r="AB559" i="9"/>
  <c r="AB18" i="9"/>
  <c r="AC289" i="9"/>
  <c r="AC627" i="9"/>
  <c r="AB353" i="9"/>
  <c r="AB334" i="9"/>
  <c r="AC809" i="9"/>
  <c r="AC792" i="9"/>
  <c r="AB80" i="9"/>
  <c r="AC705" i="9"/>
  <c r="AC365" i="9"/>
  <c r="AB442" i="9"/>
  <c r="AB92" i="9"/>
  <c r="AB496" i="9"/>
  <c r="AB400" i="9"/>
  <c r="AB66" i="9"/>
  <c r="AC366" i="9"/>
  <c r="AC659" i="9"/>
  <c r="AB385" i="9"/>
  <c r="AC625" i="9"/>
  <c r="AC799" i="9"/>
  <c r="AB72" i="9"/>
  <c r="AC925" i="9"/>
  <c r="AC812" i="9"/>
  <c r="AC284" i="9"/>
  <c r="AC199" i="9"/>
  <c r="AD684" i="9"/>
  <c r="AC479" i="9"/>
  <c r="AC90" i="9"/>
  <c r="AC45" i="9"/>
  <c r="AC591" i="9"/>
  <c r="AB203" i="9"/>
  <c r="AC870" i="9"/>
  <c r="AC604" i="9"/>
  <c r="AC261" i="9"/>
  <c r="AC126" i="9"/>
  <c r="AD721" i="9"/>
  <c r="AC192" i="9"/>
  <c r="AD726" i="9"/>
  <c r="AC976" i="9"/>
  <c r="AC575" i="9"/>
  <c r="AB187" i="9"/>
  <c r="AC902" i="9"/>
  <c r="AC588" i="9"/>
  <c r="AC197" i="9"/>
  <c r="AC238" i="9"/>
  <c r="AD908" i="9"/>
  <c r="AC145" i="9"/>
  <c r="AC818" i="9"/>
  <c r="AC618" i="9"/>
  <c r="AC640" i="9"/>
  <c r="AB197" i="9"/>
  <c r="AB186" i="9"/>
  <c r="AC637" i="9"/>
  <c r="AC891" i="9"/>
  <c r="AC225" i="9"/>
  <c r="AC746" i="9"/>
  <c r="AD945" i="9"/>
  <c r="AC307" i="9"/>
  <c r="AD768" i="9"/>
  <c r="AC363" i="9"/>
  <c r="AC369" i="9"/>
  <c r="AD873" i="9"/>
  <c r="AC56" i="9"/>
  <c r="AD862" i="9"/>
  <c r="AD933" i="9"/>
  <c r="AC12" i="9"/>
  <c r="AD890" i="9"/>
  <c r="AC270" i="9"/>
  <c r="AC258" i="9"/>
  <c r="AD877" i="9"/>
  <c r="AC228" i="9"/>
  <c r="AC938" i="9"/>
  <c r="AC316" i="9"/>
  <c r="AC211" i="9"/>
  <c r="AB994" i="9"/>
  <c r="AC656" i="9"/>
  <c r="AB213" i="9"/>
  <c r="AB202" i="9"/>
  <c r="AC653" i="9"/>
  <c r="AC907" i="9"/>
  <c r="AC274" i="9"/>
  <c r="AC714" i="9"/>
  <c r="AD929" i="9"/>
  <c r="AC323" i="9"/>
  <c r="AD934" i="9"/>
  <c r="AC745" i="9"/>
  <c r="AC943" i="9"/>
  <c r="AB216" i="9"/>
  <c r="AC570" i="9"/>
  <c r="AC956" i="9"/>
  <c r="AC571" i="9"/>
  <c r="AC4" i="9"/>
  <c r="AD898" i="9"/>
  <c r="AC245" i="9"/>
  <c r="AC234" i="9"/>
  <c r="AD853" i="9"/>
  <c r="AC92" i="9"/>
  <c r="AD810" i="9"/>
  <c r="AC368" i="9"/>
  <c r="AC75" i="9"/>
  <c r="AD824" i="9"/>
  <c r="AC978" i="9"/>
  <c r="AC318" i="9"/>
  <c r="AC31" i="9"/>
  <c r="AD852" i="9"/>
  <c r="AC301" i="9"/>
  <c r="AC646" i="9"/>
  <c r="AC254" i="9"/>
  <c r="AD892" i="9"/>
  <c r="AC209" i="9"/>
  <c r="AC786" i="9"/>
  <c r="AC476" i="9"/>
  <c r="AC703" i="9"/>
  <c r="AB315" i="9"/>
  <c r="AC590" i="9"/>
  <c r="AC716" i="9"/>
  <c r="AC396" i="9"/>
  <c r="AC103" i="9"/>
  <c r="AD780" i="9"/>
  <c r="AC383" i="9"/>
  <c r="AC336" i="9"/>
  <c r="AB31" i="9"/>
  <c r="AC768" i="9"/>
  <c r="AB325" i="9"/>
  <c r="AB314" i="9"/>
  <c r="AC881" i="9"/>
  <c r="AC137" i="9"/>
  <c r="AC403" i="9"/>
  <c r="AC30" i="9"/>
  <c r="AD817" i="9"/>
  <c r="AC96" i="9"/>
  <c r="AD950" i="9"/>
  <c r="AC491" i="9"/>
  <c r="AC118" i="9"/>
  <c r="AD745" i="9"/>
  <c r="AC184" i="9"/>
  <c r="AD734" i="9"/>
  <c r="AD805" i="9"/>
  <c r="AC506" i="9"/>
  <c r="AB913" i="9"/>
  <c r="AB500" i="9"/>
  <c r="AB997" i="9"/>
  <c r="AB655" i="9"/>
  <c r="AB169" i="9"/>
  <c r="AC524" i="9"/>
  <c r="AC282" i="9"/>
  <c r="AC564" i="9"/>
  <c r="AB887" i="9"/>
  <c r="AB513" i="9"/>
  <c r="AC634" i="9"/>
  <c r="AD914" i="9"/>
  <c r="AC719" i="9"/>
  <c r="AC412" i="9"/>
  <c r="AB555" i="9"/>
  <c r="AB829" i="9"/>
  <c r="AB824" i="9"/>
  <c r="AB819" i="9"/>
  <c r="AB65" i="9"/>
  <c r="AB677" i="9"/>
  <c r="AC808" i="9"/>
  <c r="AB453" i="9"/>
  <c r="AB105" i="9"/>
  <c r="AC886" i="9"/>
  <c r="AC466" i="9"/>
  <c r="AC205" i="9"/>
  <c r="AC626" i="9"/>
  <c r="AB618" i="9"/>
  <c r="AB298" i="9"/>
  <c r="AC14" i="9"/>
  <c r="AC538" i="9"/>
  <c r="AC795" i="9"/>
  <c r="AB854" i="9"/>
  <c r="AB22" i="9"/>
  <c r="AB473" i="9"/>
  <c r="AC840" i="9"/>
  <c r="AB98" i="9"/>
  <c r="AB983" i="9"/>
  <c r="AB93" i="9"/>
  <c r="AB167" i="9"/>
  <c r="AC855" i="9"/>
  <c r="AB447" i="9"/>
  <c r="AC920" i="9"/>
  <c r="AB306" i="9"/>
  <c r="AC980" i="9"/>
  <c r="AB474" i="9"/>
  <c r="AB207" i="9"/>
  <c r="AB54" i="9"/>
  <c r="AB405" i="9"/>
  <c r="AC973" i="9"/>
  <c r="AC772" i="9"/>
  <c r="AB778" i="9"/>
  <c r="AB89" i="9"/>
  <c r="AB78" i="9"/>
  <c r="AC518" i="9"/>
  <c r="AB951" i="9"/>
  <c r="AB258" i="9"/>
  <c r="AC581" i="9"/>
  <c r="AC803" i="9"/>
  <c r="AB529" i="9"/>
  <c r="AB175" i="9"/>
  <c r="AB103" i="9"/>
  <c r="AB517" i="9"/>
  <c r="AC909" i="9"/>
  <c r="AC804" i="9"/>
  <c r="AB810" i="9"/>
  <c r="AB57" i="9"/>
  <c r="AC944" i="9"/>
  <c r="AC537" i="9"/>
  <c r="AB155" i="9"/>
  <c r="AC966" i="9"/>
  <c r="AC554" i="9"/>
  <c r="AC69" i="9"/>
  <c r="AC206" i="9"/>
  <c r="AD940" i="9"/>
  <c r="AC17" i="9"/>
  <c r="AB238" i="9"/>
  <c r="AC736" i="9"/>
  <c r="AB293" i="9"/>
  <c r="AB282" i="9"/>
  <c r="AC945" i="9"/>
  <c r="AC987" i="9"/>
  <c r="AC371" i="9"/>
  <c r="AC810" i="9"/>
  <c r="AD977" i="9"/>
  <c r="AC275" i="9"/>
  <c r="AB174" i="9"/>
  <c r="AC720" i="9"/>
  <c r="AB277" i="9"/>
  <c r="AB266" i="9"/>
  <c r="AC977" i="9"/>
  <c r="AC971" i="9"/>
  <c r="AC355" i="9"/>
  <c r="AC433" i="9"/>
  <c r="AD865" i="9"/>
  <c r="AC48" i="9"/>
  <c r="AD870" i="9"/>
  <c r="AC425" i="9"/>
  <c r="AC169" i="9"/>
  <c r="AB280" i="9"/>
  <c r="AB966" i="9"/>
  <c r="AC141" i="9"/>
  <c r="AC635" i="9"/>
  <c r="AC68" i="9"/>
  <c r="AD834" i="9"/>
  <c r="AC344" i="9"/>
  <c r="AC51" i="9"/>
  <c r="AD789" i="9"/>
  <c r="AC156" i="9"/>
  <c r="AD746" i="9"/>
  <c r="AC432" i="9"/>
  <c r="AC139" i="9"/>
  <c r="AD760" i="9"/>
  <c r="AC722" i="9"/>
  <c r="AC388" i="9"/>
  <c r="AC95" i="9"/>
  <c r="AD788" i="9"/>
  <c r="AC375" i="9"/>
  <c r="AC217" i="9"/>
  <c r="AC311" i="9"/>
  <c r="AD930" i="9"/>
  <c r="AC117" i="9"/>
  <c r="AC202" i="9"/>
  <c r="AC990" i="9"/>
  <c r="AC277" i="9"/>
  <c r="AB296" i="9"/>
  <c r="AB1001" i="9"/>
  <c r="AC266" i="9"/>
  <c r="AC651" i="9"/>
  <c r="AC84" i="9"/>
  <c r="AD818" i="9"/>
  <c r="AC360" i="9"/>
  <c r="AC67" i="9"/>
  <c r="AD848" i="9"/>
  <c r="AC454" i="9"/>
  <c r="AC687" i="9"/>
  <c r="AB299" i="9"/>
  <c r="AC654" i="9"/>
  <c r="AC700" i="9"/>
  <c r="AC380" i="9"/>
  <c r="AC87" i="9"/>
  <c r="AD796" i="9"/>
  <c r="AC367" i="9"/>
  <c r="AC461" i="9"/>
  <c r="AC125" i="9"/>
  <c r="AC175" i="9"/>
  <c r="AD708" i="9"/>
  <c r="AC455" i="9"/>
  <c r="AC82" i="9"/>
  <c r="AD797" i="9"/>
  <c r="AD704" i="9"/>
  <c r="AC411" i="9"/>
  <c r="AC38" i="9"/>
  <c r="AD825" i="9"/>
  <c r="AC104" i="9"/>
  <c r="AD878" i="9"/>
  <c r="AC293" i="9"/>
  <c r="AD849" i="9"/>
  <c r="AC64" i="9"/>
  <c r="AB12" i="9"/>
  <c r="AC848" i="9"/>
  <c r="AB413" i="9"/>
  <c r="AC880" i="9"/>
  <c r="AC846" i="9"/>
  <c r="AB570" i="9"/>
  <c r="AC181" i="9"/>
  <c r="AB809" i="9"/>
  <c r="AB323" i="9"/>
  <c r="AC580" i="9"/>
  <c r="AB302" i="9"/>
  <c r="AB418" i="9"/>
  <c r="AB999" i="9"/>
  <c r="AC562" i="9"/>
  <c r="AB985" i="9"/>
  <c r="AC465" i="9"/>
  <c r="AB522" i="9"/>
  <c r="AB750" i="9"/>
  <c r="AB265" i="9"/>
  <c r="AC950" i="9"/>
  <c r="AC688" i="9"/>
  <c r="AC939" i="9"/>
  <c r="AC16" i="9"/>
  <c r="AB26" i="9"/>
  <c r="AD866" i="9"/>
  <c r="AC421" i="9"/>
  <c r="AC715" i="9"/>
  <c r="AC131" i="9"/>
  <c r="AB24" i="9"/>
  <c r="AC151" i="9"/>
  <c r="AC378" i="9"/>
  <c r="AC146" i="9"/>
  <c r="AC475" i="9"/>
  <c r="AD814" i="9"/>
  <c r="AC55" i="9"/>
  <c r="AC577" i="9"/>
  <c r="AC780" i="9"/>
  <c r="AC447" i="9"/>
  <c r="AB397" i="9"/>
  <c r="AC467" i="9"/>
  <c r="AD854" i="9"/>
  <c r="AC248" i="9"/>
  <c r="AD741" i="9"/>
  <c r="AC187" i="9"/>
  <c r="AC164" i="9"/>
  <c r="AC885" i="9"/>
  <c r="AB138" i="9"/>
  <c r="AC843" i="9"/>
  <c r="AC842" i="9"/>
  <c r="AC259" i="9"/>
  <c r="AD912" i="9"/>
  <c r="AC496" i="9"/>
  <c r="AB152" i="9"/>
  <c r="AC806" i="9"/>
  <c r="AC763" i="9"/>
  <c r="AC279" i="9"/>
  <c r="AD860" i="9"/>
  <c r="AC179" i="9"/>
  <c r="AD917" i="9"/>
  <c r="AC111" i="9"/>
  <c r="AC434" i="9"/>
  <c r="AC11" i="9"/>
  <c r="AD861" i="9"/>
  <c r="AD800" i="9"/>
  <c r="AC140" i="9"/>
  <c r="AD762" i="9"/>
  <c r="AC416" i="9"/>
  <c r="AC123" i="9"/>
  <c r="AD968" i="9"/>
  <c r="AC296" i="9"/>
  <c r="AC662" i="9"/>
  <c r="AD913" i="9"/>
  <c r="AC339" i="9"/>
  <c r="AB95" i="9"/>
  <c r="AC784" i="9"/>
  <c r="AB349" i="9"/>
  <c r="AB330" i="9"/>
  <c r="AC849" i="9"/>
  <c r="AC265" i="9"/>
  <c r="AC419" i="9"/>
  <c r="AC46" i="9"/>
  <c r="AD801" i="9"/>
  <c r="AC112" i="9"/>
  <c r="AD806" i="9"/>
  <c r="AC862" i="9"/>
  <c r="AC389" i="9"/>
  <c r="AB5" i="9"/>
  <c r="AB958" i="9"/>
  <c r="AC382" i="9"/>
  <c r="AC699" i="9"/>
  <c r="AC132" i="9"/>
  <c r="AD770" i="9"/>
  <c r="AC408" i="9"/>
  <c r="AC115" i="9"/>
  <c r="AD725" i="9"/>
  <c r="AC220" i="9"/>
  <c r="AC954" i="9"/>
  <c r="AC294" i="9"/>
  <c r="AC203" i="9"/>
  <c r="AD696" i="9"/>
  <c r="AC452" i="9"/>
  <c r="AC159" i="9"/>
  <c r="AD724" i="9"/>
  <c r="AC439" i="9"/>
  <c r="AC66" i="9"/>
  <c r="AC305" i="9"/>
  <c r="AC207" i="9"/>
  <c r="AD676" i="9"/>
  <c r="AC487" i="9"/>
  <c r="AC114" i="9"/>
  <c r="AD765" i="9"/>
  <c r="AD918" i="9"/>
  <c r="AC507" i="9"/>
  <c r="AC134" i="9"/>
  <c r="AD729" i="9"/>
  <c r="AC200" i="9"/>
  <c r="AD718" i="9"/>
  <c r="AD885" i="9"/>
  <c r="AC60" i="9"/>
  <c r="AD842" i="9"/>
  <c r="AC334" i="9"/>
  <c r="AC43" i="9"/>
  <c r="AD856" i="9"/>
  <c r="AC850" i="9"/>
  <c r="AC356" i="9"/>
  <c r="AC63" i="9"/>
  <c r="AD820" i="9"/>
  <c r="AC343" i="9"/>
  <c r="AC504" i="9"/>
  <c r="AD909" i="9"/>
  <c r="AD942" i="9"/>
  <c r="AC754" i="9"/>
  <c r="AC372" i="9"/>
  <c r="AC79" i="9"/>
  <c r="AD804" i="9"/>
  <c r="AC359" i="9"/>
  <c r="AC401" i="9"/>
  <c r="AD893" i="9"/>
  <c r="AD752" i="9"/>
  <c r="AC379" i="9"/>
  <c r="AC6" i="9"/>
  <c r="AD857" i="9"/>
  <c r="AC72" i="9"/>
  <c r="AD846" i="9"/>
  <c r="AD757" i="9"/>
  <c r="AC188" i="9"/>
  <c r="AD714" i="9"/>
  <c r="AC93" i="9"/>
  <c r="AC171" i="9"/>
  <c r="AD728" i="9"/>
  <c r="AC253" i="9"/>
  <c r="AC191" i="9"/>
  <c r="AD692" i="9"/>
  <c r="AC471" i="9"/>
  <c r="AC98" i="9"/>
  <c r="AD781" i="9"/>
  <c r="AD589" i="9"/>
  <c r="AD55" i="9"/>
  <c r="AD155" i="9"/>
  <c r="AD83" i="9"/>
  <c r="AD208" i="9"/>
  <c r="AD189" i="9"/>
  <c r="AD102" i="9"/>
  <c r="AD263" i="9"/>
  <c r="AD582" i="9"/>
  <c r="AD474" i="9"/>
  <c r="AD228" i="9"/>
  <c r="AD299" i="9"/>
  <c r="AD219" i="9"/>
  <c r="AD525" i="9"/>
  <c r="AD32" i="9"/>
  <c r="AD434" i="9"/>
  <c r="AD354" i="9"/>
  <c r="AD182" i="9"/>
  <c r="AD343" i="9"/>
  <c r="AD284" i="9"/>
  <c r="AD5" i="9"/>
  <c r="AD238" i="9"/>
  <c r="AD565" i="9"/>
  <c r="AD304" i="9"/>
  <c r="AD71" i="9"/>
  <c r="AB578" i="9"/>
  <c r="AC345" i="9"/>
  <c r="AB242" i="9"/>
  <c r="AB331" i="9"/>
  <c r="AB129" i="9"/>
  <c r="AB967" i="9"/>
  <c r="AB763" i="9"/>
  <c r="AC913" i="9"/>
  <c r="AB841" i="9"/>
  <c r="AB808" i="9"/>
  <c r="AC599" i="9"/>
  <c r="AC429" i="9"/>
  <c r="AB224" i="9"/>
  <c r="AB172" i="9"/>
  <c r="AB986" i="9"/>
  <c r="AB254" i="9"/>
  <c r="AC544" i="9"/>
  <c r="AB245" i="9"/>
  <c r="AC317" i="9"/>
  <c r="AC798" i="9"/>
  <c r="AC446" i="9"/>
  <c r="AC302" i="9"/>
  <c r="AB21" i="9"/>
  <c r="AC148" i="9"/>
  <c r="AD784" i="9"/>
  <c r="AC272" i="9"/>
  <c r="AD732" i="9"/>
  <c r="AC239" i="9"/>
  <c r="AD733" i="9"/>
  <c r="AC102" i="9"/>
  <c r="AD828" i="9"/>
  <c r="AC767" i="9"/>
  <c r="AC61" i="9"/>
  <c r="AC58" i="9"/>
  <c r="AB43" i="9"/>
  <c r="AC94" i="9"/>
  <c r="AC555" i="9"/>
  <c r="AC898" i="9"/>
  <c r="AC204" i="9"/>
  <c r="AD904" i="9"/>
  <c r="AD738" i="9"/>
  <c r="AC592" i="9"/>
  <c r="AC721" i="9"/>
  <c r="AC483" i="9"/>
  <c r="AD737" i="9"/>
  <c r="AC250" i="9"/>
  <c r="AC702" i="9"/>
  <c r="AC879" i="9"/>
  <c r="AB235" i="9"/>
  <c r="AC492" i="9"/>
  <c r="AC489" i="9"/>
  <c r="AC23" i="9"/>
  <c r="AC157" i="9"/>
  <c r="AC170" i="9"/>
  <c r="AC404" i="9"/>
  <c r="AC826" i="9"/>
  <c r="AC292" i="9"/>
  <c r="AC18" i="9"/>
  <c r="AC346" i="9"/>
  <c r="AC223" i="9"/>
  <c r="AD979" i="9"/>
  <c r="AC503" i="9"/>
  <c r="AC130" i="9"/>
  <c r="AC89" i="9"/>
  <c r="AC100" i="9"/>
  <c r="AD802" i="9"/>
  <c r="AC376" i="9"/>
  <c r="AC83" i="9"/>
  <c r="AC638" i="9"/>
  <c r="AC517" i="9"/>
  <c r="AB85" i="9"/>
  <c r="AB74" i="9"/>
  <c r="AC513" i="9"/>
  <c r="AC779" i="9"/>
  <c r="AC212" i="9"/>
  <c r="AC970" i="9"/>
  <c r="AC273" i="9"/>
  <c r="AC195" i="9"/>
  <c r="AD720" i="9"/>
  <c r="AC641" i="9"/>
  <c r="AC815" i="9"/>
  <c r="AB88" i="9"/>
  <c r="AC893" i="9"/>
  <c r="AC828" i="9"/>
  <c r="AC326" i="9"/>
  <c r="AC215" i="9"/>
  <c r="AD668" i="9"/>
  <c r="AC495" i="9"/>
  <c r="AC106" i="9"/>
  <c r="AD981" i="9"/>
  <c r="AC303" i="9"/>
  <c r="AD938" i="9"/>
  <c r="AC85" i="9"/>
  <c r="AC210" i="9"/>
  <c r="AD952" i="9"/>
  <c r="AD886" i="9"/>
  <c r="AC539" i="9"/>
  <c r="AC166" i="9"/>
  <c r="AD980" i="9"/>
  <c r="AC232" i="9"/>
  <c r="AD750" i="9"/>
  <c r="AD822" i="9"/>
  <c r="AC101" i="9"/>
  <c r="AC214" i="9"/>
  <c r="AD932" i="9"/>
  <c r="AC49" i="9"/>
  <c r="AC834" i="9"/>
  <c r="AD928" i="9"/>
  <c r="AC129" i="9"/>
  <c r="AC794" i="9"/>
  <c r="AD985" i="9"/>
  <c r="AC283" i="9"/>
  <c r="AD974" i="9"/>
  <c r="AC436" i="9"/>
  <c r="AC143" i="9"/>
  <c r="AD740" i="9"/>
  <c r="AC423" i="9"/>
  <c r="AC50" i="9"/>
  <c r="AD829" i="9"/>
  <c r="AD672" i="9"/>
  <c r="AC443" i="9"/>
  <c r="AC70" i="9"/>
  <c r="AD793" i="9"/>
  <c r="AC136" i="9"/>
  <c r="AD782" i="9"/>
  <c r="AD840" i="9"/>
  <c r="AD982" i="9"/>
  <c r="AC459" i="9"/>
  <c r="AC86" i="9"/>
  <c r="AD777" i="9"/>
  <c r="AC152" i="9"/>
  <c r="AD766" i="9"/>
  <c r="AD773" i="9"/>
  <c r="AC172" i="9"/>
  <c r="AD730" i="9"/>
  <c r="AC448" i="9"/>
  <c r="AC155" i="9"/>
  <c r="AD744" i="9"/>
  <c r="AC442" i="9"/>
  <c r="AC271" i="9"/>
  <c r="AD970" i="9"/>
  <c r="AC551" i="9"/>
  <c r="AC178" i="9"/>
  <c r="AD984" i="9"/>
  <c r="AD838" i="9"/>
  <c r="AC37" i="9"/>
  <c r="AC198" i="9"/>
  <c r="AD948" i="9"/>
  <c r="AC264" i="9"/>
  <c r="AC866" i="9"/>
  <c r="AD19" i="9"/>
  <c r="AD16" i="9"/>
  <c r="AD366" i="9"/>
  <c r="AD290" i="9"/>
  <c r="AD166" i="9"/>
  <c r="AD327" i="9"/>
  <c r="AD268" i="9"/>
  <c r="AD171" i="9"/>
  <c r="AD254" i="9"/>
  <c r="AD811" i="9"/>
  <c r="AD119" i="9"/>
  <c r="AD96" i="9"/>
  <c r="AD77" i="9"/>
  <c r="AD262" i="9"/>
  <c r="AD407" i="9"/>
  <c r="AD348" i="9"/>
  <c r="AD440" i="9"/>
  <c r="AD891" i="9"/>
  <c r="AD410" i="9"/>
  <c r="AD48" i="9"/>
  <c r="AD533" i="9"/>
  <c r="AD418" i="9"/>
  <c r="AD198" i="9"/>
  <c r="AD359" i="9"/>
  <c r="AD300" i="9"/>
  <c r="AD493" i="9"/>
  <c r="AD97" i="9"/>
  <c r="AD368" i="9"/>
  <c r="AD91" i="9"/>
  <c r="AD175" i="9"/>
  <c r="AD378" i="9"/>
  <c r="AD302" i="9"/>
  <c r="AD241" i="9"/>
  <c r="AD150" i="9"/>
  <c r="AD311" i="9"/>
  <c r="AD252" i="9"/>
  <c r="AD45" i="9"/>
  <c r="AD180" i="9"/>
  <c r="AD526" i="9"/>
  <c r="AB534" i="9"/>
  <c r="AC755" i="9"/>
  <c r="AC777" i="9"/>
  <c r="AB294" i="9"/>
  <c r="AB350" i="9"/>
  <c r="AC941" i="9"/>
  <c r="AC611" i="9"/>
  <c r="AD833" i="9"/>
  <c r="AB701" i="9"/>
  <c r="AB527" i="9"/>
  <c r="AB446" i="9"/>
  <c r="AB561" i="9"/>
  <c r="AC185" i="9"/>
  <c r="AC725" i="9"/>
  <c r="AC948" i="9"/>
  <c r="AC617" i="9"/>
  <c r="AB554" i="9"/>
  <c r="AB234" i="9"/>
  <c r="AC598" i="9"/>
  <c r="AC453" i="9"/>
  <c r="AC731" i="9"/>
  <c r="AC19" i="9"/>
  <c r="AB10" i="9"/>
  <c r="AD754" i="9"/>
  <c r="AC561" i="9"/>
  <c r="AC764" i="9"/>
  <c r="AC431" i="9"/>
  <c r="AD963" i="9"/>
  <c r="AD761" i="9"/>
  <c r="AC333" i="9"/>
  <c r="AB40" i="9"/>
  <c r="AC167" i="9"/>
  <c r="AB287" i="9"/>
  <c r="AC753" i="9"/>
  <c r="AD753" i="9"/>
  <c r="AC182" i="9"/>
  <c r="AC986" i="9"/>
  <c r="AC440" i="9"/>
  <c r="AB149" i="9"/>
  <c r="AC589" i="9"/>
  <c r="AC33" i="9"/>
  <c r="AC418" i="9"/>
  <c r="AD742" i="9"/>
  <c r="AC905" i="9"/>
  <c r="AC623" i="9"/>
  <c r="AB58" i="9"/>
  <c r="AC892" i="9"/>
  <c r="AC308" i="9"/>
  <c r="AD706" i="9"/>
  <c r="AC559" i="9"/>
  <c r="AC546" i="9"/>
  <c r="AC65" i="9"/>
  <c r="AD874" i="9"/>
  <c r="AC391" i="9"/>
  <c r="AD990" i="9"/>
  <c r="AC165" i="9"/>
  <c r="AC230" i="9"/>
  <c r="AD916" i="9"/>
  <c r="AC113" i="9"/>
  <c r="AC802" i="9"/>
  <c r="AC183" i="9"/>
  <c r="AD700" i="9"/>
  <c r="AC463" i="9"/>
  <c r="AC74" i="9"/>
  <c r="AC873" i="9"/>
  <c r="AC895" i="9"/>
  <c r="AB168" i="9"/>
  <c r="AC733" i="9"/>
  <c r="AC908" i="9"/>
  <c r="AC510" i="9"/>
  <c r="AC295" i="9"/>
  <c r="AD946" i="9"/>
  <c r="AC53" i="9"/>
  <c r="AC186" i="9"/>
  <c r="AB121" i="9"/>
  <c r="AC960" i="9"/>
  <c r="AC558" i="9"/>
  <c r="AB171" i="9"/>
  <c r="AC934" i="9"/>
  <c r="AC572" i="9"/>
  <c r="AC133" i="9"/>
  <c r="AC222" i="9"/>
  <c r="AD924" i="9"/>
  <c r="AC81" i="9"/>
  <c r="AC882" i="9"/>
  <c r="AC340" i="9"/>
  <c r="AC47" i="9"/>
  <c r="AD836" i="9"/>
  <c r="AC322" i="9"/>
  <c r="AC582" i="9"/>
  <c r="AD925" i="9"/>
  <c r="AD880" i="9"/>
  <c r="AC257" i="9"/>
  <c r="AC730" i="9"/>
  <c r="AD953" i="9"/>
  <c r="AC315" i="9"/>
  <c r="AD712" i="9"/>
  <c r="AD816" i="9"/>
  <c r="AC328" i="9"/>
  <c r="AC566" i="9"/>
  <c r="AD905" i="9"/>
  <c r="AC24" i="9"/>
  <c r="AD894" i="9"/>
  <c r="AD901" i="9"/>
  <c r="AC44" i="9"/>
  <c r="AD858" i="9"/>
  <c r="AC313" i="9"/>
  <c r="AC27" i="9"/>
  <c r="AD872" i="9"/>
  <c r="AD902" i="9"/>
  <c r="AC523" i="9"/>
  <c r="AC150" i="9"/>
  <c r="AD713" i="9"/>
  <c r="AC216" i="9"/>
  <c r="AC962" i="9"/>
  <c r="AD709" i="9"/>
  <c r="AC236" i="9"/>
  <c r="AC922" i="9"/>
  <c r="AC337" i="9"/>
  <c r="AC219" i="9"/>
  <c r="AD680" i="9"/>
  <c r="AD813" i="9"/>
  <c r="AD976" i="9"/>
  <c r="AC252" i="9"/>
  <c r="AC890" i="9"/>
  <c r="AC370" i="9"/>
  <c r="AC235" i="9"/>
  <c r="AD983" i="9"/>
  <c r="AC410" i="9"/>
  <c r="AC255" i="9"/>
  <c r="AD986" i="9"/>
  <c r="AC535" i="9"/>
  <c r="AC162" i="9"/>
  <c r="AD717" i="9"/>
  <c r="AD710" i="9"/>
  <c r="AC297" i="9"/>
  <c r="AC15" i="9"/>
  <c r="AD868" i="9"/>
  <c r="AC280" i="9"/>
  <c r="AC706" i="9"/>
  <c r="AD957" i="9"/>
  <c r="AD832" i="9"/>
  <c r="AC306" i="9"/>
  <c r="AC630" i="9"/>
  <c r="AD921" i="9"/>
  <c r="AC8" i="9"/>
  <c r="AD910" i="9"/>
  <c r="AD15" i="9"/>
  <c r="AD244" i="9"/>
  <c r="AD80" i="9"/>
  <c r="AD61" i="9"/>
  <c r="AD691" i="9"/>
  <c r="AD232" i="9"/>
  <c r="AD391" i="9"/>
  <c r="AD332" i="9"/>
  <c r="AD127" i="9"/>
  <c r="AD225" i="9"/>
  <c r="AD537" i="9"/>
  <c r="AD160" i="9"/>
  <c r="AD141" i="9"/>
  <c r="AD54" i="9"/>
  <c r="AD581" i="9"/>
  <c r="AD489" i="9"/>
  <c r="AD412" i="9"/>
  <c r="AD199" i="9"/>
  <c r="AD202" i="9"/>
  <c r="AB164" i="9"/>
  <c r="AC681" i="9"/>
  <c r="AC940" i="9"/>
  <c r="AB617" i="9"/>
  <c r="AC857" i="9"/>
  <c r="AB94" i="9"/>
  <c r="AB77" i="9"/>
  <c r="AB101" i="9"/>
  <c r="AB119" i="9"/>
  <c r="AB3" i="9"/>
  <c r="AC505" i="9"/>
  <c r="AB286" i="9"/>
  <c r="AC501" i="9"/>
  <c r="AB384" i="9"/>
  <c r="AC542" i="9"/>
  <c r="AB288" i="9"/>
  <c r="AB46" i="9"/>
  <c r="AC685" i="9"/>
  <c r="AD897" i="9"/>
  <c r="AB37" i="9"/>
  <c r="AC36" i="9"/>
  <c r="AC830" i="9"/>
  <c r="AC414" i="9"/>
  <c r="AC424" i="9"/>
  <c r="AC751" i="9"/>
  <c r="AC444" i="9"/>
  <c r="AC42" i="9"/>
  <c r="AC519" i="9"/>
  <c r="AD966" i="9"/>
  <c r="AC168" i="9"/>
  <c r="AC614" i="9"/>
  <c r="AC989" i="9"/>
  <c r="AD716" i="9"/>
  <c r="AC832" i="9"/>
  <c r="AC381" i="9"/>
  <c r="AC160" i="9"/>
  <c r="AD964" i="9"/>
  <c r="AC221" i="9"/>
  <c r="AC147" i="9"/>
  <c r="AB59" i="9"/>
  <c r="AC413" i="9"/>
  <c r="AC110" i="9"/>
  <c r="AC176" i="9"/>
  <c r="AD975" i="9"/>
  <c r="AC278" i="9"/>
  <c r="AB69" i="9"/>
  <c r="AC765" i="9"/>
  <c r="AC636" i="9"/>
  <c r="AC196" i="9"/>
  <c r="AD962" i="9"/>
  <c r="AC290" i="9"/>
  <c r="AD944" i="9"/>
  <c r="AC28" i="9"/>
  <c r="AD772" i="9"/>
  <c r="AC267" i="9"/>
  <c r="AD888" i="9"/>
  <c r="AD790" i="9"/>
  <c r="AC347" i="9"/>
  <c r="AC482" i="9"/>
  <c r="AD889" i="9"/>
  <c r="AC40" i="9"/>
  <c r="AD967" i="9"/>
  <c r="AC190" i="9"/>
  <c r="AD956" i="9"/>
  <c r="AC256" i="9"/>
  <c r="AC914" i="9"/>
  <c r="AC321" i="9"/>
  <c r="AC639" i="9"/>
  <c r="AB251" i="9"/>
  <c r="AC774" i="9"/>
  <c r="AC652" i="9"/>
  <c r="AC329" i="9"/>
  <c r="AC39" i="9"/>
  <c r="AD844" i="9"/>
  <c r="AC312" i="9"/>
  <c r="AC678" i="9"/>
  <c r="AB110" i="9"/>
  <c r="AC704" i="9"/>
  <c r="AB261" i="9"/>
  <c r="AB250" i="9"/>
  <c r="AC701" i="9"/>
  <c r="AC955" i="9"/>
  <c r="AC338" i="9"/>
  <c r="AC525" i="9"/>
  <c r="AD881" i="9"/>
  <c r="AC32" i="9"/>
  <c r="AD809" i="9"/>
  <c r="AC352" i="9"/>
  <c r="AD821" i="9"/>
  <c r="AC107" i="9"/>
  <c r="AC26" i="9"/>
  <c r="AC407" i="9"/>
  <c r="AD969" i="9"/>
  <c r="AC149" i="9"/>
  <c r="AC335" i="9"/>
  <c r="AD920" i="9"/>
  <c r="AC276" i="9"/>
  <c r="AC738" i="9"/>
  <c r="AD736" i="9"/>
  <c r="AC88" i="9"/>
  <c r="AD837" i="9"/>
  <c r="AC91" i="9"/>
  <c r="AD125" i="9"/>
  <c r="AD396" i="9"/>
  <c r="AD147" i="9"/>
  <c r="AD118" i="9"/>
  <c r="AD52" i="9"/>
  <c r="AD176" i="9"/>
  <c r="AD221" i="9"/>
  <c r="AD326" i="9"/>
  <c r="AD518" i="9"/>
  <c r="AD529" i="9"/>
  <c r="AD13" i="9"/>
  <c r="AD10" i="9"/>
  <c r="AD266" i="9"/>
  <c r="AD64" i="9"/>
  <c r="AD109" i="9"/>
  <c r="AD86" i="9"/>
  <c r="AD375" i="9"/>
  <c r="AD380" i="9"/>
  <c r="AD11" i="9"/>
  <c r="AD9" i="9"/>
  <c r="AD437" i="9"/>
  <c r="AD143" i="9"/>
  <c r="AD250" i="9"/>
  <c r="AD41" i="9"/>
  <c r="AD196" i="9"/>
  <c r="AD177" i="9"/>
  <c r="AD90" i="9"/>
  <c r="AD251" i="9"/>
  <c r="AD558" i="9"/>
  <c r="AD458" i="9"/>
  <c r="AD27" i="9"/>
  <c r="AD123" i="9"/>
  <c r="AD207" i="9"/>
  <c r="AD557" i="9"/>
  <c r="AD23" i="9"/>
  <c r="AD99" i="9"/>
  <c r="AD212" i="9"/>
  <c r="AD193" i="9"/>
  <c r="AD106" i="9"/>
  <c r="AD267" i="9"/>
  <c r="AD593" i="9"/>
  <c r="AD480" i="9"/>
  <c r="AD187" i="9"/>
  <c r="AD362" i="9"/>
  <c r="AD24" i="9"/>
  <c r="AD164" i="9"/>
  <c r="AD145" i="9"/>
  <c r="AD58" i="9"/>
  <c r="AD637" i="9"/>
  <c r="AD494" i="9"/>
  <c r="AD416" i="9"/>
  <c r="AD21" i="9"/>
  <c r="AD79" i="9"/>
  <c r="AD179" i="9"/>
  <c r="AD85" i="9"/>
  <c r="AD294" i="9"/>
  <c r="AD415" i="9"/>
  <c r="AD356" i="9"/>
  <c r="AD293" i="9"/>
  <c r="AD715" i="9"/>
  <c r="AD487" i="9"/>
  <c r="AD139" i="9"/>
  <c r="AD18" i="9"/>
  <c r="AD350" i="9"/>
  <c r="AD184" i="9"/>
  <c r="AD165" i="9"/>
  <c r="AD78" i="9"/>
  <c r="AD239" i="9"/>
  <c r="AD534" i="9"/>
  <c r="AD442" i="9"/>
  <c r="AD373" i="9"/>
  <c r="AD654" i="9"/>
  <c r="AD567" i="9"/>
  <c r="AD103" i="9"/>
  <c r="AD25" i="9"/>
  <c r="AD307" i="9"/>
  <c r="AD136" i="9"/>
  <c r="AD117" i="9"/>
  <c r="AD30" i="9"/>
  <c r="AD424" i="9"/>
  <c r="AD457" i="9"/>
  <c r="AD388" i="9"/>
  <c r="AD325" i="9"/>
  <c r="AD606" i="9"/>
  <c r="AD519" i="9"/>
  <c r="AD346" i="9"/>
  <c r="AD146" i="9"/>
  <c r="AD274" i="9"/>
  <c r="AD69" i="9"/>
  <c r="AD242" i="9"/>
  <c r="AD399" i="9"/>
  <c r="AD340" i="9"/>
  <c r="AD277" i="9"/>
  <c r="AD633" i="9"/>
  <c r="AD471" i="9"/>
  <c r="AD87" i="9"/>
  <c r="AD75" i="9"/>
  <c r="AD482" i="9"/>
  <c r="AD76" i="9"/>
  <c r="AD121" i="9"/>
  <c r="AD392" i="9"/>
  <c r="AD649" i="9"/>
  <c r="AD559" i="9"/>
  <c r="AD580" i="9"/>
  <c r="AD711" i="9"/>
  <c r="AD707" i="9"/>
  <c r="AD92" i="9"/>
  <c r="AD403" i="9"/>
  <c r="AD438" i="9"/>
  <c r="AD459" i="9"/>
  <c r="AD504" i="9"/>
  <c r="AD617" i="9"/>
  <c r="AD935" i="9"/>
  <c r="AD153" i="9"/>
  <c r="AD426" i="9"/>
  <c r="AD686" i="9"/>
  <c r="AD571" i="9"/>
  <c r="AD588" i="9"/>
  <c r="AD662" i="9"/>
  <c r="AD210" i="9"/>
  <c r="AD688" i="9"/>
  <c r="AC120" i="9"/>
  <c r="AD869" i="9"/>
  <c r="AC59" i="9"/>
  <c r="AC124" i="9"/>
  <c r="AD792" i="9"/>
  <c r="AC420" i="9"/>
  <c r="AC34" i="9"/>
  <c r="AD896" i="9"/>
  <c r="AC299" i="9"/>
  <c r="AD965" i="9"/>
  <c r="AC226" i="9"/>
  <c r="AC930" i="9"/>
  <c r="AD906" i="9"/>
  <c r="AC262" i="9"/>
  <c r="AD973" i="9"/>
  <c r="AC395" i="9"/>
  <c r="AD830" i="9"/>
  <c r="AC108" i="9"/>
  <c r="AD808" i="9"/>
  <c r="AD38" i="9"/>
  <c r="AD47" i="9"/>
  <c r="AD224" i="9"/>
  <c r="AD279" i="9"/>
  <c r="AD363" i="9"/>
  <c r="AD183" i="9"/>
  <c r="AD4" i="9"/>
  <c r="AD245" i="9"/>
  <c r="AD6" i="9"/>
  <c r="AD231" i="9"/>
  <c r="AD747" i="9"/>
  <c r="AD342" i="9"/>
  <c r="AD128" i="9"/>
  <c r="AD173" i="9"/>
  <c r="AD214" i="9"/>
  <c r="AD446" i="9"/>
  <c r="AD453" i="9"/>
  <c r="AD161" i="9"/>
  <c r="AD59" i="9"/>
  <c r="AD72" i="9"/>
  <c r="AD107" i="9"/>
  <c r="AD191" i="9"/>
  <c r="AD450" i="9"/>
  <c r="AD318" i="9"/>
  <c r="AD246" i="9"/>
  <c r="AD154" i="9"/>
  <c r="AD315" i="9"/>
  <c r="AD256" i="9"/>
  <c r="AD569" i="9"/>
  <c r="AD88" i="9"/>
  <c r="AD298" i="9"/>
  <c r="AD20" i="9"/>
  <c r="AD382" i="9"/>
  <c r="AD306" i="9"/>
  <c r="AD170" i="9"/>
  <c r="AD331" i="9"/>
  <c r="AD272" i="9"/>
  <c r="AD613" i="9"/>
  <c r="AD43" i="9"/>
  <c r="AD104" i="9"/>
  <c r="AD163" i="9"/>
  <c r="AD229" i="9"/>
  <c r="AD209" i="9"/>
  <c r="AD122" i="9"/>
  <c r="AD283" i="9"/>
  <c r="AD657" i="9"/>
  <c r="AD505" i="9"/>
  <c r="AD282" i="9"/>
  <c r="AD40" i="9"/>
  <c r="AD149" i="9"/>
  <c r="AD62" i="9"/>
  <c r="AD731" i="9"/>
  <c r="AD502" i="9"/>
  <c r="AD421" i="9"/>
  <c r="AD357" i="9"/>
  <c r="AD638" i="9"/>
  <c r="AD551" i="9"/>
  <c r="AD243" i="9"/>
  <c r="AD162" i="9"/>
  <c r="AD270" i="9"/>
  <c r="AD230" i="9"/>
  <c r="AD142" i="9"/>
  <c r="AD303" i="9"/>
  <c r="AD875" i="9"/>
  <c r="AD545" i="9"/>
  <c r="AD444" i="9"/>
  <c r="AD799" i="9"/>
  <c r="AD631" i="9"/>
  <c r="AD188" i="9"/>
  <c r="AD223" i="9"/>
  <c r="AD200" i="9"/>
  <c r="AD181" i="9"/>
  <c r="AD94" i="9"/>
  <c r="AD255" i="9"/>
  <c r="AD566" i="9"/>
  <c r="AD464" i="9"/>
  <c r="AD389" i="9"/>
  <c r="AD671" i="9"/>
  <c r="AD583" i="9"/>
  <c r="AD167" i="9"/>
  <c r="AD314" i="9"/>
  <c r="AD441" i="9"/>
  <c r="AD152" i="9"/>
  <c r="AD133" i="9"/>
  <c r="AD46" i="9"/>
  <c r="AD517" i="9"/>
  <c r="AD478" i="9"/>
  <c r="AD404" i="9"/>
  <c r="AD341" i="9"/>
  <c r="AD622" i="9"/>
  <c r="AD535" i="9"/>
  <c r="AD374" i="9"/>
  <c r="AD621" i="9"/>
  <c r="AD34" i="9"/>
  <c r="AD253" i="9"/>
  <c r="AD646" i="9"/>
  <c r="AD643" i="9"/>
  <c r="AD644" i="9"/>
  <c r="AD645" i="9"/>
  <c r="AD656" i="9"/>
  <c r="AD73" i="9"/>
  <c r="AD344" i="9"/>
  <c r="AD586" i="9"/>
  <c r="AD543" i="9"/>
  <c r="AD584" i="9"/>
  <c r="AD447" i="9"/>
  <c r="AD66" i="9"/>
  <c r="AD269" i="9"/>
  <c r="AD658" i="9"/>
  <c r="AD655" i="9"/>
  <c r="AD652" i="9"/>
  <c r="AD595" i="9"/>
  <c r="AD371" i="9"/>
  <c r="AD204" i="9"/>
  <c r="AD574" i="9"/>
  <c r="AC427" i="9"/>
  <c r="AD798" i="9"/>
  <c r="AC76" i="9"/>
  <c r="AD749" i="9"/>
  <c r="AD778" i="9"/>
  <c r="AC127" i="9"/>
  <c r="AD845" i="9"/>
  <c r="AC193" i="9"/>
  <c r="AD958" i="9"/>
  <c r="AC319" i="9"/>
  <c r="AD936" i="9"/>
  <c r="AC213" i="9"/>
  <c r="AD884" i="9"/>
  <c r="AC22" i="9"/>
  <c r="AD794" i="9"/>
  <c r="AD466" i="9"/>
  <c r="AD138" i="9"/>
  <c r="AD7" i="9"/>
  <c r="AD205" i="9"/>
  <c r="AD641" i="9"/>
  <c r="AD111" i="9"/>
  <c r="AD211" i="9"/>
  <c r="AD93" i="9"/>
  <c r="AD70" i="9"/>
  <c r="AD295" i="9"/>
  <c r="AD364" i="9"/>
  <c r="AD430" i="9"/>
  <c r="AD192" i="9"/>
  <c r="AD509" i="9"/>
  <c r="AD390" i="9"/>
  <c r="AD550" i="9"/>
  <c r="AD63" i="9"/>
  <c r="AD74" i="9"/>
  <c r="AD35" i="9"/>
  <c r="AD234" i="9"/>
  <c r="AD68" i="9"/>
  <c r="AD49" i="9"/>
  <c r="AD541" i="9"/>
  <c r="AD218" i="9"/>
  <c r="AD379" i="9"/>
  <c r="AD320" i="9"/>
  <c r="AD257" i="9"/>
  <c r="AD394" i="9"/>
  <c r="AD84" i="9"/>
  <c r="AD65" i="9"/>
  <c r="AD923" i="9"/>
  <c r="AD237" i="9"/>
  <c r="AD395" i="9"/>
  <c r="AD336" i="9"/>
  <c r="AD273" i="9"/>
  <c r="AD795" i="9"/>
  <c r="AD36" i="9"/>
  <c r="AD456" i="9"/>
  <c r="AD370" i="9"/>
  <c r="AD186" i="9"/>
  <c r="AD347" i="9"/>
  <c r="AD288" i="9"/>
  <c r="AD681" i="9"/>
  <c r="AD151" i="9"/>
  <c r="AD168" i="9"/>
  <c r="AD213" i="9"/>
  <c r="AD126" i="9"/>
  <c r="AD287" i="9"/>
  <c r="AD675" i="9"/>
  <c r="AD513" i="9"/>
  <c r="AD422" i="9"/>
  <c r="AD735" i="9"/>
  <c r="AD615" i="9"/>
  <c r="AD472" i="9"/>
  <c r="AD124" i="9"/>
  <c r="AD939" i="9"/>
  <c r="AD56" i="9"/>
  <c r="AD605" i="9"/>
  <c r="AD461" i="9"/>
  <c r="AD206" i="9"/>
  <c r="AD367" i="9"/>
  <c r="AD308" i="9"/>
  <c r="AD955" i="9"/>
  <c r="AD546" i="9"/>
  <c r="AD439" i="9"/>
  <c r="AD39" i="9"/>
  <c r="AD169" i="9"/>
  <c r="AD334" i="9"/>
  <c r="AD258" i="9"/>
  <c r="AD158" i="9"/>
  <c r="AD319" i="9"/>
  <c r="AD260" i="9"/>
  <c r="AD577" i="9"/>
  <c r="AD465" i="9"/>
  <c r="AD863" i="9"/>
  <c r="AD647" i="9"/>
  <c r="AD286" i="9"/>
  <c r="AD216" i="9"/>
  <c r="AD197" i="9"/>
  <c r="AD110" i="9"/>
  <c r="AD271" i="9"/>
  <c r="AD609" i="9"/>
  <c r="AD485" i="9"/>
  <c r="AD405" i="9"/>
  <c r="AD693" i="9"/>
  <c r="AD599" i="9"/>
  <c r="AD233" i="9"/>
  <c r="AD60" i="9"/>
  <c r="AD542" i="9"/>
  <c r="AD445" i="9"/>
  <c r="AD365" i="9"/>
  <c r="AD847" i="9"/>
  <c r="AD787" i="9"/>
  <c r="AD759" i="9"/>
  <c r="AD522" i="9"/>
  <c r="AD763" i="9"/>
  <c r="AD630" i="9"/>
  <c r="AD627" i="9"/>
  <c r="AD775" i="9"/>
  <c r="AD683" i="9"/>
  <c r="AD227" i="9"/>
  <c r="AD377" i="9"/>
  <c r="AD895" i="9"/>
  <c r="AD819" i="9"/>
  <c r="AD791" i="9"/>
  <c r="AD528" i="9"/>
  <c r="AD312" i="9"/>
  <c r="AD185" i="9"/>
  <c r="AD469" i="9"/>
  <c r="AD843" i="9"/>
  <c r="AD579" i="9"/>
  <c r="AD596" i="9"/>
  <c r="AD839" i="9"/>
  <c r="AD496" i="9"/>
  <c r="AD156" i="9"/>
  <c r="AD484" i="9"/>
  <c r="AD470" i="9"/>
  <c r="AD479" i="9"/>
  <c r="AD520" i="9"/>
  <c r="AD618" i="9"/>
  <c r="AD95" i="9"/>
  <c r="AD217" i="9"/>
  <c r="AD521" i="9"/>
  <c r="AD594" i="9"/>
  <c r="AD591" i="9"/>
  <c r="AD604" i="9"/>
  <c r="AD831" i="9"/>
  <c r="AD264" i="9"/>
  <c r="AD530" i="9"/>
  <c r="AD515" i="9"/>
  <c r="AD548" i="9"/>
  <c r="AD632" i="9"/>
  <c r="AD575" i="9"/>
  <c r="AD131" i="9"/>
  <c r="AD275" i="9"/>
  <c r="AD393" i="9"/>
  <c r="AC54" i="9"/>
  <c r="AD826" i="9"/>
  <c r="AC400" i="9"/>
  <c r="AD756" i="9"/>
  <c r="AC762" i="9"/>
  <c r="AD922" i="9"/>
  <c r="AD949" i="9"/>
  <c r="AC242" i="9"/>
  <c r="AD758" i="9"/>
  <c r="AC241" i="9"/>
  <c r="AD841" i="9"/>
  <c r="AC384" i="9"/>
  <c r="AD144" i="9"/>
  <c r="AD468" i="9"/>
  <c r="AD135" i="9"/>
  <c r="AD653" i="9"/>
  <c r="AD497" i="9"/>
  <c r="AD215" i="9"/>
  <c r="AD37" i="9"/>
  <c r="AD112" i="9"/>
  <c r="AD157" i="9"/>
  <c r="AD134" i="9"/>
  <c r="AD425" i="9"/>
  <c r="AD432" i="9"/>
  <c r="AD330" i="9"/>
  <c r="AD116" i="9"/>
  <c r="AD305" i="9"/>
  <c r="AD33" i="9"/>
  <c r="AD859" i="9"/>
  <c r="AD22" i="9"/>
  <c r="AD247" i="9"/>
  <c r="AD316" i="9"/>
  <c r="AD235" i="9"/>
  <c r="AD17" i="9"/>
  <c r="AD132" i="9"/>
  <c r="AD113" i="9"/>
  <c r="AD26" i="9"/>
  <c r="AD406" i="9"/>
  <c r="AD452" i="9"/>
  <c r="AD384" i="9"/>
  <c r="AD321" i="9"/>
  <c r="AD51" i="9"/>
  <c r="AD148" i="9"/>
  <c r="AD129" i="9"/>
  <c r="AD42" i="9"/>
  <c r="AD488" i="9"/>
  <c r="AD473" i="9"/>
  <c r="AD400" i="9"/>
  <c r="AD31" i="9"/>
  <c r="AD115" i="9"/>
  <c r="AD100" i="9"/>
  <c r="AD81" i="9"/>
  <c r="AD278" i="9"/>
  <c r="AD411" i="9"/>
  <c r="AD352" i="9"/>
  <c r="AD289" i="9"/>
  <c r="AD477" i="9"/>
  <c r="AD386" i="9"/>
  <c r="AD190" i="9"/>
  <c r="AD351" i="9"/>
  <c r="AD292" i="9"/>
  <c r="AD702" i="9"/>
  <c r="AD514" i="9"/>
  <c r="AD423" i="9"/>
  <c r="AD8" i="9"/>
  <c r="AD105" i="9"/>
  <c r="AD120" i="9"/>
  <c r="AD101" i="9"/>
  <c r="AD14" i="9"/>
  <c r="AD358" i="9"/>
  <c r="AD436" i="9"/>
  <c r="AD372" i="9"/>
  <c r="AD309" i="9"/>
  <c r="AD590" i="9"/>
  <c r="AD503" i="9"/>
  <c r="AD203" i="9"/>
  <c r="AD82" i="9"/>
  <c r="AD57" i="9"/>
  <c r="AD53" i="9"/>
  <c r="AD573" i="9"/>
  <c r="AD222" i="9"/>
  <c r="AD383" i="9"/>
  <c r="AD324" i="9"/>
  <c r="AD261" i="9"/>
  <c r="AD578" i="9"/>
  <c r="AD455" i="9"/>
  <c r="AD29" i="9"/>
  <c r="AD159" i="9"/>
  <c r="AD236" i="9"/>
  <c r="AD12" i="9"/>
  <c r="AD398" i="9"/>
  <c r="AD322" i="9"/>
  <c r="AD174" i="9"/>
  <c r="AD335" i="9"/>
  <c r="AD276" i="9"/>
  <c r="AD629" i="9"/>
  <c r="AD486" i="9"/>
  <c r="AD927" i="9"/>
  <c r="AD663" i="9"/>
  <c r="AD670" i="9"/>
  <c r="AD140" i="9"/>
  <c r="AD462" i="9"/>
  <c r="AD460" i="9"/>
  <c r="AD475" i="9"/>
  <c r="AD516" i="9"/>
  <c r="AD552" i="9"/>
  <c r="AD427" i="9"/>
  <c r="AD248" i="9"/>
  <c r="AD349" i="9"/>
  <c r="AD783" i="9"/>
  <c r="AD739" i="9"/>
  <c r="AD281" i="9"/>
  <c r="AD592" i="9"/>
  <c r="AD172" i="9"/>
  <c r="AD510" i="9"/>
  <c r="AD476" i="9"/>
  <c r="AD483" i="9"/>
  <c r="AD524" i="9"/>
  <c r="AD381" i="9"/>
  <c r="AD807" i="9"/>
  <c r="AD98" i="9"/>
  <c r="AD285" i="9"/>
  <c r="AD666" i="9"/>
  <c r="AD667" i="9"/>
  <c r="AD660" i="9"/>
  <c r="AD249" i="9"/>
  <c r="AD743" i="9"/>
  <c r="AD137" i="9"/>
  <c r="AD408" i="9"/>
  <c r="AD665" i="9"/>
  <c r="AD563" i="9"/>
  <c r="AD616" i="9"/>
  <c r="AD491" i="9"/>
  <c r="AD130" i="9"/>
  <c r="AD301" i="9"/>
  <c r="AD682" i="9"/>
  <c r="AD678" i="9"/>
  <c r="AD669" i="9"/>
  <c r="AD639" i="9"/>
  <c r="AD561" i="9"/>
  <c r="AD602" i="9"/>
  <c r="AD603" i="9"/>
  <c r="AD612" i="9"/>
  <c r="AD919" i="9"/>
  <c r="AD560" i="9"/>
  <c r="AD220" i="9"/>
  <c r="AD625" i="9"/>
  <c r="AD498" i="9"/>
  <c r="AD499" i="9"/>
  <c r="AD536" i="9"/>
  <c r="AD687" i="9"/>
  <c r="AD402" i="9"/>
  <c r="AD597" i="9"/>
  <c r="AD614" i="9"/>
  <c r="AD611" i="9"/>
  <c r="AD620" i="9"/>
  <c r="AD467" i="9"/>
  <c r="AD387" i="9"/>
  <c r="AD433" i="9"/>
  <c r="AD451" i="9"/>
  <c r="AD500" i="9"/>
  <c r="AD951" i="9"/>
  <c r="AD751" i="9"/>
  <c r="AD178" i="9"/>
  <c r="AD329" i="9"/>
  <c r="AD703" i="9"/>
  <c r="AD694" i="9"/>
  <c r="AD553" i="9"/>
  <c r="AD544" i="9"/>
  <c r="AD108" i="9"/>
  <c r="AD313" i="9"/>
  <c r="AD508" i="9"/>
  <c r="AD463" i="9"/>
  <c r="AD449" i="9"/>
  <c r="AD420" i="9"/>
  <c r="AD911" i="9"/>
  <c r="AD931" i="9"/>
  <c r="AD610" i="9"/>
  <c r="AD280" i="9"/>
  <c r="AD28" i="9"/>
  <c r="AD659" i="9"/>
  <c r="AD701" i="9"/>
  <c r="AD623" i="9"/>
  <c r="AD570" i="9"/>
  <c r="AD226" i="9"/>
  <c r="AD448" i="9"/>
  <c r="AD699" i="9"/>
  <c r="AD554" i="9"/>
  <c r="AD355" i="9"/>
  <c r="AD555" i="9"/>
  <c r="AD867" i="9"/>
  <c r="AD677" i="9"/>
  <c r="AD114" i="9"/>
  <c r="AD642" i="9"/>
  <c r="AD915" i="9"/>
  <c r="AD409" i="9"/>
  <c r="AD454" i="9"/>
  <c r="AD507" i="9"/>
  <c r="AD697" i="9"/>
  <c r="AD903" i="9"/>
  <c r="AD650" i="9"/>
  <c r="AD50" i="9"/>
  <c r="AD779" i="9"/>
  <c r="AD851" i="9"/>
  <c r="AD385" i="9"/>
  <c r="AD871" i="9"/>
  <c r="AD685" i="9"/>
  <c r="AD523" i="9"/>
  <c r="AD413" i="9"/>
  <c r="AD338" i="9"/>
  <c r="AD429" i="9"/>
  <c r="AD376" i="9"/>
  <c r="AD564" i="9"/>
  <c r="AD767" i="9"/>
  <c r="AD661" i="9"/>
  <c r="AD771" i="9"/>
  <c r="AD556" i="9"/>
  <c r="AD443" i="9"/>
  <c r="AD333" i="9"/>
  <c r="AD501" i="9"/>
  <c r="AD695" i="9"/>
  <c r="AD587" i="9"/>
  <c r="AD297" i="9"/>
  <c r="AD887" i="9"/>
  <c r="AD431" i="9"/>
  <c r="AD323" i="9"/>
  <c r="AD540" i="9"/>
  <c r="AD506" i="9"/>
  <c r="AD240" i="9"/>
  <c r="AD835" i="9"/>
  <c r="AD651" i="9"/>
  <c r="AD265" i="9"/>
  <c r="AD823" i="9"/>
  <c r="AD943" i="9"/>
  <c r="AD67" i="9"/>
</calcChain>
</file>

<file path=xl/sharedStrings.xml><?xml version="1.0" encoding="utf-8"?>
<sst xmlns="http://schemas.openxmlformats.org/spreadsheetml/2006/main" count="9390" uniqueCount="214">
  <si>
    <t>Unnamed: 0</t>
  </si>
  <si>
    <t>instant</t>
  </si>
  <si>
    <t>atemp</t>
  </si>
  <si>
    <t>hum</t>
  </si>
  <si>
    <t>windspeed</t>
  </si>
  <si>
    <t>casual</t>
  </si>
  <si>
    <t>registered</t>
  </si>
  <si>
    <t>cnt</t>
  </si>
  <si>
    <t>REGISTERED</t>
  </si>
  <si>
    <t>17:00</t>
  </si>
  <si>
    <t>Mon</t>
  </si>
  <si>
    <t>Tue</t>
  </si>
  <si>
    <t>Wed</t>
  </si>
  <si>
    <t>Thu</t>
  </si>
  <si>
    <t>Fri</t>
  </si>
  <si>
    <t>Sat</t>
  </si>
  <si>
    <t>Sun</t>
  </si>
  <si>
    <t>00:00</t>
  </si>
  <si>
    <t>01:00</t>
  </si>
  <si>
    <t>02:00</t>
  </si>
  <si>
    <t>03:00</t>
  </si>
  <si>
    <t>04:00</t>
  </si>
  <si>
    <t>05:00</t>
  </si>
  <si>
    <t>06:00</t>
  </si>
  <si>
    <t>07:00</t>
  </si>
  <si>
    <t>08:00</t>
  </si>
  <si>
    <t>09:00</t>
  </si>
  <si>
    <t>10:00</t>
  </si>
  <si>
    <t>11:00</t>
  </si>
  <si>
    <t>12:00</t>
  </si>
  <si>
    <t>13:00</t>
  </si>
  <si>
    <t>14:00</t>
  </si>
  <si>
    <t>15:00</t>
  </si>
  <si>
    <t>16:00</t>
  </si>
  <si>
    <t>18:00</t>
  </si>
  <si>
    <t>19:00</t>
  </si>
  <si>
    <t>20:00</t>
  </si>
  <si>
    <t>21:00</t>
  </si>
  <si>
    <t>22:00</t>
  </si>
  <si>
    <t>23:00</t>
  </si>
  <si>
    <t>dteday</t>
  </si>
  <si>
    <t>season</t>
  </si>
  <si>
    <t>yr</t>
  </si>
  <si>
    <t>mnth</t>
  </si>
  <si>
    <t>hr</t>
  </si>
  <si>
    <t>holiday</t>
  </si>
  <si>
    <t>weekday</t>
  </si>
  <si>
    <t>weathersit</t>
  </si>
  <si>
    <t>temp</t>
  </si>
  <si>
    <t>Atemp</t>
  </si>
  <si>
    <t>Hum</t>
  </si>
  <si>
    <t>Windspeed</t>
  </si>
  <si>
    <t>Casual</t>
  </si>
  <si>
    <t>Registered</t>
  </si>
  <si>
    <t>Cnt</t>
  </si>
  <si>
    <t>INSTANT</t>
  </si>
  <si>
    <t>DTEDAY</t>
  </si>
  <si>
    <t>SEASON</t>
  </si>
  <si>
    <t>YR</t>
  </si>
  <si>
    <t>HR</t>
  </si>
  <si>
    <t>HOLIDAY</t>
  </si>
  <si>
    <t>WEEKDAY</t>
  </si>
  <si>
    <t>WEATHERSIT</t>
  </si>
  <si>
    <t>TEMP</t>
  </si>
  <si>
    <t>ATEMP</t>
  </si>
  <si>
    <t>HUM</t>
  </si>
  <si>
    <t>WINDSPEED</t>
  </si>
  <si>
    <t>CASUAL</t>
  </si>
  <si>
    <t>CNT</t>
  </si>
  <si>
    <t>DAY_TYPE</t>
  </si>
  <si>
    <t>HOLIDAY_FLAG</t>
  </si>
  <si>
    <t>SEASON_LABEL</t>
  </si>
  <si>
    <t>WEATHER_LABEL</t>
  </si>
  <si>
    <t>HOUR_PERIOD</t>
  </si>
  <si>
    <t>DEMAND_LEVEL</t>
  </si>
  <si>
    <t>TEMP_CATEGORY</t>
  </si>
  <si>
    <t>YEAR_LABEL</t>
  </si>
  <si>
    <t>WORKING_DAY</t>
  </si>
  <si>
    <t>Weekend</t>
  </si>
  <si>
    <t>Non-Holiday</t>
  </si>
  <si>
    <t>Spring</t>
  </si>
  <si>
    <t>Clear</t>
  </si>
  <si>
    <t>Late Night</t>
  </si>
  <si>
    <t>Low</t>
  </si>
  <si>
    <t>Cold</t>
  </si>
  <si>
    <t>2011</t>
  </si>
  <si>
    <t>Non-Working Day</t>
  </si>
  <si>
    <t>Medium</t>
  </si>
  <si>
    <t>Mist/Cloudy</t>
  </si>
  <si>
    <t>Morning Rush</t>
  </si>
  <si>
    <t>Mild</t>
  </si>
  <si>
    <t>Mid Morning</t>
  </si>
  <si>
    <t>Lunch</t>
  </si>
  <si>
    <t>High</t>
  </si>
  <si>
    <t>Afternoon</t>
  </si>
  <si>
    <t>Evening Rush</t>
  </si>
  <si>
    <t>Light Rain/Snow</t>
  </si>
  <si>
    <t>Night</t>
  </si>
  <si>
    <t>Weekday</t>
  </si>
  <si>
    <t>Working Day</t>
  </si>
  <si>
    <t>Holiday</t>
  </si>
  <si>
    <t>Heavy Rain/Snow</t>
  </si>
  <si>
    <t>COUNTIF — Record Counts by Category</t>
  </si>
  <si>
    <t>Category</t>
  </si>
  <si>
    <t>Group</t>
  </si>
  <si>
    <t>Count</t>
  </si>
  <si>
    <t>% of Total</t>
  </si>
  <si>
    <t>Day Type</t>
  </si>
  <si>
    <t>67.0%</t>
  </si>
  <si>
    <t>33.0%</t>
  </si>
  <si>
    <t>2.4%</t>
  </si>
  <si>
    <t>97.6%</t>
  </si>
  <si>
    <t>Demand Level</t>
  </si>
  <si>
    <t>33.6%</t>
  </si>
  <si>
    <t>32.6%</t>
  </si>
  <si>
    <t>33.8%</t>
  </si>
  <si>
    <t>Weather</t>
  </si>
  <si>
    <t>60.6%</t>
  </si>
  <si>
    <t>30.9%</t>
  </si>
  <si>
    <t>8.4%</t>
  </si>
  <si>
    <t>0.1%</t>
  </si>
  <si>
    <t>SUMIF — Total Rentals by Category</t>
  </si>
  <si>
    <t>Total Rentals</t>
  </si>
  <si>
    <t>Avg per Hour</t>
  </si>
  <si>
    <t>Hour Period</t>
  </si>
  <si>
    <t>STDEV — Variability in Rentals</t>
  </si>
  <si>
    <t>Metric</t>
  </si>
  <si>
    <t>Value</t>
  </si>
  <si>
    <t>Interpretation</t>
  </si>
  <si>
    <t>Overall Std Dev (cnt)</t>
  </si>
  <si>
    <t>High spread — demand varies a lot by hour</t>
  </si>
  <si>
    <t>Std Dev on Weekdays</t>
  </si>
  <si>
    <t>More variable due to rush hours</t>
  </si>
  <si>
    <t>Std Dev on Weekends</t>
  </si>
  <si>
    <t>Smoother demand pattern</t>
  </si>
  <si>
    <t>Std Dev — Clear weather</t>
  </si>
  <si>
    <t>Widest spread — weather boosts demand</t>
  </si>
  <si>
    <t>Std Dev — Rain/Snow</t>
  </si>
  <si>
    <t>Narrower — bad weather suppresses demand</t>
  </si>
  <si>
    <t>CORREL — Correlation with Total Rentals (cnt)</t>
  </si>
  <si>
    <t>Variable</t>
  </si>
  <si>
    <t>Correlation (r)</t>
  </si>
  <si>
    <t>Strength</t>
  </si>
  <si>
    <t>Direction</t>
  </si>
  <si>
    <t>Weak</t>
  </si>
  <si>
    <t>Positive ↑</t>
  </si>
  <si>
    <t>Negative ↓</t>
  </si>
  <si>
    <t>Hour</t>
  </si>
  <si>
    <t>Grand Total</t>
  </si>
  <si>
    <t>Avg</t>
  </si>
  <si>
    <t>Period</t>
  </si>
  <si>
    <t>Total</t>
  </si>
  <si>
    <t>Day</t>
  </si>
  <si>
    <t>Type</t>
  </si>
  <si>
    <t>Pct</t>
  </si>
  <si>
    <t>Column1</t>
  </si>
  <si>
    <t>Column2</t>
  </si>
  <si>
    <t>Column3</t>
  </si>
  <si>
    <t>MONTH</t>
  </si>
  <si>
    <t>Sum of Total Rentals</t>
  </si>
  <si>
    <t>Sum of Avg Rentals/Hr</t>
  </si>
  <si>
    <t>Sum of Max Rentals</t>
  </si>
  <si>
    <t>Sum of Min Rentals</t>
  </si>
  <si>
    <t>Sum of Record Count</t>
  </si>
  <si>
    <t>Row Labels</t>
  </si>
  <si>
    <t>IF(OR(H2=0,H2=6),"Weekend","Weekday")</t>
  </si>
  <si>
    <r>
      <t>1. Day Type</t>
    </r>
    <r>
      <rPr>
        <sz val="11"/>
        <color theme="1"/>
        <rFont val="Calibri"/>
        <family val="2"/>
        <scheme val="minor"/>
      </rPr>
      <t xml:space="preserve"> — Column: </t>
    </r>
    <r>
      <rPr>
        <sz val="10"/>
        <color theme="1"/>
        <rFont val="Arial Unicode MS"/>
      </rPr>
      <t>day_type</t>
    </r>
    <r>
      <rPr>
        <sz val="11"/>
        <color theme="1"/>
        <rFont val="Calibri"/>
        <family val="2"/>
        <scheme val="minor"/>
      </rPr>
      <t xml:space="preserve"> Assumes </t>
    </r>
    <r>
      <rPr>
        <sz val="10"/>
        <color theme="1"/>
        <rFont val="Arial Unicode MS"/>
      </rPr>
      <t>weekday</t>
    </r>
    <r>
      <rPr>
        <sz val="11"/>
        <color theme="1"/>
        <rFont val="Calibri"/>
        <family val="2"/>
        <scheme val="minor"/>
      </rPr>
      <t xml:space="preserve"> is in column H</t>
    </r>
  </si>
  <si>
    <r>
      <t>2. Holiday Flag</t>
    </r>
    <r>
      <rPr>
        <sz val="11"/>
        <color theme="1"/>
        <rFont val="Calibri"/>
        <family val="2"/>
        <scheme val="minor"/>
      </rPr>
      <t xml:space="preserve"> — Column: </t>
    </r>
    <r>
      <rPr>
        <sz val="10"/>
        <color theme="1"/>
        <rFont val="Arial Unicode MS"/>
      </rPr>
      <t>holiday_flag</t>
    </r>
    <r>
      <rPr>
        <sz val="11"/>
        <color theme="1"/>
        <rFont val="Calibri"/>
        <family val="2"/>
        <scheme val="minor"/>
      </rPr>
      <t xml:space="preserve"> Assumes </t>
    </r>
    <r>
      <rPr>
        <sz val="10"/>
        <color theme="1"/>
        <rFont val="Arial Unicode MS"/>
      </rPr>
      <t>holiday</t>
    </r>
    <r>
      <rPr>
        <sz val="11"/>
        <color theme="1"/>
        <rFont val="Calibri"/>
        <family val="2"/>
        <scheme val="minor"/>
      </rPr>
      <t xml:space="preserve"> is in column G</t>
    </r>
  </si>
  <si>
    <t>IF(G2=TRUE,"Holiday","Non-Holiday")</t>
  </si>
  <si>
    <r>
      <t>3. Season Label</t>
    </r>
    <r>
      <rPr>
        <sz val="11"/>
        <color theme="1"/>
        <rFont val="Calibri"/>
        <family val="2"/>
        <scheme val="minor"/>
      </rPr>
      <t xml:space="preserve"> — Column: </t>
    </r>
    <r>
      <rPr>
        <sz val="10"/>
        <color theme="1"/>
        <rFont val="Arial Unicode MS"/>
      </rPr>
      <t>season_label</t>
    </r>
    <r>
      <rPr>
        <sz val="11"/>
        <color theme="1"/>
        <rFont val="Calibri"/>
        <family val="2"/>
        <scheme val="minor"/>
      </rPr>
      <t xml:space="preserve"> Assumes </t>
    </r>
    <r>
      <rPr>
        <sz val="10"/>
        <color theme="1"/>
        <rFont val="Arial Unicode MS"/>
      </rPr>
      <t>season</t>
    </r>
    <r>
      <rPr>
        <sz val="11"/>
        <color theme="1"/>
        <rFont val="Calibri"/>
        <family val="2"/>
        <scheme val="minor"/>
      </rPr>
      <t xml:space="preserve"> is in column C</t>
    </r>
  </si>
  <si>
    <t>IFS(C2=1,"Spring",C2=2,"Summer",C2=3,"Fall",C2=4,"Winter")</t>
  </si>
  <si>
    <r>
      <t>4. Weather Label</t>
    </r>
    <r>
      <rPr>
        <sz val="11"/>
        <color theme="1"/>
        <rFont val="Calibri"/>
        <family val="2"/>
        <scheme val="minor"/>
      </rPr>
      <t xml:space="preserve"> — Column: </t>
    </r>
    <r>
      <rPr>
        <sz val="10"/>
        <color theme="1"/>
        <rFont val="Arial Unicode MS"/>
      </rPr>
      <t>weather_label</t>
    </r>
    <r>
      <rPr>
        <sz val="11"/>
        <color theme="1"/>
        <rFont val="Calibri"/>
        <family val="2"/>
        <scheme val="minor"/>
      </rPr>
      <t xml:space="preserve"> Assumes </t>
    </r>
    <r>
      <rPr>
        <sz val="10"/>
        <color theme="1"/>
        <rFont val="Arial Unicode MS"/>
      </rPr>
      <t>weathersit</t>
    </r>
    <r>
      <rPr>
        <sz val="11"/>
        <color theme="1"/>
        <rFont val="Calibri"/>
        <family val="2"/>
        <scheme val="minor"/>
      </rPr>
      <t xml:space="preserve"> is in column I</t>
    </r>
  </si>
  <si>
    <t>IFS(I2=1,"Clear",I2=2,"Mist/Cloudy",I2=3,"Light Rain/Snow",I2=4,"Heavy Rain/Snow")</t>
  </si>
  <si>
    <r>
      <t>5. Hour Period</t>
    </r>
    <r>
      <rPr>
        <sz val="11"/>
        <color theme="1"/>
        <rFont val="Calibri"/>
        <family val="2"/>
        <scheme val="minor"/>
      </rPr>
      <t xml:space="preserve"> — Column: </t>
    </r>
    <r>
      <rPr>
        <sz val="10"/>
        <color theme="1"/>
        <rFont val="Arial Unicode MS"/>
      </rPr>
      <t>hour_period</t>
    </r>
    <r>
      <rPr>
        <sz val="11"/>
        <color theme="1"/>
        <rFont val="Calibri"/>
        <family val="2"/>
        <scheme val="minor"/>
      </rPr>
      <t xml:space="preserve"> Assumes </t>
    </r>
    <r>
      <rPr>
        <sz val="10"/>
        <color theme="1"/>
        <rFont val="Arial Unicode MS"/>
      </rPr>
      <t>hr</t>
    </r>
    <r>
      <rPr>
        <sz val="11"/>
        <color theme="1"/>
        <rFont val="Calibri"/>
        <family val="2"/>
        <scheme val="minor"/>
      </rPr>
      <t xml:space="preserve"> is in column F</t>
    </r>
  </si>
  <si>
    <t>IFS(AND(F2&gt;=5,F2&lt;=9),"Morning Rush",AND(F2&gt;=10,F2&lt;=11),"Mid Morning",AND(F2&gt;=12,F2&lt;=13),"Lunch",AND(F2&gt;=14,F2&lt;=16),"Afternoon",AND(F2&gt;=17,F2&lt;=19),"Evening Rush",AND(F2&gt;=20,F2&lt;=23),"Night",F2&lt;5,"Late Night")</t>
  </si>
  <si>
    <r>
      <t>6. Demand Level</t>
    </r>
    <r>
      <rPr>
        <sz val="11"/>
        <color theme="1"/>
        <rFont val="Calibri"/>
        <family val="2"/>
        <scheme val="minor"/>
      </rPr>
      <t xml:space="preserve"> — Column: </t>
    </r>
    <r>
      <rPr>
        <sz val="10"/>
        <color theme="1"/>
        <rFont val="Arial Unicode MS"/>
      </rPr>
      <t>demand_level</t>
    </r>
    <r>
      <rPr>
        <sz val="11"/>
        <color theme="1"/>
        <rFont val="Calibri"/>
        <family val="2"/>
        <scheme val="minor"/>
      </rPr>
      <t xml:space="preserve"> Assumes </t>
    </r>
    <r>
      <rPr>
        <sz val="10"/>
        <color theme="1"/>
        <rFont val="Arial Unicode MS"/>
      </rPr>
      <t>cnt</t>
    </r>
    <r>
      <rPr>
        <sz val="11"/>
        <color theme="1"/>
        <rFont val="Calibri"/>
        <family val="2"/>
        <scheme val="minor"/>
      </rPr>
      <t xml:space="preserve"> is in column P. The thresholds (low=32, high=65) are based on the 33rd and 66th percentiles of your data.</t>
    </r>
  </si>
  <si>
    <t>IFS(P2&lt;=32,"Low",P2&lt;=65,"Medium",P2&gt;65,"High")</t>
  </si>
  <si>
    <r>
      <t>7. Temp Category</t>
    </r>
    <r>
      <rPr>
        <sz val="11"/>
        <color theme="1"/>
        <rFont val="Calibri"/>
        <family val="2"/>
        <scheme val="minor"/>
      </rPr>
      <t xml:space="preserve"> — Column: </t>
    </r>
    <r>
      <rPr>
        <sz val="10"/>
        <color theme="1"/>
        <rFont val="Arial Unicode MS"/>
      </rPr>
      <t>temp_category</t>
    </r>
    <r>
      <rPr>
        <sz val="11"/>
        <color theme="1"/>
        <rFont val="Calibri"/>
        <family val="2"/>
        <scheme val="minor"/>
      </rPr>
      <t xml:space="preserve"> Assumes </t>
    </r>
    <r>
      <rPr>
        <sz val="10"/>
        <color theme="1"/>
        <rFont val="Arial Unicode MS"/>
      </rPr>
      <t>temp</t>
    </r>
    <r>
      <rPr>
        <sz val="11"/>
        <color theme="1"/>
        <rFont val="Calibri"/>
        <family val="2"/>
        <scheme val="minor"/>
      </rPr>
      <t xml:space="preserve"> is in column J</t>
    </r>
  </si>
  <si>
    <t>IFS(J2&lt;0.25,"Cold",J2&lt;0.5,"Mild",J2&lt;0.75,"Warm",J2&gt;=0.75,"Hot")</t>
  </si>
  <si>
    <r>
      <t>8. Year Label</t>
    </r>
    <r>
      <rPr>
        <sz val="11"/>
        <color theme="1"/>
        <rFont val="Calibri"/>
        <family val="2"/>
        <scheme val="minor"/>
      </rPr>
      <t xml:space="preserve"> — Column: </t>
    </r>
    <r>
      <rPr>
        <sz val="10"/>
        <color theme="1"/>
        <rFont val="Arial Unicode MS"/>
      </rPr>
      <t>year_label</t>
    </r>
    <r>
      <rPr>
        <sz val="11"/>
        <color theme="1"/>
        <rFont val="Calibri"/>
        <family val="2"/>
        <scheme val="minor"/>
      </rPr>
      <t xml:space="preserve"> Assumes </t>
    </r>
    <r>
      <rPr>
        <sz val="10"/>
        <color theme="1"/>
        <rFont val="Arial Unicode MS"/>
      </rPr>
      <t>yr</t>
    </r>
    <r>
      <rPr>
        <sz val="11"/>
        <color theme="1"/>
        <rFont val="Calibri"/>
        <family val="2"/>
        <scheme val="minor"/>
      </rPr>
      <t xml:space="preserve"> is in column D</t>
    </r>
  </si>
  <si>
    <t>IF(D2=0,"2011","2012")</t>
  </si>
  <si>
    <r>
      <t>9. Working Day</t>
    </r>
    <r>
      <rPr>
        <sz val="11"/>
        <color theme="1"/>
        <rFont val="Calibri"/>
        <family val="2"/>
        <scheme val="minor"/>
      </rPr>
      <t xml:space="preserve"> — Column: </t>
    </r>
    <r>
      <rPr>
        <sz val="10"/>
        <color theme="1"/>
        <rFont val="Arial Unicode MS"/>
      </rPr>
      <t>working_day</t>
    </r>
    <r>
      <rPr>
        <sz val="11"/>
        <color theme="1"/>
        <rFont val="Calibri"/>
        <family val="2"/>
        <scheme val="minor"/>
      </rPr>
      <t xml:space="preserve"> Assumes </t>
    </r>
    <r>
      <rPr>
        <sz val="10"/>
        <color theme="1"/>
        <rFont val="Arial Unicode MS"/>
      </rPr>
      <t>day_type</t>
    </r>
    <r>
      <rPr>
        <sz val="11"/>
        <color theme="1"/>
        <rFont val="Calibri"/>
        <family val="2"/>
        <scheme val="minor"/>
      </rPr>
      <t xml:space="preserve"> result is in column Q and </t>
    </r>
    <r>
      <rPr>
        <sz val="10"/>
        <color theme="1"/>
        <rFont val="Arial Unicode MS"/>
      </rPr>
      <t>holiday_flag</t>
    </r>
    <r>
      <rPr>
        <sz val="11"/>
        <color theme="1"/>
        <rFont val="Calibri"/>
        <family val="2"/>
        <scheme val="minor"/>
      </rPr>
      <t xml:space="preserve"> result is in column R (or use the raw columns directly)</t>
    </r>
  </si>
  <si>
    <t>IF(AND(H2&lt;&gt;0,H2&lt;&gt;6,G2=FALSE),"Working Day","Non-Working Day")</t>
  </si>
  <si>
    <t>CountIF</t>
  </si>
  <si>
    <t>SUM IF</t>
  </si>
  <si>
    <t>Average IF</t>
  </si>
  <si>
    <t>Std, Deviation</t>
  </si>
  <si>
    <t>Correlation Temp</t>
  </si>
  <si>
    <t>Correlation Humidity</t>
  </si>
  <si>
    <t>Sum of Avg Casual</t>
  </si>
  <si>
    <t>Sum of Avg Registered</t>
  </si>
  <si>
    <t>Sum of Mon</t>
  </si>
  <si>
    <t>Sum of Tue</t>
  </si>
  <si>
    <t>Sum of Wed</t>
  </si>
  <si>
    <t>Sum of Thu</t>
  </si>
  <si>
    <t>Sum of Fri</t>
  </si>
  <si>
    <t>Sum of Sat</t>
  </si>
  <si>
    <t>Sum of Sun</t>
  </si>
  <si>
    <t>Sum of Casual Total</t>
  </si>
  <si>
    <t>Sum of Grand Total</t>
  </si>
  <si>
    <t>Sum of Registered Total</t>
  </si>
  <si>
    <t>Bike Sharing Demand Analysis</t>
  </si>
  <si>
    <t>2011 JAN - 2011 FEB</t>
  </si>
  <si>
    <t>SUM</t>
  </si>
  <si>
    <t>AVG</t>
  </si>
  <si>
    <t>Registered Sum</t>
  </si>
  <si>
    <t>Total Count</t>
  </si>
  <si>
    <t>Casual Sum</t>
  </si>
  <si>
    <t>Casual Users</t>
  </si>
  <si>
    <t>USERS</t>
  </si>
  <si>
    <t>Average</t>
  </si>
  <si>
    <t xml:space="preserve"> Registered Users</t>
  </si>
  <si>
    <t>Sum of Total</t>
  </si>
  <si>
    <t>Sum of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</si>
</sst>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Red]0.00"/>
  </numFmts>
  <fonts count="22">
    <font>
      <sz val="11"/>
      <color theme="1"/>
      <name val="Calibri"/>
      <family val="2"/>
      <scheme val="minor"/>
    </font>
    <font>
      <sz val="10"/>
      <color rgb="FF000000"/>
      <name val="Calibri"/>
      <scheme val="minor"/>
    </font>
    <font>
      <sz val="10"/>
      <color theme="1"/>
      <name val="Calibri"/>
      <scheme val="minor"/>
    </font>
    <font>
      <sz val="10"/>
      <color theme="1"/>
      <name val="Calibri"/>
      <family val="2"/>
      <scheme val="minor"/>
    </font>
    <font>
      <b/>
      <sz val="11"/>
      <color rgb="FFFFFFFF"/>
      <name val="Arial"/>
    </font>
    <font>
      <sz val="10"/>
      <name val="Arial"/>
    </font>
    <font>
      <b/>
      <sz val="11"/>
      <color rgb="FFFFFFFF"/>
      <name val="Arial"/>
    </font>
    <font>
      <b/>
      <sz val="12"/>
      <color rgb="FFFFFFFF"/>
      <name val="Arial"/>
    </font>
    <font>
      <sz val="10"/>
      <color rgb="FF14181F"/>
      <name val="Calibri"/>
      <family val="2"/>
      <scheme val="minor"/>
    </font>
    <font>
      <b/>
      <sz val="11"/>
      <color rgb="FFFFFFFF"/>
      <name val="Arial"/>
      <family val="2"/>
    </font>
    <font>
      <sz val="10"/>
      <name val="Arial"/>
      <family val="2"/>
    </font>
    <font>
      <sz val="10"/>
      <color rgb="FF000000"/>
      <name val="Calibri"/>
      <family val="2"/>
      <scheme val="minor"/>
    </font>
    <font>
      <b/>
      <sz val="11"/>
      <color theme="1"/>
      <name val="Calibri"/>
      <family val="2"/>
      <scheme val="minor"/>
    </font>
    <font>
      <sz val="11"/>
      <color theme="0"/>
      <name val="Calibri"/>
      <family val="2"/>
      <scheme val="minor"/>
    </font>
    <font>
      <sz val="10"/>
      <color theme="1"/>
      <name val="Arial Unicode MS"/>
    </font>
    <font>
      <b/>
      <sz val="36"/>
      <color theme="0"/>
      <name val="Calibri"/>
      <family val="2"/>
      <scheme val="minor"/>
    </font>
    <font>
      <sz val="36"/>
      <color theme="0"/>
      <name val="Calibri"/>
      <family val="2"/>
      <scheme val="minor"/>
    </font>
    <font>
      <b/>
      <sz val="22"/>
      <color theme="0"/>
      <name val="Calibri"/>
      <family val="2"/>
      <scheme val="minor"/>
    </font>
    <font>
      <b/>
      <sz val="10"/>
      <color theme="1"/>
      <name val="Calibri"/>
      <family val="2"/>
      <scheme val="minor"/>
    </font>
    <font>
      <sz val="10"/>
      <color theme="0"/>
      <name val="Calibri"/>
      <family val="2"/>
      <scheme val="minor"/>
    </font>
    <font>
      <b/>
      <sz val="10"/>
      <name val="Arial"/>
      <family val="2"/>
    </font>
    <font>
      <sz val="8"/>
      <name val="Calibri"/>
      <family val="2"/>
      <scheme val="minor"/>
    </font>
  </fonts>
  <fills count="20">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rgb="FFFFF2CC"/>
      </patternFill>
    </fill>
    <fill>
      <patternFill patternType="solid">
        <fgColor rgb="FFFCE5CD"/>
      </patternFill>
    </fill>
    <fill>
      <patternFill patternType="solid">
        <fgColor rgb="FFD9EAD3"/>
      </patternFill>
    </fill>
    <fill>
      <patternFill patternType="solid">
        <fgColor rgb="FFEAD1DC"/>
      </patternFill>
    </fill>
    <fill>
      <patternFill patternType="solid">
        <fgColor rgb="FFCFE2F3"/>
      </patternFill>
    </fill>
    <fill>
      <patternFill patternType="solid">
        <fgColor rgb="FFD0E0E3"/>
      </patternFill>
    </fill>
    <fill>
      <patternFill patternType="solid">
        <fgColor rgb="FFF4CCCC"/>
      </patternFill>
    </fill>
    <fill>
      <patternFill patternType="solid">
        <fgColor rgb="FF2E75B6"/>
      </patternFill>
    </fill>
    <fill>
      <patternFill patternType="solid">
        <fgColor rgb="FFF2F2F2"/>
      </patternFill>
    </fill>
    <fill>
      <patternFill patternType="solid">
        <fgColor rgb="FFFFFFFF"/>
        <bgColor indexed="64"/>
      </patternFill>
    </fill>
    <fill>
      <patternFill patternType="solid">
        <fgColor rgb="FFD9EAD3"/>
        <bgColor indexed="64"/>
      </patternFill>
    </fill>
    <fill>
      <patternFill patternType="solid">
        <fgColor rgb="FFCFE2F3"/>
        <bgColor indexed="64"/>
      </patternFill>
    </fill>
    <fill>
      <patternFill patternType="solid">
        <fgColor rgb="FFFCE5CD"/>
        <bgColor indexed="64"/>
      </patternFill>
    </fill>
    <fill>
      <patternFill patternType="solid">
        <fgColor rgb="FF1F4E79"/>
        <bgColor indexed="64"/>
      </patternFill>
    </fill>
    <fill>
      <patternFill patternType="solid">
        <fgColor theme="4" tint="-0.249977111117893"/>
        <bgColor indexed="64"/>
      </patternFill>
    </fill>
  </fills>
  <borders count="3">
    <border>
      <left/>
      <right/>
      <top/>
      <bottom/>
      <diagonal/>
    </border>
    <border>
      <left/>
      <right/>
      <top style="double">
        <color theme="4"/>
      </top>
      <bottom style="thin">
        <color theme="4" tint="0.39997558519241921"/>
      </bottom>
      <diagonal/>
    </border>
    <border>
      <left/>
      <right/>
      <top style="double">
        <color theme="6"/>
      </top>
      <bottom style="thin">
        <color theme="6" tint="0.39997558519241921"/>
      </bottom>
      <diagonal/>
    </border>
  </borders>
  <cellStyleXfs count="3">
    <xf numFmtId="0" fontId="0" fillId="0" borderId="0"/>
    <xf numFmtId="0" fontId="1" fillId="0" borderId="0"/>
    <xf numFmtId="0" fontId="11" fillId="0" borderId="0"/>
  </cellStyleXfs>
  <cellXfs count="54">
    <xf numFmtId="0" fontId="0" fillId="0" borderId="0" xfId="0"/>
    <xf numFmtId="14" fontId="0" fillId="0" borderId="0" xfId="0" applyNumberFormat="1"/>
    <xf numFmtId="0" fontId="2" fillId="0" borderId="0" xfId="1" applyFont="1"/>
    <xf numFmtId="164" fontId="2" fillId="0" borderId="0" xfId="1" applyNumberFormat="1" applyFont="1"/>
    <xf numFmtId="0" fontId="3" fillId="0" borderId="0" xfId="1" applyFont="1"/>
    <xf numFmtId="164" fontId="3" fillId="0" borderId="0" xfId="1" applyNumberFormat="1" applyFont="1"/>
    <xf numFmtId="0" fontId="3" fillId="0" borderId="0" xfId="0" applyFont="1"/>
    <xf numFmtId="164" fontId="3" fillId="0" borderId="0" xfId="0" applyNumberFormat="1" applyFont="1"/>
    <xf numFmtId="0" fontId="4" fillId="2" borderId="0" xfId="0" applyFont="1" applyFill="1" applyAlignment="1">
      <alignment horizontal="center" vertical="center"/>
    </xf>
    <xf numFmtId="0" fontId="5" fillId="3"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7" fillId="2" borderId="0" xfId="0" applyFont="1" applyFill="1" applyAlignment="1">
      <alignment horizontal="left"/>
    </xf>
    <xf numFmtId="0" fontId="6" fillId="12" borderId="0" xfId="0" applyFont="1" applyFill="1" applyAlignment="1">
      <alignment horizontal="center"/>
    </xf>
    <xf numFmtId="0" fontId="5" fillId="13" borderId="0" xfId="0" applyFont="1" applyFill="1" applyAlignment="1">
      <alignment horizontal="center"/>
    </xf>
    <xf numFmtId="0" fontId="8" fillId="0" borderId="0" xfId="0" applyFont="1" applyAlignment="1">
      <alignment vertical="center"/>
    </xf>
    <xf numFmtId="0" fontId="9" fillId="2" borderId="0" xfId="0" applyFont="1" applyFill="1" applyAlignment="1">
      <alignment horizontal="center" vertical="center"/>
    </xf>
    <xf numFmtId="0" fontId="3" fillId="0" borderId="0" xfId="2" applyFont="1" applyAlignment="1">
      <alignment horizontal="left" vertical="center"/>
    </xf>
    <xf numFmtId="164" fontId="3" fillId="0" borderId="0" xfId="2" applyNumberFormat="1" applyFont="1" applyAlignment="1">
      <alignment horizontal="left" vertical="center"/>
    </xf>
    <xf numFmtId="0" fontId="10" fillId="14" borderId="0" xfId="0" applyFont="1" applyFill="1" applyAlignment="1">
      <alignment horizontal="center"/>
    </xf>
    <xf numFmtId="0" fontId="10" fillId="15" borderId="0" xfId="0" applyFont="1" applyFill="1" applyAlignment="1">
      <alignment horizontal="center"/>
    </xf>
    <xf numFmtId="0" fontId="10" fillId="16" borderId="0" xfId="0" applyFont="1" applyFill="1" applyAlignment="1">
      <alignment horizontal="center"/>
    </xf>
    <xf numFmtId="0" fontId="10" fillId="17" borderId="0" xfId="0" applyFont="1" applyFill="1" applyAlignment="1">
      <alignment horizontal="center"/>
    </xf>
    <xf numFmtId="14" fontId="4" fillId="2" borderId="0" xfId="0" applyNumberFormat="1" applyFont="1" applyFill="1" applyAlignment="1">
      <alignment horizontal="center" vertical="center"/>
    </xf>
    <xf numFmtId="14" fontId="5" fillId="3" borderId="0" xfId="0" applyNumberFormat="1" applyFont="1" applyFill="1" applyAlignment="1">
      <alignment horizontal="center"/>
    </xf>
    <xf numFmtId="14" fontId="5" fillId="4" borderId="0" xfId="0" applyNumberFormat="1" applyFont="1" applyFill="1" applyAlignment="1">
      <alignment horizontal="center"/>
    </xf>
    <xf numFmtId="14" fontId="10" fillId="14"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2" fillId="0" borderId="0" xfId="0" applyFont="1"/>
    <xf numFmtId="0" fontId="9" fillId="18" borderId="0" xfId="0" applyFont="1" applyFill="1" applyAlignment="1">
      <alignment horizontal="center" vertical="center"/>
    </xf>
    <xf numFmtId="165" fontId="9" fillId="18" borderId="0" xfId="0" applyNumberFormat="1" applyFont="1" applyFill="1" applyAlignment="1">
      <alignment horizontal="center" vertical="center"/>
    </xf>
    <xf numFmtId="165" fontId="0" fillId="0" borderId="0" xfId="0" applyNumberFormat="1"/>
    <xf numFmtId="0" fontId="0" fillId="19" borderId="0" xfId="0" applyFill="1"/>
    <xf numFmtId="0" fontId="15" fillId="19" borderId="0" xfId="0" applyFont="1" applyFill="1"/>
    <xf numFmtId="0" fontId="16" fillId="19" borderId="0" xfId="0" applyFont="1" applyFill="1"/>
    <xf numFmtId="0" fontId="13" fillId="19" borderId="0" xfId="0" applyFont="1" applyFill="1"/>
    <xf numFmtId="0" fontId="17" fillId="19" borderId="0" xfId="0" applyFont="1" applyFill="1"/>
    <xf numFmtId="0" fontId="12" fillId="19" borderId="0" xfId="0" applyFont="1" applyFill="1"/>
    <xf numFmtId="0" fontId="19" fillId="0" borderId="0" xfId="1" applyFont="1"/>
    <xf numFmtId="0" fontId="0" fillId="0" borderId="0" xfId="0" applyAlignment="1">
      <alignment horizontal="center"/>
    </xf>
    <xf numFmtId="49" fontId="0" fillId="0" borderId="0" xfId="0" applyNumberFormat="1" applyAlignment="1">
      <alignment horizontal="center"/>
    </xf>
    <xf numFmtId="49" fontId="20" fillId="14" borderId="2" xfId="0" applyNumberFormat="1" applyFont="1" applyFill="1" applyBorder="1" applyAlignment="1">
      <alignment horizontal="center"/>
    </xf>
    <xf numFmtId="49" fontId="18" fillId="0" borderId="1" xfId="0" applyNumberFormat="1" applyFont="1" applyBorder="1" applyAlignment="1">
      <alignment horizontal="center"/>
    </xf>
    <xf numFmtId="49" fontId="3" fillId="0" borderId="0" xfId="0" applyNumberFormat="1" applyFont="1" applyAlignment="1">
      <alignment horizontal="center"/>
    </xf>
    <xf numFmtId="49" fontId="0" fillId="0" borderId="0" xfId="0" applyNumberFormat="1"/>
    <xf numFmtId="0" fontId="0" fillId="0" borderId="0" xfId="0" applyNumberFormat="1"/>
  </cellXfs>
  <cellStyles count="3">
    <cellStyle name="Normal" xfId="0" builtinId="0"/>
    <cellStyle name="Normal 2" xfId="1" xr:uid="{00000000-0005-0000-0000-000001000000}"/>
    <cellStyle name="Normal 3" xfId="2" xr:uid="{A85E26CC-50D8-4F5F-9611-00FBB83A2279}"/>
  </cellStyles>
  <dxfs count="139">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2CC"/>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165" formatCode="0.00;[Red]0.00"/>
    </dxf>
    <dxf>
      <numFmt numFmtId="165" formatCode="0.00;[Red]0.00"/>
    </dxf>
    <dxf>
      <numFmt numFmtId="165" formatCode="0.00;[Red]0.00"/>
    </dxf>
    <dxf>
      <numFmt numFmtId="165" formatCode="0.00;[Red]0.00"/>
    </dxf>
    <dxf>
      <numFmt numFmtId="0" formatCode="General"/>
    </dxf>
    <dxf>
      <font>
        <b val="0"/>
        <i val="0"/>
        <strike val="0"/>
        <condense val="0"/>
        <extend val="0"/>
        <outline val="0"/>
        <shadow val="0"/>
        <u val="none"/>
        <vertAlign val="baseline"/>
        <sz val="10"/>
        <color auto="1"/>
        <name val="Arial"/>
        <family val="2"/>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CE5CD"/>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CE5CD"/>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CFE2F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CFE2F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9EAD3"/>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9" formatCode="dd/mm/yyyy"/>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numFmt numFmtId="0" formatCode="General"/>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numFmt numFmtId="0" formatCode="General"/>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numFmt numFmtId="0" formatCode="General"/>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b val="0"/>
        <i val="0"/>
        <strike val="0"/>
        <condense val="0"/>
        <extend val="0"/>
        <outline val="0"/>
        <shadow val="0"/>
        <u val="none"/>
        <vertAlign val="baseline"/>
        <sz val="10"/>
        <color theme="1"/>
        <name val="Calibri"/>
        <family val="2"/>
        <scheme val="minor"/>
      </font>
      <numFmt numFmtId="164" formatCode="dd\-mm\-yyyy"/>
    </dxf>
    <dxf>
      <font>
        <strike val="0"/>
        <condense val="0"/>
        <extend val="0"/>
        <outline val="0"/>
        <shadow val="0"/>
        <vertAlign val="baseline"/>
        <sz val="10"/>
        <color theme="1"/>
        <name val="Calibri"/>
        <scheme val="minor"/>
      </font>
      <numFmt numFmtId="164" formatCode="dd\-mm\-yyyy"/>
    </dxf>
    <dxf>
      <font>
        <b val="0"/>
        <i val="0"/>
        <strike val="0"/>
        <condense val="0"/>
        <extend val="0"/>
        <outline val="0"/>
        <shadow val="0"/>
        <u val="none"/>
        <vertAlign val="baseline"/>
        <sz val="10"/>
        <color theme="1"/>
        <name val="Calibri"/>
        <family val="2"/>
        <scheme val="minor"/>
      </font>
    </dxf>
    <dxf>
      <font>
        <strike val="0"/>
        <condense val="0"/>
        <extend val="0"/>
        <outline val="0"/>
        <shadow val="0"/>
        <vertAlign val="baseline"/>
        <sz val="10"/>
        <color theme="1"/>
        <name val="Calibri"/>
        <scheme val="minor"/>
      </font>
    </dxf>
    <dxf>
      <font>
        <strike val="0"/>
        <condense val="0"/>
        <extend val="0"/>
        <outline val="0"/>
        <shadow val="0"/>
        <vertAlign val="baseline"/>
        <sz val="10"/>
        <color theme="1"/>
        <name val="Calibri"/>
        <scheme val="minor"/>
      </font>
    </dxf>
    <dxf>
      <font>
        <strike val="0"/>
        <condense val="0"/>
        <extend val="0"/>
        <outline val="0"/>
        <shadow val="0"/>
        <u val="none"/>
        <vertAlign val="baseline"/>
        <sz val="10"/>
        <color theme="0"/>
        <name val="Calibri"/>
        <scheme val="minor"/>
      </font>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4" formatCode="dd\-mm\-yyyy"/>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2.xml"/><Relationship Id="rId39" Type="http://schemas.openxmlformats.org/officeDocument/2006/relationships/theme" Target="theme/theme1.xml"/><Relationship Id="rId21" Type="http://schemas.openxmlformats.org/officeDocument/2006/relationships/pivotCacheDefinition" Target="pivotCache/pivotCacheDefinition4.xml"/><Relationship Id="rId34" Type="http://schemas.microsoft.com/office/2007/relationships/slicerCache" Target="slicerCaches/slicerCache10.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5.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8.xml"/><Relationship Id="rId37" Type="http://schemas.microsoft.com/office/2007/relationships/slicerCache" Target="slicerCaches/slicerCache13.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4.xml"/><Relationship Id="rId36" Type="http://schemas.microsoft.com/office/2007/relationships/slicerCache" Target="slicerCaches/slicerCache1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3.xml"/><Relationship Id="rId30" Type="http://schemas.microsoft.com/office/2007/relationships/slicerCache" Target="slicerCaches/slicerCache6.xml"/><Relationship Id="rId35" Type="http://schemas.microsoft.com/office/2007/relationships/slicerCache" Target="slicerCaches/slicerCache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07/relationships/slicerCache" Target="slicerCaches/slicerCache1.xml"/><Relationship Id="rId33" Type="http://schemas.microsoft.com/office/2007/relationships/slicerCache" Target="slicerCaches/slicerCache9.xml"/><Relationship Id="rId38" Type="http://schemas.microsoft.com/office/2007/relationships/slicerCache" Target="slicerCaches/slicerCache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Complete.xlsx]Sheet14!PivotTable6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Sheet14!$B$3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5C-40A2-A054-5B7A48409C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5C-40A2-A054-5B7A48409C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5C-40A2-A054-5B7A48409C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Sheet14!$A$4:$A$7</c:f>
              <c:strCache>
                <c:ptCount val="3"/>
                <c:pt idx="0">
                  <c:v> Registered Users</c:v>
                </c:pt>
                <c:pt idx="1">
                  <c:v>Casual Users</c:v>
                </c:pt>
                <c:pt idx="2">
                  <c:v>Count</c:v>
                </c:pt>
              </c:strCache>
            </c:strRef>
          </c:cat>
          <c:val>
            <c:numRef>
              <c:f>Sheet14!$B$4:$B$7</c:f>
              <c:numCache>
                <c:formatCode>@</c:formatCode>
                <c:ptCount val="3"/>
                <c:pt idx="0">
                  <c:v>53383</c:v>
                </c:pt>
                <c:pt idx="1">
                  <c:v>4921</c:v>
                </c:pt>
                <c:pt idx="2">
                  <c:v>58304</c:v>
                </c:pt>
              </c:numCache>
            </c:numRef>
          </c:val>
          <c:extLst>
            <c:ext xmlns:c16="http://schemas.microsoft.com/office/drawing/2014/chart" uri="{C3380CC4-5D6E-409C-BE32-E72D297353CC}">
              <c16:uniqueId val="{00000000-F454-4AB3-AB30-7C6BCED47A09}"/>
            </c:ext>
          </c:extLst>
        </c:ser>
        <c:ser>
          <c:idx val="1"/>
          <c:order val="1"/>
          <c:tx>
            <c:strRef>
              <c:f>Sheet14!$C$3</c:f>
              <c:strCache>
                <c:ptCount val="1"/>
                <c:pt idx="0">
                  <c:v>Sum of Average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5C-40A2-A054-5B7A48409C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35C-40A2-A054-5B7A48409C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35C-40A2-A054-5B7A48409C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Sheet14!$A$4:$A$7</c:f>
              <c:strCache>
                <c:ptCount val="3"/>
                <c:pt idx="0">
                  <c:v> Registered Users</c:v>
                </c:pt>
                <c:pt idx="1">
                  <c:v>Casual Users</c:v>
                </c:pt>
                <c:pt idx="2">
                  <c:v>Count</c:v>
                </c:pt>
              </c:strCache>
            </c:strRef>
          </c:cat>
          <c:val>
            <c:numRef>
              <c:f>Sheet14!$C$4:$C$7</c:f>
              <c:numCache>
                <c:formatCode>@</c:formatCode>
                <c:ptCount val="3"/>
                <c:pt idx="0">
                  <c:v>53.383000000000003</c:v>
                </c:pt>
                <c:pt idx="1">
                  <c:v>4.9210000000000003</c:v>
                </c:pt>
                <c:pt idx="2">
                  <c:v>58.304000000000002</c:v>
                </c:pt>
              </c:numCache>
            </c:numRef>
          </c:val>
          <c:extLst>
            <c:ext xmlns:c16="http://schemas.microsoft.com/office/drawing/2014/chart" uri="{C3380CC4-5D6E-409C-BE32-E72D297353CC}">
              <c16:uniqueId val="{00000001-F454-4AB3-AB30-7C6BCED47A0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Complete.xlsx]Sheet6!PivotTable8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 Rentals</c:v>
                </c:pt>
              </c:strCache>
            </c:strRef>
          </c:tx>
          <c:spPr>
            <a:solidFill>
              <a:schemeClr val="accent1"/>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Sheet6!$B$4:$B$11</c:f>
              <c:numCache>
                <c:formatCode>General</c:formatCode>
                <c:ptCount val="7"/>
                <c:pt idx="0">
                  <c:v>10480</c:v>
                </c:pt>
                <c:pt idx="1">
                  <c:v>15113</c:v>
                </c:pt>
                <c:pt idx="2">
                  <c:v>1677</c:v>
                </c:pt>
                <c:pt idx="3">
                  <c:v>6659</c:v>
                </c:pt>
                <c:pt idx="4">
                  <c:v>4747</c:v>
                </c:pt>
                <c:pt idx="5">
                  <c:v>12385</c:v>
                </c:pt>
                <c:pt idx="6">
                  <c:v>7243</c:v>
                </c:pt>
              </c:numCache>
            </c:numRef>
          </c:val>
          <c:extLst>
            <c:ext xmlns:c16="http://schemas.microsoft.com/office/drawing/2014/chart" uri="{C3380CC4-5D6E-409C-BE32-E72D297353CC}">
              <c16:uniqueId val="{00000000-281D-4E4E-AB88-990141F31B9C}"/>
            </c:ext>
          </c:extLst>
        </c:ser>
        <c:ser>
          <c:idx val="1"/>
          <c:order val="1"/>
          <c:tx>
            <c:strRef>
              <c:f>Sheet6!$C$3</c:f>
              <c:strCache>
                <c:ptCount val="1"/>
                <c:pt idx="0">
                  <c:v>Sum of Avg Rentals/Hr</c:v>
                </c:pt>
              </c:strCache>
            </c:strRef>
          </c:tx>
          <c:spPr>
            <a:solidFill>
              <a:schemeClr val="accent2"/>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Sheet6!$C$4:$C$11</c:f>
              <c:numCache>
                <c:formatCode>General</c:formatCode>
                <c:ptCount val="7"/>
                <c:pt idx="0">
                  <c:v>80.62</c:v>
                </c:pt>
                <c:pt idx="1">
                  <c:v>116.25</c:v>
                </c:pt>
                <c:pt idx="2">
                  <c:v>8.83</c:v>
                </c:pt>
                <c:pt idx="3">
                  <c:v>77.430000000000007</c:v>
                </c:pt>
                <c:pt idx="4">
                  <c:v>56.51</c:v>
                </c:pt>
                <c:pt idx="5">
                  <c:v>59.54</c:v>
                </c:pt>
                <c:pt idx="6">
                  <c:v>42.11</c:v>
                </c:pt>
              </c:numCache>
            </c:numRef>
          </c:val>
          <c:extLst>
            <c:ext xmlns:c16="http://schemas.microsoft.com/office/drawing/2014/chart" uri="{C3380CC4-5D6E-409C-BE32-E72D297353CC}">
              <c16:uniqueId val="{00000001-281D-4E4E-AB88-990141F31B9C}"/>
            </c:ext>
          </c:extLst>
        </c:ser>
        <c:ser>
          <c:idx val="2"/>
          <c:order val="2"/>
          <c:tx>
            <c:strRef>
              <c:f>Sheet6!$D$3</c:f>
              <c:strCache>
                <c:ptCount val="1"/>
                <c:pt idx="0">
                  <c:v>Sum of Max Rentals</c:v>
                </c:pt>
              </c:strCache>
            </c:strRef>
          </c:tx>
          <c:spPr>
            <a:solidFill>
              <a:schemeClr val="accent3"/>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Sheet6!$D$4:$D$11</c:f>
              <c:numCache>
                <c:formatCode>General</c:formatCode>
                <c:ptCount val="7"/>
                <c:pt idx="0">
                  <c:v>182</c:v>
                </c:pt>
                <c:pt idx="1">
                  <c:v>225</c:v>
                </c:pt>
                <c:pt idx="2">
                  <c:v>44</c:v>
                </c:pt>
                <c:pt idx="3">
                  <c:v>182</c:v>
                </c:pt>
                <c:pt idx="4">
                  <c:v>117</c:v>
                </c:pt>
                <c:pt idx="5">
                  <c:v>249</c:v>
                </c:pt>
                <c:pt idx="6">
                  <c:v>126</c:v>
                </c:pt>
              </c:numCache>
            </c:numRef>
          </c:val>
          <c:extLst>
            <c:ext xmlns:c16="http://schemas.microsoft.com/office/drawing/2014/chart" uri="{C3380CC4-5D6E-409C-BE32-E72D297353CC}">
              <c16:uniqueId val="{00000002-281D-4E4E-AB88-990141F31B9C}"/>
            </c:ext>
          </c:extLst>
        </c:ser>
        <c:ser>
          <c:idx val="3"/>
          <c:order val="3"/>
          <c:tx>
            <c:strRef>
              <c:f>Sheet6!$E$3</c:f>
              <c:strCache>
                <c:ptCount val="1"/>
                <c:pt idx="0">
                  <c:v>Sum of Min Rentals</c:v>
                </c:pt>
              </c:strCache>
            </c:strRef>
          </c:tx>
          <c:spPr>
            <a:solidFill>
              <a:schemeClr val="accent4"/>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Sheet6!$E$4:$E$11</c:f>
              <c:numCache>
                <c:formatCode>General</c:formatCode>
                <c:ptCount val="7"/>
                <c:pt idx="0">
                  <c:v>24</c:v>
                </c:pt>
                <c:pt idx="1">
                  <c:v>21</c:v>
                </c:pt>
                <c:pt idx="2">
                  <c:v>1</c:v>
                </c:pt>
                <c:pt idx="3">
                  <c:v>3</c:v>
                </c:pt>
                <c:pt idx="4">
                  <c:v>28</c:v>
                </c:pt>
                <c:pt idx="5">
                  <c:v>1</c:v>
                </c:pt>
                <c:pt idx="6">
                  <c:v>4</c:v>
                </c:pt>
              </c:numCache>
            </c:numRef>
          </c:val>
          <c:extLst>
            <c:ext xmlns:c16="http://schemas.microsoft.com/office/drawing/2014/chart" uri="{C3380CC4-5D6E-409C-BE32-E72D297353CC}">
              <c16:uniqueId val="{00000003-281D-4E4E-AB88-990141F31B9C}"/>
            </c:ext>
          </c:extLst>
        </c:ser>
        <c:ser>
          <c:idx val="4"/>
          <c:order val="4"/>
          <c:tx>
            <c:strRef>
              <c:f>Sheet6!$F$3</c:f>
              <c:strCache>
                <c:ptCount val="1"/>
                <c:pt idx="0">
                  <c:v>Sum of Record Count</c:v>
                </c:pt>
              </c:strCache>
            </c:strRef>
          </c:tx>
          <c:spPr>
            <a:solidFill>
              <a:schemeClr val="accent5"/>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Sheet6!$F$4:$F$11</c:f>
              <c:numCache>
                <c:formatCode>General</c:formatCode>
                <c:ptCount val="7"/>
                <c:pt idx="0">
                  <c:v>130</c:v>
                </c:pt>
                <c:pt idx="1">
                  <c:v>130</c:v>
                </c:pt>
                <c:pt idx="2">
                  <c:v>190</c:v>
                </c:pt>
                <c:pt idx="3">
                  <c:v>86</c:v>
                </c:pt>
                <c:pt idx="4">
                  <c:v>84</c:v>
                </c:pt>
                <c:pt idx="5">
                  <c:v>208</c:v>
                </c:pt>
                <c:pt idx="6">
                  <c:v>172</c:v>
                </c:pt>
              </c:numCache>
            </c:numRef>
          </c:val>
          <c:extLst>
            <c:ext xmlns:c16="http://schemas.microsoft.com/office/drawing/2014/chart" uri="{C3380CC4-5D6E-409C-BE32-E72D297353CC}">
              <c16:uniqueId val="{00000004-281D-4E4E-AB88-990141F31B9C}"/>
            </c:ext>
          </c:extLst>
        </c:ser>
        <c:dLbls>
          <c:showLegendKey val="0"/>
          <c:showVal val="0"/>
          <c:showCatName val="0"/>
          <c:showSerName val="0"/>
          <c:showPercent val="0"/>
          <c:showBubbleSize val="0"/>
        </c:dLbls>
        <c:gapWidth val="219"/>
        <c:overlap val="-27"/>
        <c:axId val="1346368304"/>
        <c:axId val="1346366384"/>
      </c:barChart>
      <c:catAx>
        <c:axId val="134636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66384"/>
        <c:crosses val="autoZero"/>
        <c:auto val="1"/>
        <c:lblAlgn val="ctr"/>
        <c:lblOffset val="100"/>
        <c:noMultiLvlLbl val="0"/>
      </c:catAx>
      <c:valAx>
        <c:axId val="134636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Complete.xlsx]Sheet8!PivotTable10</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Sheet8!$B$3</c:f>
              <c:strCache>
                <c:ptCount val="1"/>
                <c:pt idx="0">
                  <c:v>Sum of Total Rentals</c:v>
                </c:pt>
              </c:strCache>
            </c:strRef>
          </c:tx>
          <c:spPr>
            <a:solidFill>
              <a:schemeClr val="accent1"/>
            </a:solidFill>
            <a:ln>
              <a:noFill/>
            </a:ln>
            <a:effectLst/>
            <a:sp3d/>
          </c:spPr>
          <c:invertIfNegative val="0"/>
          <c:cat>
            <c:strRef>
              <c:f>Sheet8!$A$4:$A$5</c:f>
              <c:strCache>
                <c:ptCount val="1"/>
                <c:pt idx="0">
                  <c:v>Light Rain/Snow</c:v>
                </c:pt>
              </c:strCache>
            </c:strRef>
          </c:cat>
          <c:val>
            <c:numRef>
              <c:f>Sheet8!$B$4:$B$5</c:f>
              <c:numCache>
                <c:formatCode>General</c:formatCode>
                <c:ptCount val="1"/>
                <c:pt idx="0">
                  <c:v>2789</c:v>
                </c:pt>
              </c:numCache>
            </c:numRef>
          </c:val>
          <c:extLst>
            <c:ext xmlns:c16="http://schemas.microsoft.com/office/drawing/2014/chart" uri="{C3380CC4-5D6E-409C-BE32-E72D297353CC}">
              <c16:uniqueId val="{00000000-1C26-43AC-9A2F-5ED0FBEE3561}"/>
            </c:ext>
          </c:extLst>
        </c:ser>
        <c:ser>
          <c:idx val="1"/>
          <c:order val="1"/>
          <c:tx>
            <c:strRef>
              <c:f>Sheet8!$C$3</c:f>
              <c:strCache>
                <c:ptCount val="1"/>
                <c:pt idx="0">
                  <c:v>Sum of Avg Rentals/Hr</c:v>
                </c:pt>
              </c:strCache>
            </c:strRef>
          </c:tx>
          <c:spPr>
            <a:solidFill>
              <a:schemeClr val="accent2"/>
            </a:solidFill>
            <a:ln>
              <a:noFill/>
            </a:ln>
            <a:effectLst/>
            <a:sp3d/>
          </c:spPr>
          <c:invertIfNegative val="0"/>
          <c:cat>
            <c:strRef>
              <c:f>Sheet8!$A$4:$A$5</c:f>
              <c:strCache>
                <c:ptCount val="1"/>
                <c:pt idx="0">
                  <c:v>Light Rain/Snow</c:v>
                </c:pt>
              </c:strCache>
            </c:strRef>
          </c:cat>
          <c:val>
            <c:numRef>
              <c:f>Sheet8!$C$4:$C$5</c:f>
              <c:numCache>
                <c:formatCode>General</c:formatCode>
                <c:ptCount val="1"/>
                <c:pt idx="0">
                  <c:v>33.200000000000003</c:v>
                </c:pt>
              </c:numCache>
            </c:numRef>
          </c:val>
          <c:extLst>
            <c:ext xmlns:c16="http://schemas.microsoft.com/office/drawing/2014/chart" uri="{C3380CC4-5D6E-409C-BE32-E72D297353CC}">
              <c16:uniqueId val="{00000001-1C26-43AC-9A2F-5ED0FBEE3561}"/>
            </c:ext>
          </c:extLst>
        </c:ser>
        <c:ser>
          <c:idx val="2"/>
          <c:order val="2"/>
          <c:tx>
            <c:strRef>
              <c:f>Sheet8!$D$3</c:f>
              <c:strCache>
                <c:ptCount val="1"/>
                <c:pt idx="0">
                  <c:v>Sum of Avg Casual</c:v>
                </c:pt>
              </c:strCache>
            </c:strRef>
          </c:tx>
          <c:spPr>
            <a:solidFill>
              <a:schemeClr val="accent3"/>
            </a:solidFill>
            <a:ln>
              <a:noFill/>
            </a:ln>
            <a:effectLst/>
            <a:sp3d/>
          </c:spPr>
          <c:invertIfNegative val="0"/>
          <c:cat>
            <c:strRef>
              <c:f>Sheet8!$A$4:$A$5</c:f>
              <c:strCache>
                <c:ptCount val="1"/>
                <c:pt idx="0">
                  <c:v>Light Rain/Snow</c:v>
                </c:pt>
              </c:strCache>
            </c:strRef>
          </c:cat>
          <c:val>
            <c:numRef>
              <c:f>Sheet8!$D$4:$D$5</c:f>
              <c:numCache>
                <c:formatCode>General</c:formatCode>
                <c:ptCount val="1"/>
                <c:pt idx="0">
                  <c:v>2.04</c:v>
                </c:pt>
              </c:numCache>
            </c:numRef>
          </c:val>
          <c:extLst>
            <c:ext xmlns:c16="http://schemas.microsoft.com/office/drawing/2014/chart" uri="{C3380CC4-5D6E-409C-BE32-E72D297353CC}">
              <c16:uniqueId val="{00000002-1C26-43AC-9A2F-5ED0FBEE3561}"/>
            </c:ext>
          </c:extLst>
        </c:ser>
        <c:ser>
          <c:idx val="3"/>
          <c:order val="3"/>
          <c:tx>
            <c:strRef>
              <c:f>Sheet8!$E$3</c:f>
              <c:strCache>
                <c:ptCount val="1"/>
                <c:pt idx="0">
                  <c:v>Sum of Avg Registered</c:v>
                </c:pt>
              </c:strCache>
            </c:strRef>
          </c:tx>
          <c:spPr>
            <a:solidFill>
              <a:schemeClr val="accent4"/>
            </a:solidFill>
            <a:ln>
              <a:noFill/>
            </a:ln>
            <a:effectLst/>
            <a:sp3d/>
          </c:spPr>
          <c:invertIfNegative val="0"/>
          <c:cat>
            <c:strRef>
              <c:f>Sheet8!$A$4:$A$5</c:f>
              <c:strCache>
                <c:ptCount val="1"/>
                <c:pt idx="0">
                  <c:v>Light Rain/Snow</c:v>
                </c:pt>
              </c:strCache>
            </c:strRef>
          </c:cat>
          <c:val>
            <c:numRef>
              <c:f>Sheet8!$E$4:$E$5</c:f>
              <c:numCache>
                <c:formatCode>General</c:formatCode>
                <c:ptCount val="1"/>
                <c:pt idx="0">
                  <c:v>31.17</c:v>
                </c:pt>
              </c:numCache>
            </c:numRef>
          </c:val>
          <c:extLst>
            <c:ext xmlns:c16="http://schemas.microsoft.com/office/drawing/2014/chart" uri="{C3380CC4-5D6E-409C-BE32-E72D297353CC}">
              <c16:uniqueId val="{00000003-1C26-43AC-9A2F-5ED0FBEE3561}"/>
            </c:ext>
          </c:extLst>
        </c:ser>
        <c:ser>
          <c:idx val="4"/>
          <c:order val="4"/>
          <c:tx>
            <c:strRef>
              <c:f>Sheet8!$F$3</c:f>
              <c:strCache>
                <c:ptCount val="1"/>
                <c:pt idx="0">
                  <c:v>Sum of Record Count</c:v>
                </c:pt>
              </c:strCache>
            </c:strRef>
          </c:tx>
          <c:spPr>
            <a:solidFill>
              <a:schemeClr val="accent5"/>
            </a:solidFill>
            <a:ln>
              <a:noFill/>
            </a:ln>
            <a:effectLst/>
            <a:sp3d/>
          </c:spPr>
          <c:invertIfNegative val="0"/>
          <c:cat>
            <c:strRef>
              <c:f>Sheet8!$A$4:$A$5</c:f>
              <c:strCache>
                <c:ptCount val="1"/>
                <c:pt idx="0">
                  <c:v>Light Rain/Snow</c:v>
                </c:pt>
              </c:strCache>
            </c:strRef>
          </c:cat>
          <c:val>
            <c:numRef>
              <c:f>Sheet8!$F$4:$F$5</c:f>
              <c:numCache>
                <c:formatCode>General</c:formatCode>
                <c:ptCount val="1"/>
                <c:pt idx="0">
                  <c:v>84</c:v>
                </c:pt>
              </c:numCache>
            </c:numRef>
          </c:val>
          <c:extLst>
            <c:ext xmlns:c16="http://schemas.microsoft.com/office/drawing/2014/chart" uri="{C3380CC4-5D6E-409C-BE32-E72D297353CC}">
              <c16:uniqueId val="{00000004-1C26-43AC-9A2F-5ED0FBEE3561}"/>
            </c:ext>
          </c:extLst>
        </c:ser>
        <c:dLbls>
          <c:showLegendKey val="0"/>
          <c:showVal val="0"/>
          <c:showCatName val="0"/>
          <c:showSerName val="0"/>
          <c:showPercent val="0"/>
          <c:showBubbleSize val="0"/>
        </c:dLbls>
        <c:gapWidth val="150"/>
        <c:shape val="box"/>
        <c:axId val="1118160304"/>
        <c:axId val="1118145904"/>
        <c:axId val="0"/>
      </c:bar3DChart>
      <c:catAx>
        <c:axId val="111816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45904"/>
        <c:crosses val="autoZero"/>
        <c:auto val="1"/>
        <c:lblAlgn val="ctr"/>
        <c:lblOffset val="100"/>
        <c:noMultiLvlLbl val="0"/>
      </c:catAx>
      <c:valAx>
        <c:axId val="1118145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6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Complete.xlsx]Sheet9!PivotTable11</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Sheet9!$B$3</c:f>
              <c:strCache>
                <c:ptCount val="1"/>
                <c:pt idx="0">
                  <c:v>Sum of Total Rentals</c:v>
                </c:pt>
              </c:strCache>
            </c:strRef>
          </c:tx>
          <c:spPr>
            <a:solidFill>
              <a:schemeClr val="accent1"/>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Sheet9!$B$4:$B$7</c:f>
              <c:numCache>
                <c:formatCode>General</c:formatCode>
                <c:ptCount val="2"/>
                <c:pt idx="0">
                  <c:v>1000</c:v>
                </c:pt>
                <c:pt idx="1">
                  <c:v>41435</c:v>
                </c:pt>
              </c:numCache>
            </c:numRef>
          </c:val>
          <c:extLst>
            <c:ext xmlns:c16="http://schemas.microsoft.com/office/drawing/2014/chart" uri="{C3380CC4-5D6E-409C-BE32-E72D297353CC}">
              <c16:uniqueId val="{00000000-09D8-4968-94A2-1AA713E4F141}"/>
            </c:ext>
          </c:extLst>
        </c:ser>
        <c:ser>
          <c:idx val="1"/>
          <c:order val="1"/>
          <c:tx>
            <c:strRef>
              <c:f>Sheet9!$C$3</c:f>
              <c:strCache>
                <c:ptCount val="1"/>
                <c:pt idx="0">
                  <c:v>Sum of Avg Rentals/Hr</c:v>
                </c:pt>
              </c:strCache>
            </c:strRef>
          </c:tx>
          <c:spPr>
            <a:solidFill>
              <a:schemeClr val="accent2"/>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Sheet9!$C$4:$C$7</c:f>
              <c:numCache>
                <c:formatCode>General</c:formatCode>
                <c:ptCount val="2"/>
                <c:pt idx="0">
                  <c:v>41.67</c:v>
                </c:pt>
                <c:pt idx="1">
                  <c:v>64.14</c:v>
                </c:pt>
              </c:numCache>
            </c:numRef>
          </c:val>
          <c:extLst>
            <c:ext xmlns:c16="http://schemas.microsoft.com/office/drawing/2014/chart" uri="{C3380CC4-5D6E-409C-BE32-E72D297353CC}">
              <c16:uniqueId val="{00000001-09D8-4968-94A2-1AA713E4F141}"/>
            </c:ext>
          </c:extLst>
        </c:ser>
        <c:ser>
          <c:idx val="2"/>
          <c:order val="2"/>
          <c:tx>
            <c:strRef>
              <c:f>Sheet9!$D$3</c:f>
              <c:strCache>
                <c:ptCount val="1"/>
                <c:pt idx="0">
                  <c:v>Sum of Avg Casual</c:v>
                </c:pt>
              </c:strCache>
            </c:strRef>
          </c:tx>
          <c:spPr>
            <a:solidFill>
              <a:schemeClr val="accent3"/>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Sheet9!$D$4:$D$7</c:f>
              <c:numCache>
                <c:formatCode>General</c:formatCode>
                <c:ptCount val="2"/>
                <c:pt idx="0">
                  <c:v>4.88</c:v>
                </c:pt>
                <c:pt idx="1">
                  <c:v>3.25</c:v>
                </c:pt>
              </c:numCache>
            </c:numRef>
          </c:val>
          <c:extLst>
            <c:ext xmlns:c16="http://schemas.microsoft.com/office/drawing/2014/chart" uri="{C3380CC4-5D6E-409C-BE32-E72D297353CC}">
              <c16:uniqueId val="{00000002-09D8-4968-94A2-1AA713E4F141}"/>
            </c:ext>
          </c:extLst>
        </c:ser>
        <c:ser>
          <c:idx val="3"/>
          <c:order val="3"/>
          <c:tx>
            <c:strRef>
              <c:f>Sheet9!$E$3</c:f>
              <c:strCache>
                <c:ptCount val="1"/>
                <c:pt idx="0">
                  <c:v>Sum of Record Count</c:v>
                </c:pt>
              </c:strCache>
            </c:strRef>
          </c:tx>
          <c:spPr>
            <a:solidFill>
              <a:schemeClr val="accent4"/>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Sheet9!$E$4:$E$7</c:f>
              <c:numCache>
                <c:formatCode>General</c:formatCode>
                <c:ptCount val="2"/>
                <c:pt idx="0">
                  <c:v>24</c:v>
                </c:pt>
                <c:pt idx="1">
                  <c:v>646</c:v>
                </c:pt>
              </c:numCache>
            </c:numRef>
          </c:val>
          <c:extLst>
            <c:ext xmlns:c16="http://schemas.microsoft.com/office/drawing/2014/chart" uri="{C3380CC4-5D6E-409C-BE32-E72D297353CC}">
              <c16:uniqueId val="{00000003-09D8-4968-94A2-1AA713E4F141}"/>
            </c:ext>
          </c:extLst>
        </c:ser>
        <c:ser>
          <c:idx val="4"/>
          <c:order val="4"/>
          <c:tx>
            <c:strRef>
              <c:f>Sheet9!$F$3</c:f>
              <c:strCache>
                <c:ptCount val="1"/>
                <c:pt idx="0">
                  <c:v>Sum of Avg Registered</c:v>
                </c:pt>
              </c:strCache>
            </c:strRef>
          </c:tx>
          <c:spPr>
            <a:solidFill>
              <a:schemeClr val="accent5"/>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Sheet9!$F$4:$F$7</c:f>
              <c:numCache>
                <c:formatCode>General</c:formatCode>
                <c:ptCount val="2"/>
                <c:pt idx="0">
                  <c:v>36.79</c:v>
                </c:pt>
                <c:pt idx="1">
                  <c:v>60.89</c:v>
                </c:pt>
              </c:numCache>
            </c:numRef>
          </c:val>
          <c:extLst>
            <c:ext xmlns:c16="http://schemas.microsoft.com/office/drawing/2014/chart" uri="{C3380CC4-5D6E-409C-BE32-E72D297353CC}">
              <c16:uniqueId val="{00000004-09D8-4968-94A2-1AA713E4F141}"/>
            </c:ext>
          </c:extLst>
        </c:ser>
        <c:dLbls>
          <c:showLegendKey val="0"/>
          <c:showVal val="0"/>
          <c:showCatName val="0"/>
          <c:showSerName val="0"/>
          <c:showPercent val="0"/>
          <c:showBubbleSize val="0"/>
        </c:dLbls>
        <c:gapWidth val="150"/>
        <c:shape val="box"/>
        <c:axId val="1039364704"/>
        <c:axId val="1178082976"/>
        <c:axId val="0"/>
      </c:bar3DChart>
      <c:catAx>
        <c:axId val="103936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082976"/>
        <c:crosses val="autoZero"/>
        <c:auto val="1"/>
        <c:lblAlgn val="ctr"/>
        <c:lblOffset val="100"/>
        <c:noMultiLvlLbl val="0"/>
      </c:catAx>
      <c:valAx>
        <c:axId val="1178082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Complete.xlsx]Sheet10!PivotTable12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Sheet10!$B$3</c:f>
              <c:strCache>
                <c:ptCount val="1"/>
                <c:pt idx="0">
                  <c:v>Sum of Total Rentals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88-4BAA-B25C-052E31872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88-4BAA-B25C-052E318720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Sheet10!$B$4:$B$6</c:f>
              <c:numCache>
                <c:formatCode>General</c:formatCode>
                <c:ptCount val="2"/>
                <c:pt idx="0">
                  <c:v>41369</c:v>
                </c:pt>
                <c:pt idx="1">
                  <c:v>16935</c:v>
                </c:pt>
              </c:numCache>
            </c:numRef>
          </c:val>
          <c:extLst>
            <c:ext xmlns:c16="http://schemas.microsoft.com/office/drawing/2014/chart" uri="{C3380CC4-5D6E-409C-BE32-E72D297353CC}">
              <c16:uniqueId val="{00000000-D01C-4673-B2DC-7CFF06A7D7DA}"/>
            </c:ext>
          </c:extLst>
        </c:ser>
        <c:ser>
          <c:idx val="1"/>
          <c:order val="1"/>
          <c:tx>
            <c:strRef>
              <c:f>Sheet10!$C$3</c:f>
              <c:strCache>
                <c:ptCount val="1"/>
                <c:pt idx="0">
                  <c:v>Sum of Avg Rentals/Hr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788-4BAA-B25C-052E31872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788-4BAA-B25C-052E318720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Sheet10!$C$4:$C$6</c:f>
              <c:numCache>
                <c:formatCode>General</c:formatCode>
                <c:ptCount val="2"/>
                <c:pt idx="0">
                  <c:v>53.11</c:v>
                </c:pt>
                <c:pt idx="1">
                  <c:v>76.63</c:v>
                </c:pt>
              </c:numCache>
            </c:numRef>
          </c:val>
          <c:extLst>
            <c:ext xmlns:c16="http://schemas.microsoft.com/office/drawing/2014/chart" uri="{C3380CC4-5D6E-409C-BE32-E72D297353CC}">
              <c16:uniqueId val="{00000001-D01C-4673-B2DC-7CFF06A7D7DA}"/>
            </c:ext>
          </c:extLst>
        </c:ser>
        <c:ser>
          <c:idx val="2"/>
          <c:order val="2"/>
          <c:tx>
            <c:strRef>
              <c:f>Sheet10!$D$3</c:f>
              <c:strCache>
                <c:ptCount val="1"/>
                <c:pt idx="0">
                  <c:v>Sum of Record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E788-4BAA-B25C-052E31872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E788-4BAA-B25C-052E318720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Sheet10!$D$4:$D$6</c:f>
              <c:numCache>
                <c:formatCode>General</c:formatCode>
                <c:ptCount val="2"/>
                <c:pt idx="0">
                  <c:v>779</c:v>
                </c:pt>
                <c:pt idx="1">
                  <c:v>221</c:v>
                </c:pt>
              </c:numCache>
            </c:numRef>
          </c:val>
          <c:extLst>
            <c:ext xmlns:c16="http://schemas.microsoft.com/office/drawing/2014/chart" uri="{C3380CC4-5D6E-409C-BE32-E72D297353CC}">
              <c16:uniqueId val="{00000002-D01C-4673-B2DC-7CFF06A7D7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Complete.xlsx]Sheet11!PivotTable13</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Sheet11!$B$3</c:f>
              <c:strCache>
                <c:ptCount val="1"/>
                <c:pt idx="0">
                  <c:v>Sum of Mon</c:v>
                </c:pt>
              </c:strCache>
            </c:strRef>
          </c:tx>
          <c:spPr>
            <a:solidFill>
              <a:schemeClr val="accent1"/>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Sheet11!$B$4:$B$28</c:f>
              <c:numCache>
                <c:formatCode>General</c:formatCode>
                <c:ptCount val="24"/>
                <c:pt idx="0">
                  <c:v>9.6</c:v>
                </c:pt>
                <c:pt idx="1">
                  <c:v>5.6</c:v>
                </c:pt>
                <c:pt idx="2">
                  <c:v>3.4</c:v>
                </c:pt>
                <c:pt idx="3">
                  <c:v>1.5</c:v>
                </c:pt>
                <c:pt idx="4">
                  <c:v>2</c:v>
                </c:pt>
                <c:pt idx="5">
                  <c:v>4.7</c:v>
                </c:pt>
                <c:pt idx="6">
                  <c:v>24.9</c:v>
                </c:pt>
                <c:pt idx="7">
                  <c:v>71.900000000000006</c:v>
                </c:pt>
                <c:pt idx="8">
                  <c:v>161.19999999999999</c:v>
                </c:pt>
                <c:pt idx="9">
                  <c:v>93.5</c:v>
                </c:pt>
                <c:pt idx="10">
                  <c:v>49.3</c:v>
                </c:pt>
                <c:pt idx="11">
                  <c:v>47.7</c:v>
                </c:pt>
                <c:pt idx="12">
                  <c:v>65</c:v>
                </c:pt>
                <c:pt idx="13">
                  <c:v>64.3</c:v>
                </c:pt>
                <c:pt idx="14">
                  <c:v>66.8</c:v>
                </c:pt>
                <c:pt idx="15">
                  <c:v>60.2</c:v>
                </c:pt>
                <c:pt idx="16">
                  <c:v>83.7</c:v>
                </c:pt>
                <c:pt idx="17">
                  <c:v>161.19999999999999</c:v>
                </c:pt>
                <c:pt idx="18">
                  <c:v>148</c:v>
                </c:pt>
                <c:pt idx="19">
                  <c:v>101.7</c:v>
                </c:pt>
                <c:pt idx="20">
                  <c:v>67.7</c:v>
                </c:pt>
                <c:pt idx="21">
                  <c:v>51.7</c:v>
                </c:pt>
                <c:pt idx="22">
                  <c:v>27.2</c:v>
                </c:pt>
                <c:pt idx="23">
                  <c:v>16.7</c:v>
                </c:pt>
              </c:numCache>
            </c:numRef>
          </c:val>
          <c:extLst>
            <c:ext xmlns:c16="http://schemas.microsoft.com/office/drawing/2014/chart" uri="{C3380CC4-5D6E-409C-BE32-E72D297353CC}">
              <c16:uniqueId val="{00000000-E43D-4B9E-8C74-E8D7CB306BC3}"/>
            </c:ext>
          </c:extLst>
        </c:ser>
        <c:ser>
          <c:idx val="1"/>
          <c:order val="1"/>
          <c:tx>
            <c:strRef>
              <c:f>Sheet11!$C$3</c:f>
              <c:strCache>
                <c:ptCount val="1"/>
                <c:pt idx="0">
                  <c:v>Sum of Tue</c:v>
                </c:pt>
              </c:strCache>
            </c:strRef>
          </c:tx>
          <c:spPr>
            <a:solidFill>
              <a:schemeClr val="accent2"/>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Sheet11!$C$4:$C$28</c:f>
              <c:numCache>
                <c:formatCode>General</c:formatCode>
                <c:ptCount val="24"/>
                <c:pt idx="0">
                  <c:v>8.8000000000000007</c:v>
                </c:pt>
                <c:pt idx="1">
                  <c:v>3.4</c:v>
                </c:pt>
                <c:pt idx="2">
                  <c:v>2</c:v>
                </c:pt>
                <c:pt idx="3">
                  <c:v>1.5</c:v>
                </c:pt>
                <c:pt idx="4">
                  <c:v>2</c:v>
                </c:pt>
                <c:pt idx="5">
                  <c:v>4.8</c:v>
                </c:pt>
                <c:pt idx="6">
                  <c:v>32</c:v>
                </c:pt>
                <c:pt idx="7">
                  <c:v>90.6</c:v>
                </c:pt>
                <c:pt idx="8">
                  <c:v>202.4</c:v>
                </c:pt>
                <c:pt idx="9">
                  <c:v>125</c:v>
                </c:pt>
                <c:pt idx="10">
                  <c:v>49.2</c:v>
                </c:pt>
                <c:pt idx="11">
                  <c:v>50.8</c:v>
                </c:pt>
                <c:pt idx="12">
                  <c:v>60.7</c:v>
                </c:pt>
                <c:pt idx="13">
                  <c:v>61</c:v>
                </c:pt>
                <c:pt idx="14">
                  <c:v>56.7</c:v>
                </c:pt>
                <c:pt idx="15">
                  <c:v>55.7</c:v>
                </c:pt>
                <c:pt idx="16">
                  <c:v>80.5</c:v>
                </c:pt>
                <c:pt idx="17">
                  <c:v>174.5</c:v>
                </c:pt>
                <c:pt idx="18">
                  <c:v>159.19999999999999</c:v>
                </c:pt>
                <c:pt idx="19">
                  <c:v>102.8</c:v>
                </c:pt>
                <c:pt idx="20">
                  <c:v>69.7</c:v>
                </c:pt>
                <c:pt idx="21">
                  <c:v>45.3</c:v>
                </c:pt>
                <c:pt idx="22">
                  <c:v>35.799999999999997</c:v>
                </c:pt>
                <c:pt idx="23">
                  <c:v>19.7</c:v>
                </c:pt>
              </c:numCache>
            </c:numRef>
          </c:val>
          <c:extLst>
            <c:ext xmlns:c16="http://schemas.microsoft.com/office/drawing/2014/chart" uri="{C3380CC4-5D6E-409C-BE32-E72D297353CC}">
              <c16:uniqueId val="{00000001-E43D-4B9E-8C74-E8D7CB306BC3}"/>
            </c:ext>
          </c:extLst>
        </c:ser>
        <c:ser>
          <c:idx val="2"/>
          <c:order val="2"/>
          <c:tx>
            <c:strRef>
              <c:f>Sheet11!$D$3</c:f>
              <c:strCache>
                <c:ptCount val="1"/>
                <c:pt idx="0">
                  <c:v>Sum of Wed</c:v>
                </c:pt>
              </c:strCache>
            </c:strRef>
          </c:tx>
          <c:spPr>
            <a:solidFill>
              <a:schemeClr val="accent3"/>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Sheet11!$D$4:$D$28</c:f>
              <c:numCache>
                <c:formatCode>General</c:formatCode>
                <c:ptCount val="24"/>
                <c:pt idx="0">
                  <c:v>8.6999999999999993</c:v>
                </c:pt>
                <c:pt idx="1">
                  <c:v>5.7</c:v>
                </c:pt>
                <c:pt idx="2">
                  <c:v>3.8</c:v>
                </c:pt>
                <c:pt idx="3">
                  <c:v>1.5</c:v>
                </c:pt>
                <c:pt idx="4">
                  <c:v>1.7</c:v>
                </c:pt>
                <c:pt idx="5">
                  <c:v>4.3</c:v>
                </c:pt>
                <c:pt idx="6">
                  <c:v>25</c:v>
                </c:pt>
                <c:pt idx="7">
                  <c:v>68.3</c:v>
                </c:pt>
                <c:pt idx="8">
                  <c:v>157.69999999999999</c:v>
                </c:pt>
                <c:pt idx="9">
                  <c:v>101.5</c:v>
                </c:pt>
                <c:pt idx="10">
                  <c:v>48.5</c:v>
                </c:pt>
                <c:pt idx="11">
                  <c:v>44.5</c:v>
                </c:pt>
                <c:pt idx="12">
                  <c:v>62.8</c:v>
                </c:pt>
                <c:pt idx="13">
                  <c:v>64.8</c:v>
                </c:pt>
                <c:pt idx="14">
                  <c:v>56.3</c:v>
                </c:pt>
                <c:pt idx="15">
                  <c:v>62.7</c:v>
                </c:pt>
                <c:pt idx="16">
                  <c:v>79.8</c:v>
                </c:pt>
                <c:pt idx="17">
                  <c:v>151.30000000000001</c:v>
                </c:pt>
                <c:pt idx="18">
                  <c:v>163.80000000000001</c:v>
                </c:pt>
                <c:pt idx="19">
                  <c:v>101.2</c:v>
                </c:pt>
                <c:pt idx="20">
                  <c:v>76</c:v>
                </c:pt>
                <c:pt idx="21">
                  <c:v>61</c:v>
                </c:pt>
                <c:pt idx="22">
                  <c:v>44</c:v>
                </c:pt>
                <c:pt idx="23">
                  <c:v>27.2</c:v>
                </c:pt>
              </c:numCache>
            </c:numRef>
          </c:val>
          <c:extLst>
            <c:ext xmlns:c16="http://schemas.microsoft.com/office/drawing/2014/chart" uri="{C3380CC4-5D6E-409C-BE32-E72D297353CC}">
              <c16:uniqueId val="{00000002-E43D-4B9E-8C74-E8D7CB306BC3}"/>
            </c:ext>
          </c:extLst>
        </c:ser>
        <c:ser>
          <c:idx val="3"/>
          <c:order val="3"/>
          <c:tx>
            <c:strRef>
              <c:f>Sheet11!$E$3</c:f>
              <c:strCache>
                <c:ptCount val="1"/>
                <c:pt idx="0">
                  <c:v>Sum of Thu</c:v>
                </c:pt>
              </c:strCache>
            </c:strRef>
          </c:tx>
          <c:spPr>
            <a:solidFill>
              <a:schemeClr val="accent4"/>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Sheet11!$E$4:$E$28</c:f>
              <c:numCache>
                <c:formatCode>General</c:formatCode>
                <c:ptCount val="24"/>
                <c:pt idx="0">
                  <c:v>11.8</c:v>
                </c:pt>
                <c:pt idx="1">
                  <c:v>4.5999999999999996</c:v>
                </c:pt>
                <c:pt idx="2">
                  <c:v>2.2000000000000002</c:v>
                </c:pt>
                <c:pt idx="3">
                  <c:v>1.7</c:v>
                </c:pt>
                <c:pt idx="4">
                  <c:v>1.8</c:v>
                </c:pt>
                <c:pt idx="5">
                  <c:v>4.2</c:v>
                </c:pt>
                <c:pt idx="6">
                  <c:v>32.799999999999997</c:v>
                </c:pt>
                <c:pt idx="7">
                  <c:v>90.8</c:v>
                </c:pt>
                <c:pt idx="8">
                  <c:v>207.2</c:v>
                </c:pt>
                <c:pt idx="9">
                  <c:v>131.80000000000001</c:v>
                </c:pt>
                <c:pt idx="10">
                  <c:v>45.4</c:v>
                </c:pt>
                <c:pt idx="11">
                  <c:v>54.6</c:v>
                </c:pt>
                <c:pt idx="12">
                  <c:v>71.599999999999994</c:v>
                </c:pt>
                <c:pt idx="13">
                  <c:v>72.2</c:v>
                </c:pt>
                <c:pt idx="14">
                  <c:v>57.6</c:v>
                </c:pt>
                <c:pt idx="15">
                  <c:v>60.4</c:v>
                </c:pt>
                <c:pt idx="16">
                  <c:v>72.8</c:v>
                </c:pt>
                <c:pt idx="17">
                  <c:v>162.19999999999999</c:v>
                </c:pt>
                <c:pt idx="18">
                  <c:v>150.5</c:v>
                </c:pt>
                <c:pt idx="19">
                  <c:v>108.3</c:v>
                </c:pt>
                <c:pt idx="20">
                  <c:v>87.3</c:v>
                </c:pt>
                <c:pt idx="21">
                  <c:v>51.5</c:v>
                </c:pt>
                <c:pt idx="22">
                  <c:v>42.8</c:v>
                </c:pt>
                <c:pt idx="23">
                  <c:v>26.2</c:v>
                </c:pt>
              </c:numCache>
            </c:numRef>
          </c:val>
          <c:extLst>
            <c:ext xmlns:c16="http://schemas.microsoft.com/office/drawing/2014/chart" uri="{C3380CC4-5D6E-409C-BE32-E72D297353CC}">
              <c16:uniqueId val="{00000003-E43D-4B9E-8C74-E8D7CB306BC3}"/>
            </c:ext>
          </c:extLst>
        </c:ser>
        <c:ser>
          <c:idx val="4"/>
          <c:order val="4"/>
          <c:tx>
            <c:strRef>
              <c:f>Sheet11!$F$3</c:f>
              <c:strCache>
                <c:ptCount val="1"/>
                <c:pt idx="0">
                  <c:v>Sum of Fri</c:v>
                </c:pt>
              </c:strCache>
            </c:strRef>
          </c:tx>
          <c:spPr>
            <a:solidFill>
              <a:schemeClr val="accent5"/>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Sheet11!$F$4:$F$28</c:f>
              <c:numCache>
                <c:formatCode>General</c:formatCode>
                <c:ptCount val="24"/>
                <c:pt idx="0">
                  <c:v>14.7</c:v>
                </c:pt>
                <c:pt idx="1">
                  <c:v>5.8</c:v>
                </c:pt>
                <c:pt idx="2">
                  <c:v>1.7</c:v>
                </c:pt>
                <c:pt idx="3">
                  <c:v>1</c:v>
                </c:pt>
                <c:pt idx="4">
                  <c:v>1</c:v>
                </c:pt>
                <c:pt idx="5">
                  <c:v>5.5</c:v>
                </c:pt>
                <c:pt idx="6">
                  <c:v>24.3</c:v>
                </c:pt>
                <c:pt idx="7">
                  <c:v>73.8</c:v>
                </c:pt>
                <c:pt idx="8">
                  <c:v>196.3</c:v>
                </c:pt>
                <c:pt idx="9">
                  <c:v>130.80000000000001</c:v>
                </c:pt>
                <c:pt idx="10">
                  <c:v>52.3</c:v>
                </c:pt>
                <c:pt idx="11">
                  <c:v>56.2</c:v>
                </c:pt>
                <c:pt idx="12">
                  <c:v>64</c:v>
                </c:pt>
                <c:pt idx="13">
                  <c:v>74.3</c:v>
                </c:pt>
                <c:pt idx="14">
                  <c:v>64.8</c:v>
                </c:pt>
                <c:pt idx="15">
                  <c:v>68.3</c:v>
                </c:pt>
                <c:pt idx="16">
                  <c:v>96.3</c:v>
                </c:pt>
                <c:pt idx="17">
                  <c:v>178.7</c:v>
                </c:pt>
                <c:pt idx="18">
                  <c:v>136.69999999999999</c:v>
                </c:pt>
                <c:pt idx="19">
                  <c:v>96</c:v>
                </c:pt>
                <c:pt idx="20">
                  <c:v>61.3</c:v>
                </c:pt>
                <c:pt idx="21">
                  <c:v>46.7</c:v>
                </c:pt>
                <c:pt idx="22">
                  <c:v>36.799999999999997</c:v>
                </c:pt>
                <c:pt idx="23">
                  <c:v>29.3</c:v>
                </c:pt>
              </c:numCache>
            </c:numRef>
          </c:val>
          <c:extLst>
            <c:ext xmlns:c16="http://schemas.microsoft.com/office/drawing/2014/chart" uri="{C3380CC4-5D6E-409C-BE32-E72D297353CC}">
              <c16:uniqueId val="{00000004-E43D-4B9E-8C74-E8D7CB306BC3}"/>
            </c:ext>
          </c:extLst>
        </c:ser>
        <c:ser>
          <c:idx val="5"/>
          <c:order val="5"/>
          <c:tx>
            <c:strRef>
              <c:f>Sheet11!$G$3</c:f>
              <c:strCache>
                <c:ptCount val="1"/>
                <c:pt idx="0">
                  <c:v>Sum of Sat</c:v>
                </c:pt>
              </c:strCache>
            </c:strRef>
          </c:tx>
          <c:spPr>
            <a:solidFill>
              <a:schemeClr val="accent6"/>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Sheet11!$G$4:$G$28</c:f>
              <c:numCache>
                <c:formatCode>General</c:formatCode>
                <c:ptCount val="24"/>
                <c:pt idx="0">
                  <c:v>25.6</c:v>
                </c:pt>
                <c:pt idx="1">
                  <c:v>21.4</c:v>
                </c:pt>
                <c:pt idx="2">
                  <c:v>16.899999999999999</c:v>
                </c:pt>
                <c:pt idx="3">
                  <c:v>9.1</c:v>
                </c:pt>
                <c:pt idx="4">
                  <c:v>3.6</c:v>
                </c:pt>
                <c:pt idx="5">
                  <c:v>3.4</c:v>
                </c:pt>
                <c:pt idx="6">
                  <c:v>2.4</c:v>
                </c:pt>
                <c:pt idx="7">
                  <c:v>7.1</c:v>
                </c:pt>
                <c:pt idx="8">
                  <c:v>21</c:v>
                </c:pt>
                <c:pt idx="9">
                  <c:v>29.1</c:v>
                </c:pt>
                <c:pt idx="10">
                  <c:v>54.6</c:v>
                </c:pt>
                <c:pt idx="11">
                  <c:v>68.3</c:v>
                </c:pt>
                <c:pt idx="12">
                  <c:v>84.4</c:v>
                </c:pt>
                <c:pt idx="13">
                  <c:v>93.3</c:v>
                </c:pt>
                <c:pt idx="14">
                  <c:v>95.4</c:v>
                </c:pt>
                <c:pt idx="15">
                  <c:v>110</c:v>
                </c:pt>
                <c:pt idx="16">
                  <c:v>100.4</c:v>
                </c:pt>
                <c:pt idx="17">
                  <c:v>84.6</c:v>
                </c:pt>
                <c:pt idx="18">
                  <c:v>63.3</c:v>
                </c:pt>
                <c:pt idx="19">
                  <c:v>54.7</c:v>
                </c:pt>
                <c:pt idx="20">
                  <c:v>43.1</c:v>
                </c:pt>
                <c:pt idx="21">
                  <c:v>44.3</c:v>
                </c:pt>
                <c:pt idx="22">
                  <c:v>34.299999999999997</c:v>
                </c:pt>
                <c:pt idx="23">
                  <c:v>37.4</c:v>
                </c:pt>
              </c:numCache>
            </c:numRef>
          </c:val>
          <c:extLst>
            <c:ext xmlns:c16="http://schemas.microsoft.com/office/drawing/2014/chart" uri="{C3380CC4-5D6E-409C-BE32-E72D297353CC}">
              <c16:uniqueId val="{00000005-E43D-4B9E-8C74-E8D7CB306BC3}"/>
            </c:ext>
          </c:extLst>
        </c:ser>
        <c:ser>
          <c:idx val="6"/>
          <c:order val="6"/>
          <c:tx>
            <c:strRef>
              <c:f>Sheet11!$H$3</c:f>
              <c:strCache>
                <c:ptCount val="1"/>
                <c:pt idx="0">
                  <c:v>Sum of Sun</c:v>
                </c:pt>
              </c:strCache>
            </c:strRef>
          </c:tx>
          <c:spPr>
            <a:solidFill>
              <a:schemeClr val="accent1">
                <a:lumMod val="60000"/>
              </a:schemeClr>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Sheet11!$H$4:$H$28</c:f>
              <c:numCache>
                <c:formatCode>General</c:formatCode>
                <c:ptCount val="24"/>
                <c:pt idx="0">
                  <c:v>30.6</c:v>
                </c:pt>
                <c:pt idx="1">
                  <c:v>23.1</c:v>
                </c:pt>
                <c:pt idx="2">
                  <c:v>15</c:v>
                </c:pt>
                <c:pt idx="3">
                  <c:v>9</c:v>
                </c:pt>
                <c:pt idx="4">
                  <c:v>1.7</c:v>
                </c:pt>
                <c:pt idx="5">
                  <c:v>2</c:v>
                </c:pt>
                <c:pt idx="6">
                  <c:v>1.8</c:v>
                </c:pt>
                <c:pt idx="7">
                  <c:v>3.7</c:v>
                </c:pt>
                <c:pt idx="8">
                  <c:v>14.6</c:v>
                </c:pt>
                <c:pt idx="9">
                  <c:v>32.700000000000003</c:v>
                </c:pt>
                <c:pt idx="10">
                  <c:v>71</c:v>
                </c:pt>
                <c:pt idx="11">
                  <c:v>85.6</c:v>
                </c:pt>
                <c:pt idx="12">
                  <c:v>117</c:v>
                </c:pt>
                <c:pt idx="13">
                  <c:v>110.7</c:v>
                </c:pt>
                <c:pt idx="14">
                  <c:v>110.9</c:v>
                </c:pt>
                <c:pt idx="15">
                  <c:v>114.1</c:v>
                </c:pt>
                <c:pt idx="16">
                  <c:v>106.6</c:v>
                </c:pt>
                <c:pt idx="17">
                  <c:v>87.1</c:v>
                </c:pt>
                <c:pt idx="18">
                  <c:v>65</c:v>
                </c:pt>
                <c:pt idx="19">
                  <c:v>45.6</c:v>
                </c:pt>
                <c:pt idx="20">
                  <c:v>36.9</c:v>
                </c:pt>
                <c:pt idx="21">
                  <c:v>30</c:v>
                </c:pt>
                <c:pt idx="22">
                  <c:v>27.4</c:v>
                </c:pt>
                <c:pt idx="23">
                  <c:v>19.100000000000001</c:v>
                </c:pt>
              </c:numCache>
            </c:numRef>
          </c:val>
          <c:extLst>
            <c:ext xmlns:c16="http://schemas.microsoft.com/office/drawing/2014/chart" uri="{C3380CC4-5D6E-409C-BE32-E72D297353CC}">
              <c16:uniqueId val="{00000006-E43D-4B9E-8C74-E8D7CB306BC3}"/>
            </c:ext>
          </c:extLst>
        </c:ser>
        <c:dLbls>
          <c:showLegendKey val="0"/>
          <c:showVal val="0"/>
          <c:showCatName val="0"/>
          <c:showSerName val="0"/>
          <c:showPercent val="0"/>
          <c:showBubbleSize val="0"/>
        </c:dLbls>
        <c:gapWidth val="150"/>
        <c:shape val="box"/>
        <c:axId val="1986530624"/>
        <c:axId val="1986514304"/>
        <c:axId val="0"/>
      </c:bar3DChart>
      <c:catAx>
        <c:axId val="19865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14304"/>
        <c:crosses val="autoZero"/>
        <c:auto val="1"/>
        <c:lblAlgn val="ctr"/>
        <c:lblOffset val="100"/>
        <c:noMultiLvlLbl val="0"/>
      </c:catAx>
      <c:valAx>
        <c:axId val="198651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Complete.xlsx]Sheet12!PivotTable14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Sum of Casual Total</c:v>
                </c:pt>
              </c:strCache>
            </c:strRef>
          </c:tx>
          <c:spPr>
            <a:solidFill>
              <a:schemeClr val="accent1"/>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Sheet12!$B$4:$B$11</c:f>
              <c:numCache>
                <c:formatCode>General</c:formatCode>
                <c:ptCount val="7"/>
                <c:pt idx="0">
                  <c:v>1495</c:v>
                </c:pt>
                <c:pt idx="1">
                  <c:v>804</c:v>
                </c:pt>
                <c:pt idx="2">
                  <c:v>196</c:v>
                </c:pt>
                <c:pt idx="3">
                  <c:v>995</c:v>
                </c:pt>
                <c:pt idx="4">
                  <c:v>583</c:v>
                </c:pt>
                <c:pt idx="5">
                  <c:v>387</c:v>
                </c:pt>
                <c:pt idx="6">
                  <c:v>461</c:v>
                </c:pt>
              </c:numCache>
            </c:numRef>
          </c:val>
          <c:extLst>
            <c:ext xmlns:c16="http://schemas.microsoft.com/office/drawing/2014/chart" uri="{C3380CC4-5D6E-409C-BE32-E72D297353CC}">
              <c16:uniqueId val="{00000000-CC3C-403D-992C-0B9F18AF3EA7}"/>
            </c:ext>
          </c:extLst>
        </c:ser>
        <c:ser>
          <c:idx val="1"/>
          <c:order val="1"/>
          <c:tx>
            <c:strRef>
              <c:f>Sheet12!$C$3</c:f>
              <c:strCache>
                <c:ptCount val="1"/>
                <c:pt idx="0">
                  <c:v>Sum of Grand Total</c:v>
                </c:pt>
              </c:strCache>
            </c:strRef>
          </c:tx>
          <c:spPr>
            <a:solidFill>
              <a:schemeClr val="accent2"/>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Sheet12!$C$4:$C$11</c:f>
              <c:numCache>
                <c:formatCode>General</c:formatCode>
                <c:ptCount val="7"/>
                <c:pt idx="0">
                  <c:v>10480</c:v>
                </c:pt>
                <c:pt idx="1">
                  <c:v>15113</c:v>
                </c:pt>
                <c:pt idx="2">
                  <c:v>1677</c:v>
                </c:pt>
                <c:pt idx="3">
                  <c:v>6659</c:v>
                </c:pt>
                <c:pt idx="4">
                  <c:v>4747</c:v>
                </c:pt>
                <c:pt idx="5">
                  <c:v>12385</c:v>
                </c:pt>
                <c:pt idx="6">
                  <c:v>7243</c:v>
                </c:pt>
              </c:numCache>
            </c:numRef>
          </c:val>
          <c:extLst>
            <c:ext xmlns:c16="http://schemas.microsoft.com/office/drawing/2014/chart" uri="{C3380CC4-5D6E-409C-BE32-E72D297353CC}">
              <c16:uniqueId val="{00000001-CC3C-403D-992C-0B9F18AF3EA7}"/>
            </c:ext>
          </c:extLst>
        </c:ser>
        <c:ser>
          <c:idx val="2"/>
          <c:order val="2"/>
          <c:tx>
            <c:strRef>
              <c:f>Sheet12!$D$3</c:f>
              <c:strCache>
                <c:ptCount val="1"/>
                <c:pt idx="0">
                  <c:v>Sum of Registered Total</c:v>
                </c:pt>
              </c:strCache>
            </c:strRef>
          </c:tx>
          <c:spPr>
            <a:solidFill>
              <a:schemeClr val="accent3"/>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Sheet12!$D$4:$D$11</c:f>
              <c:numCache>
                <c:formatCode>General</c:formatCode>
                <c:ptCount val="7"/>
                <c:pt idx="0">
                  <c:v>8985</c:v>
                </c:pt>
                <c:pt idx="1">
                  <c:v>14309</c:v>
                </c:pt>
                <c:pt idx="2">
                  <c:v>1481</c:v>
                </c:pt>
                <c:pt idx="3">
                  <c:v>5664</c:v>
                </c:pt>
                <c:pt idx="4">
                  <c:v>4164</c:v>
                </c:pt>
                <c:pt idx="5">
                  <c:v>11998</c:v>
                </c:pt>
                <c:pt idx="6">
                  <c:v>6782</c:v>
                </c:pt>
              </c:numCache>
            </c:numRef>
          </c:val>
          <c:extLst>
            <c:ext xmlns:c16="http://schemas.microsoft.com/office/drawing/2014/chart" uri="{C3380CC4-5D6E-409C-BE32-E72D297353CC}">
              <c16:uniqueId val="{00000002-CC3C-403D-992C-0B9F18AF3EA7}"/>
            </c:ext>
          </c:extLst>
        </c:ser>
        <c:dLbls>
          <c:showLegendKey val="0"/>
          <c:showVal val="0"/>
          <c:showCatName val="0"/>
          <c:showSerName val="0"/>
          <c:showPercent val="0"/>
          <c:showBubbleSize val="0"/>
        </c:dLbls>
        <c:gapWidth val="219"/>
        <c:overlap val="-27"/>
        <c:axId val="1986523424"/>
        <c:axId val="1986522464"/>
      </c:barChart>
      <c:catAx>
        <c:axId val="19865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2464"/>
        <c:crosses val="autoZero"/>
        <c:auto val="1"/>
        <c:lblAlgn val="ctr"/>
        <c:lblOffset val="100"/>
        <c:noMultiLvlLbl val="0"/>
      </c:catAx>
      <c:valAx>
        <c:axId val="198652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Complete.xlsx]Sheet12!PivotTable14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Sum of Casual Total</c:v>
                </c:pt>
              </c:strCache>
            </c:strRef>
          </c:tx>
          <c:spPr>
            <a:solidFill>
              <a:schemeClr val="accent1"/>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Sheet12!$B$4:$B$11</c:f>
              <c:numCache>
                <c:formatCode>General</c:formatCode>
                <c:ptCount val="7"/>
                <c:pt idx="0">
                  <c:v>1495</c:v>
                </c:pt>
                <c:pt idx="1">
                  <c:v>804</c:v>
                </c:pt>
                <c:pt idx="2">
                  <c:v>196</c:v>
                </c:pt>
                <c:pt idx="3">
                  <c:v>995</c:v>
                </c:pt>
                <c:pt idx="4">
                  <c:v>583</c:v>
                </c:pt>
                <c:pt idx="5">
                  <c:v>387</c:v>
                </c:pt>
                <c:pt idx="6">
                  <c:v>461</c:v>
                </c:pt>
              </c:numCache>
            </c:numRef>
          </c:val>
          <c:extLst>
            <c:ext xmlns:c16="http://schemas.microsoft.com/office/drawing/2014/chart" uri="{C3380CC4-5D6E-409C-BE32-E72D297353CC}">
              <c16:uniqueId val="{00000000-0F6C-4950-B983-FE06348CC0F4}"/>
            </c:ext>
          </c:extLst>
        </c:ser>
        <c:ser>
          <c:idx val="1"/>
          <c:order val="1"/>
          <c:tx>
            <c:strRef>
              <c:f>Sheet12!$C$3</c:f>
              <c:strCache>
                <c:ptCount val="1"/>
                <c:pt idx="0">
                  <c:v>Sum of Grand Total</c:v>
                </c:pt>
              </c:strCache>
            </c:strRef>
          </c:tx>
          <c:spPr>
            <a:solidFill>
              <a:schemeClr val="accent2"/>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Sheet12!$C$4:$C$11</c:f>
              <c:numCache>
                <c:formatCode>General</c:formatCode>
                <c:ptCount val="7"/>
                <c:pt idx="0">
                  <c:v>10480</c:v>
                </c:pt>
                <c:pt idx="1">
                  <c:v>15113</c:v>
                </c:pt>
                <c:pt idx="2">
                  <c:v>1677</c:v>
                </c:pt>
                <c:pt idx="3">
                  <c:v>6659</c:v>
                </c:pt>
                <c:pt idx="4">
                  <c:v>4747</c:v>
                </c:pt>
                <c:pt idx="5">
                  <c:v>12385</c:v>
                </c:pt>
                <c:pt idx="6">
                  <c:v>7243</c:v>
                </c:pt>
              </c:numCache>
            </c:numRef>
          </c:val>
          <c:extLst>
            <c:ext xmlns:c16="http://schemas.microsoft.com/office/drawing/2014/chart" uri="{C3380CC4-5D6E-409C-BE32-E72D297353CC}">
              <c16:uniqueId val="{00000001-0F6C-4950-B983-FE06348CC0F4}"/>
            </c:ext>
          </c:extLst>
        </c:ser>
        <c:ser>
          <c:idx val="2"/>
          <c:order val="2"/>
          <c:tx>
            <c:strRef>
              <c:f>Sheet12!$D$3</c:f>
              <c:strCache>
                <c:ptCount val="1"/>
                <c:pt idx="0">
                  <c:v>Sum of Registered Total</c:v>
                </c:pt>
              </c:strCache>
            </c:strRef>
          </c:tx>
          <c:spPr>
            <a:solidFill>
              <a:schemeClr val="accent3"/>
            </a:solidFill>
            <a:ln>
              <a:noFill/>
            </a:ln>
            <a:effectLst/>
          </c:spPr>
          <c:invertIfNegative val="0"/>
          <c:cat>
            <c:strRef>
              <c:f>Sheet12!$A$4:$A$11</c:f>
              <c:strCache>
                <c:ptCount val="7"/>
                <c:pt idx="0">
                  <c:v>Afternoon</c:v>
                </c:pt>
                <c:pt idx="1">
                  <c:v>Evening Rush</c:v>
                </c:pt>
                <c:pt idx="2">
                  <c:v>Late Night</c:v>
                </c:pt>
                <c:pt idx="3">
                  <c:v>Lunch</c:v>
                </c:pt>
                <c:pt idx="4">
                  <c:v>Mid Morning</c:v>
                </c:pt>
                <c:pt idx="5">
                  <c:v>Morning Rush</c:v>
                </c:pt>
                <c:pt idx="6">
                  <c:v>Night</c:v>
                </c:pt>
              </c:strCache>
            </c:strRef>
          </c:cat>
          <c:val>
            <c:numRef>
              <c:f>Sheet12!$D$4:$D$11</c:f>
              <c:numCache>
                <c:formatCode>General</c:formatCode>
                <c:ptCount val="7"/>
                <c:pt idx="0">
                  <c:v>8985</c:v>
                </c:pt>
                <c:pt idx="1">
                  <c:v>14309</c:v>
                </c:pt>
                <c:pt idx="2">
                  <c:v>1481</c:v>
                </c:pt>
                <c:pt idx="3">
                  <c:v>5664</c:v>
                </c:pt>
                <c:pt idx="4">
                  <c:v>4164</c:v>
                </c:pt>
                <c:pt idx="5">
                  <c:v>11998</c:v>
                </c:pt>
                <c:pt idx="6">
                  <c:v>6782</c:v>
                </c:pt>
              </c:numCache>
            </c:numRef>
          </c:val>
          <c:extLst>
            <c:ext xmlns:c16="http://schemas.microsoft.com/office/drawing/2014/chart" uri="{C3380CC4-5D6E-409C-BE32-E72D297353CC}">
              <c16:uniqueId val="{00000002-0F6C-4950-B983-FE06348CC0F4}"/>
            </c:ext>
          </c:extLst>
        </c:ser>
        <c:dLbls>
          <c:showLegendKey val="0"/>
          <c:showVal val="0"/>
          <c:showCatName val="0"/>
          <c:showSerName val="0"/>
          <c:showPercent val="0"/>
          <c:showBubbleSize val="0"/>
        </c:dLbls>
        <c:gapWidth val="219"/>
        <c:overlap val="-27"/>
        <c:axId val="1986523424"/>
        <c:axId val="1986522464"/>
      </c:barChart>
      <c:catAx>
        <c:axId val="198652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2464"/>
        <c:crosses val="autoZero"/>
        <c:auto val="1"/>
        <c:lblAlgn val="ctr"/>
        <c:lblOffset val="100"/>
        <c:noMultiLvlLbl val="0"/>
      </c:catAx>
      <c:valAx>
        <c:axId val="198652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Complete.xlsx]Sheet11!PivotTable13</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Sheet11!$B$3</c:f>
              <c:strCache>
                <c:ptCount val="1"/>
                <c:pt idx="0">
                  <c:v>Sum of Mon</c:v>
                </c:pt>
              </c:strCache>
            </c:strRef>
          </c:tx>
          <c:spPr>
            <a:solidFill>
              <a:schemeClr val="accent1"/>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Sheet11!$B$4:$B$28</c:f>
              <c:numCache>
                <c:formatCode>General</c:formatCode>
                <c:ptCount val="24"/>
                <c:pt idx="0">
                  <c:v>9.6</c:v>
                </c:pt>
                <c:pt idx="1">
                  <c:v>5.6</c:v>
                </c:pt>
                <c:pt idx="2">
                  <c:v>3.4</c:v>
                </c:pt>
                <c:pt idx="3">
                  <c:v>1.5</c:v>
                </c:pt>
                <c:pt idx="4">
                  <c:v>2</c:v>
                </c:pt>
                <c:pt idx="5">
                  <c:v>4.7</c:v>
                </c:pt>
                <c:pt idx="6">
                  <c:v>24.9</c:v>
                </c:pt>
                <c:pt idx="7">
                  <c:v>71.900000000000006</c:v>
                </c:pt>
                <c:pt idx="8">
                  <c:v>161.19999999999999</c:v>
                </c:pt>
                <c:pt idx="9">
                  <c:v>93.5</c:v>
                </c:pt>
                <c:pt idx="10">
                  <c:v>49.3</c:v>
                </c:pt>
                <c:pt idx="11">
                  <c:v>47.7</c:v>
                </c:pt>
                <c:pt idx="12">
                  <c:v>65</c:v>
                </c:pt>
                <c:pt idx="13">
                  <c:v>64.3</c:v>
                </c:pt>
                <c:pt idx="14">
                  <c:v>66.8</c:v>
                </c:pt>
                <c:pt idx="15">
                  <c:v>60.2</c:v>
                </c:pt>
                <c:pt idx="16">
                  <c:v>83.7</c:v>
                </c:pt>
                <c:pt idx="17">
                  <c:v>161.19999999999999</c:v>
                </c:pt>
                <c:pt idx="18">
                  <c:v>148</c:v>
                </c:pt>
                <c:pt idx="19">
                  <c:v>101.7</c:v>
                </c:pt>
                <c:pt idx="20">
                  <c:v>67.7</c:v>
                </c:pt>
                <c:pt idx="21">
                  <c:v>51.7</c:v>
                </c:pt>
                <c:pt idx="22">
                  <c:v>27.2</c:v>
                </c:pt>
                <c:pt idx="23">
                  <c:v>16.7</c:v>
                </c:pt>
              </c:numCache>
            </c:numRef>
          </c:val>
          <c:extLst>
            <c:ext xmlns:c16="http://schemas.microsoft.com/office/drawing/2014/chart" uri="{C3380CC4-5D6E-409C-BE32-E72D297353CC}">
              <c16:uniqueId val="{00000000-44A4-46D3-980C-C396DF8D1A94}"/>
            </c:ext>
          </c:extLst>
        </c:ser>
        <c:ser>
          <c:idx val="1"/>
          <c:order val="1"/>
          <c:tx>
            <c:strRef>
              <c:f>Sheet11!$C$3</c:f>
              <c:strCache>
                <c:ptCount val="1"/>
                <c:pt idx="0">
                  <c:v>Sum of Tue</c:v>
                </c:pt>
              </c:strCache>
            </c:strRef>
          </c:tx>
          <c:spPr>
            <a:solidFill>
              <a:schemeClr val="accent2"/>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Sheet11!$C$4:$C$28</c:f>
              <c:numCache>
                <c:formatCode>General</c:formatCode>
                <c:ptCount val="24"/>
                <c:pt idx="0">
                  <c:v>8.8000000000000007</c:v>
                </c:pt>
                <c:pt idx="1">
                  <c:v>3.4</c:v>
                </c:pt>
                <c:pt idx="2">
                  <c:v>2</c:v>
                </c:pt>
                <c:pt idx="3">
                  <c:v>1.5</c:v>
                </c:pt>
                <c:pt idx="4">
                  <c:v>2</c:v>
                </c:pt>
                <c:pt idx="5">
                  <c:v>4.8</c:v>
                </c:pt>
                <c:pt idx="6">
                  <c:v>32</c:v>
                </c:pt>
                <c:pt idx="7">
                  <c:v>90.6</c:v>
                </c:pt>
                <c:pt idx="8">
                  <c:v>202.4</c:v>
                </c:pt>
                <c:pt idx="9">
                  <c:v>125</c:v>
                </c:pt>
                <c:pt idx="10">
                  <c:v>49.2</c:v>
                </c:pt>
                <c:pt idx="11">
                  <c:v>50.8</c:v>
                </c:pt>
                <c:pt idx="12">
                  <c:v>60.7</c:v>
                </c:pt>
                <c:pt idx="13">
                  <c:v>61</c:v>
                </c:pt>
                <c:pt idx="14">
                  <c:v>56.7</c:v>
                </c:pt>
                <c:pt idx="15">
                  <c:v>55.7</c:v>
                </c:pt>
                <c:pt idx="16">
                  <c:v>80.5</c:v>
                </c:pt>
                <c:pt idx="17">
                  <c:v>174.5</c:v>
                </c:pt>
                <c:pt idx="18">
                  <c:v>159.19999999999999</c:v>
                </c:pt>
                <c:pt idx="19">
                  <c:v>102.8</c:v>
                </c:pt>
                <c:pt idx="20">
                  <c:v>69.7</c:v>
                </c:pt>
                <c:pt idx="21">
                  <c:v>45.3</c:v>
                </c:pt>
                <c:pt idx="22">
                  <c:v>35.799999999999997</c:v>
                </c:pt>
                <c:pt idx="23">
                  <c:v>19.7</c:v>
                </c:pt>
              </c:numCache>
            </c:numRef>
          </c:val>
          <c:extLst>
            <c:ext xmlns:c16="http://schemas.microsoft.com/office/drawing/2014/chart" uri="{C3380CC4-5D6E-409C-BE32-E72D297353CC}">
              <c16:uniqueId val="{00000001-44A4-46D3-980C-C396DF8D1A94}"/>
            </c:ext>
          </c:extLst>
        </c:ser>
        <c:ser>
          <c:idx val="2"/>
          <c:order val="2"/>
          <c:tx>
            <c:strRef>
              <c:f>Sheet11!$D$3</c:f>
              <c:strCache>
                <c:ptCount val="1"/>
                <c:pt idx="0">
                  <c:v>Sum of Wed</c:v>
                </c:pt>
              </c:strCache>
            </c:strRef>
          </c:tx>
          <c:spPr>
            <a:solidFill>
              <a:schemeClr val="accent3"/>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Sheet11!$D$4:$D$28</c:f>
              <c:numCache>
                <c:formatCode>General</c:formatCode>
                <c:ptCount val="24"/>
                <c:pt idx="0">
                  <c:v>8.6999999999999993</c:v>
                </c:pt>
                <c:pt idx="1">
                  <c:v>5.7</c:v>
                </c:pt>
                <c:pt idx="2">
                  <c:v>3.8</c:v>
                </c:pt>
                <c:pt idx="3">
                  <c:v>1.5</c:v>
                </c:pt>
                <c:pt idx="4">
                  <c:v>1.7</c:v>
                </c:pt>
                <c:pt idx="5">
                  <c:v>4.3</c:v>
                </c:pt>
                <c:pt idx="6">
                  <c:v>25</c:v>
                </c:pt>
                <c:pt idx="7">
                  <c:v>68.3</c:v>
                </c:pt>
                <c:pt idx="8">
                  <c:v>157.69999999999999</c:v>
                </c:pt>
                <c:pt idx="9">
                  <c:v>101.5</c:v>
                </c:pt>
                <c:pt idx="10">
                  <c:v>48.5</c:v>
                </c:pt>
                <c:pt idx="11">
                  <c:v>44.5</c:v>
                </c:pt>
                <c:pt idx="12">
                  <c:v>62.8</c:v>
                </c:pt>
                <c:pt idx="13">
                  <c:v>64.8</c:v>
                </c:pt>
                <c:pt idx="14">
                  <c:v>56.3</c:v>
                </c:pt>
                <c:pt idx="15">
                  <c:v>62.7</c:v>
                </c:pt>
                <c:pt idx="16">
                  <c:v>79.8</c:v>
                </c:pt>
                <c:pt idx="17">
                  <c:v>151.30000000000001</c:v>
                </c:pt>
                <c:pt idx="18">
                  <c:v>163.80000000000001</c:v>
                </c:pt>
                <c:pt idx="19">
                  <c:v>101.2</c:v>
                </c:pt>
                <c:pt idx="20">
                  <c:v>76</c:v>
                </c:pt>
                <c:pt idx="21">
                  <c:v>61</c:v>
                </c:pt>
                <c:pt idx="22">
                  <c:v>44</c:v>
                </c:pt>
                <c:pt idx="23">
                  <c:v>27.2</c:v>
                </c:pt>
              </c:numCache>
            </c:numRef>
          </c:val>
          <c:extLst>
            <c:ext xmlns:c16="http://schemas.microsoft.com/office/drawing/2014/chart" uri="{C3380CC4-5D6E-409C-BE32-E72D297353CC}">
              <c16:uniqueId val="{00000002-44A4-46D3-980C-C396DF8D1A94}"/>
            </c:ext>
          </c:extLst>
        </c:ser>
        <c:ser>
          <c:idx val="3"/>
          <c:order val="3"/>
          <c:tx>
            <c:strRef>
              <c:f>Sheet11!$E$3</c:f>
              <c:strCache>
                <c:ptCount val="1"/>
                <c:pt idx="0">
                  <c:v>Sum of Thu</c:v>
                </c:pt>
              </c:strCache>
            </c:strRef>
          </c:tx>
          <c:spPr>
            <a:solidFill>
              <a:schemeClr val="accent4"/>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Sheet11!$E$4:$E$28</c:f>
              <c:numCache>
                <c:formatCode>General</c:formatCode>
                <c:ptCount val="24"/>
                <c:pt idx="0">
                  <c:v>11.8</c:v>
                </c:pt>
                <c:pt idx="1">
                  <c:v>4.5999999999999996</c:v>
                </c:pt>
                <c:pt idx="2">
                  <c:v>2.2000000000000002</c:v>
                </c:pt>
                <c:pt idx="3">
                  <c:v>1.7</c:v>
                </c:pt>
                <c:pt idx="4">
                  <c:v>1.8</c:v>
                </c:pt>
                <c:pt idx="5">
                  <c:v>4.2</c:v>
                </c:pt>
                <c:pt idx="6">
                  <c:v>32.799999999999997</c:v>
                </c:pt>
                <c:pt idx="7">
                  <c:v>90.8</c:v>
                </c:pt>
                <c:pt idx="8">
                  <c:v>207.2</c:v>
                </c:pt>
                <c:pt idx="9">
                  <c:v>131.80000000000001</c:v>
                </c:pt>
                <c:pt idx="10">
                  <c:v>45.4</c:v>
                </c:pt>
                <c:pt idx="11">
                  <c:v>54.6</c:v>
                </c:pt>
                <c:pt idx="12">
                  <c:v>71.599999999999994</c:v>
                </c:pt>
                <c:pt idx="13">
                  <c:v>72.2</c:v>
                </c:pt>
                <c:pt idx="14">
                  <c:v>57.6</c:v>
                </c:pt>
                <c:pt idx="15">
                  <c:v>60.4</c:v>
                </c:pt>
                <c:pt idx="16">
                  <c:v>72.8</c:v>
                </c:pt>
                <c:pt idx="17">
                  <c:v>162.19999999999999</c:v>
                </c:pt>
                <c:pt idx="18">
                  <c:v>150.5</c:v>
                </c:pt>
                <c:pt idx="19">
                  <c:v>108.3</c:v>
                </c:pt>
                <c:pt idx="20">
                  <c:v>87.3</c:v>
                </c:pt>
                <c:pt idx="21">
                  <c:v>51.5</c:v>
                </c:pt>
                <c:pt idx="22">
                  <c:v>42.8</c:v>
                </c:pt>
                <c:pt idx="23">
                  <c:v>26.2</c:v>
                </c:pt>
              </c:numCache>
            </c:numRef>
          </c:val>
          <c:extLst>
            <c:ext xmlns:c16="http://schemas.microsoft.com/office/drawing/2014/chart" uri="{C3380CC4-5D6E-409C-BE32-E72D297353CC}">
              <c16:uniqueId val="{00000003-44A4-46D3-980C-C396DF8D1A94}"/>
            </c:ext>
          </c:extLst>
        </c:ser>
        <c:ser>
          <c:idx val="4"/>
          <c:order val="4"/>
          <c:tx>
            <c:strRef>
              <c:f>Sheet11!$F$3</c:f>
              <c:strCache>
                <c:ptCount val="1"/>
                <c:pt idx="0">
                  <c:v>Sum of Fri</c:v>
                </c:pt>
              </c:strCache>
            </c:strRef>
          </c:tx>
          <c:spPr>
            <a:solidFill>
              <a:schemeClr val="accent5"/>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Sheet11!$F$4:$F$28</c:f>
              <c:numCache>
                <c:formatCode>General</c:formatCode>
                <c:ptCount val="24"/>
                <c:pt idx="0">
                  <c:v>14.7</c:v>
                </c:pt>
                <c:pt idx="1">
                  <c:v>5.8</c:v>
                </c:pt>
                <c:pt idx="2">
                  <c:v>1.7</c:v>
                </c:pt>
                <c:pt idx="3">
                  <c:v>1</c:v>
                </c:pt>
                <c:pt idx="4">
                  <c:v>1</c:v>
                </c:pt>
                <c:pt idx="5">
                  <c:v>5.5</c:v>
                </c:pt>
                <c:pt idx="6">
                  <c:v>24.3</c:v>
                </c:pt>
                <c:pt idx="7">
                  <c:v>73.8</c:v>
                </c:pt>
                <c:pt idx="8">
                  <c:v>196.3</c:v>
                </c:pt>
                <c:pt idx="9">
                  <c:v>130.80000000000001</c:v>
                </c:pt>
                <c:pt idx="10">
                  <c:v>52.3</c:v>
                </c:pt>
                <c:pt idx="11">
                  <c:v>56.2</c:v>
                </c:pt>
                <c:pt idx="12">
                  <c:v>64</c:v>
                </c:pt>
                <c:pt idx="13">
                  <c:v>74.3</c:v>
                </c:pt>
                <c:pt idx="14">
                  <c:v>64.8</c:v>
                </c:pt>
                <c:pt idx="15">
                  <c:v>68.3</c:v>
                </c:pt>
                <c:pt idx="16">
                  <c:v>96.3</c:v>
                </c:pt>
                <c:pt idx="17">
                  <c:v>178.7</c:v>
                </c:pt>
                <c:pt idx="18">
                  <c:v>136.69999999999999</c:v>
                </c:pt>
                <c:pt idx="19">
                  <c:v>96</c:v>
                </c:pt>
                <c:pt idx="20">
                  <c:v>61.3</c:v>
                </c:pt>
                <c:pt idx="21">
                  <c:v>46.7</c:v>
                </c:pt>
                <c:pt idx="22">
                  <c:v>36.799999999999997</c:v>
                </c:pt>
                <c:pt idx="23">
                  <c:v>29.3</c:v>
                </c:pt>
              </c:numCache>
            </c:numRef>
          </c:val>
          <c:extLst>
            <c:ext xmlns:c16="http://schemas.microsoft.com/office/drawing/2014/chart" uri="{C3380CC4-5D6E-409C-BE32-E72D297353CC}">
              <c16:uniqueId val="{00000004-44A4-46D3-980C-C396DF8D1A94}"/>
            </c:ext>
          </c:extLst>
        </c:ser>
        <c:ser>
          <c:idx val="5"/>
          <c:order val="5"/>
          <c:tx>
            <c:strRef>
              <c:f>Sheet11!$G$3</c:f>
              <c:strCache>
                <c:ptCount val="1"/>
                <c:pt idx="0">
                  <c:v>Sum of Sat</c:v>
                </c:pt>
              </c:strCache>
            </c:strRef>
          </c:tx>
          <c:spPr>
            <a:solidFill>
              <a:schemeClr val="accent6"/>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Sheet11!$G$4:$G$28</c:f>
              <c:numCache>
                <c:formatCode>General</c:formatCode>
                <c:ptCount val="24"/>
                <c:pt idx="0">
                  <c:v>25.6</c:v>
                </c:pt>
                <c:pt idx="1">
                  <c:v>21.4</c:v>
                </c:pt>
                <c:pt idx="2">
                  <c:v>16.899999999999999</c:v>
                </c:pt>
                <c:pt idx="3">
                  <c:v>9.1</c:v>
                </c:pt>
                <c:pt idx="4">
                  <c:v>3.6</c:v>
                </c:pt>
                <c:pt idx="5">
                  <c:v>3.4</c:v>
                </c:pt>
                <c:pt idx="6">
                  <c:v>2.4</c:v>
                </c:pt>
                <c:pt idx="7">
                  <c:v>7.1</c:v>
                </c:pt>
                <c:pt idx="8">
                  <c:v>21</c:v>
                </c:pt>
                <c:pt idx="9">
                  <c:v>29.1</c:v>
                </c:pt>
                <c:pt idx="10">
                  <c:v>54.6</c:v>
                </c:pt>
                <c:pt idx="11">
                  <c:v>68.3</c:v>
                </c:pt>
                <c:pt idx="12">
                  <c:v>84.4</c:v>
                </c:pt>
                <c:pt idx="13">
                  <c:v>93.3</c:v>
                </c:pt>
                <c:pt idx="14">
                  <c:v>95.4</c:v>
                </c:pt>
                <c:pt idx="15">
                  <c:v>110</c:v>
                </c:pt>
                <c:pt idx="16">
                  <c:v>100.4</c:v>
                </c:pt>
                <c:pt idx="17">
                  <c:v>84.6</c:v>
                </c:pt>
                <c:pt idx="18">
                  <c:v>63.3</c:v>
                </c:pt>
                <c:pt idx="19">
                  <c:v>54.7</c:v>
                </c:pt>
                <c:pt idx="20">
                  <c:v>43.1</c:v>
                </c:pt>
                <c:pt idx="21">
                  <c:v>44.3</c:v>
                </c:pt>
                <c:pt idx="22">
                  <c:v>34.299999999999997</c:v>
                </c:pt>
                <c:pt idx="23">
                  <c:v>37.4</c:v>
                </c:pt>
              </c:numCache>
            </c:numRef>
          </c:val>
          <c:extLst>
            <c:ext xmlns:c16="http://schemas.microsoft.com/office/drawing/2014/chart" uri="{C3380CC4-5D6E-409C-BE32-E72D297353CC}">
              <c16:uniqueId val="{00000005-44A4-46D3-980C-C396DF8D1A94}"/>
            </c:ext>
          </c:extLst>
        </c:ser>
        <c:ser>
          <c:idx val="6"/>
          <c:order val="6"/>
          <c:tx>
            <c:strRef>
              <c:f>Sheet11!$H$3</c:f>
              <c:strCache>
                <c:ptCount val="1"/>
                <c:pt idx="0">
                  <c:v>Sum of Sun</c:v>
                </c:pt>
              </c:strCache>
            </c:strRef>
          </c:tx>
          <c:spPr>
            <a:solidFill>
              <a:schemeClr val="accent1">
                <a:lumMod val="60000"/>
              </a:schemeClr>
            </a:solidFill>
            <a:ln>
              <a:noFill/>
            </a:ln>
            <a:effectLst/>
            <a:sp3d/>
          </c:spPr>
          <c:invertIfNegative val="0"/>
          <c:cat>
            <c:strRef>
              <c:f>Sheet11!$A$4:$A$28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Sheet11!$H$4:$H$28</c:f>
              <c:numCache>
                <c:formatCode>General</c:formatCode>
                <c:ptCount val="24"/>
                <c:pt idx="0">
                  <c:v>30.6</c:v>
                </c:pt>
                <c:pt idx="1">
                  <c:v>23.1</c:v>
                </c:pt>
                <c:pt idx="2">
                  <c:v>15</c:v>
                </c:pt>
                <c:pt idx="3">
                  <c:v>9</c:v>
                </c:pt>
                <c:pt idx="4">
                  <c:v>1.7</c:v>
                </c:pt>
                <c:pt idx="5">
                  <c:v>2</c:v>
                </c:pt>
                <c:pt idx="6">
                  <c:v>1.8</c:v>
                </c:pt>
                <c:pt idx="7">
                  <c:v>3.7</c:v>
                </c:pt>
                <c:pt idx="8">
                  <c:v>14.6</c:v>
                </c:pt>
                <c:pt idx="9">
                  <c:v>32.700000000000003</c:v>
                </c:pt>
                <c:pt idx="10">
                  <c:v>71</c:v>
                </c:pt>
                <c:pt idx="11">
                  <c:v>85.6</c:v>
                </c:pt>
                <c:pt idx="12">
                  <c:v>117</c:v>
                </c:pt>
                <c:pt idx="13">
                  <c:v>110.7</c:v>
                </c:pt>
                <c:pt idx="14">
                  <c:v>110.9</c:v>
                </c:pt>
                <c:pt idx="15">
                  <c:v>114.1</c:v>
                </c:pt>
                <c:pt idx="16">
                  <c:v>106.6</c:v>
                </c:pt>
                <c:pt idx="17">
                  <c:v>87.1</c:v>
                </c:pt>
                <c:pt idx="18">
                  <c:v>65</c:v>
                </c:pt>
                <c:pt idx="19">
                  <c:v>45.6</c:v>
                </c:pt>
                <c:pt idx="20">
                  <c:v>36.9</c:v>
                </c:pt>
                <c:pt idx="21">
                  <c:v>30</c:v>
                </c:pt>
                <c:pt idx="22">
                  <c:v>27.4</c:v>
                </c:pt>
                <c:pt idx="23">
                  <c:v>19.100000000000001</c:v>
                </c:pt>
              </c:numCache>
            </c:numRef>
          </c:val>
          <c:extLst>
            <c:ext xmlns:c16="http://schemas.microsoft.com/office/drawing/2014/chart" uri="{C3380CC4-5D6E-409C-BE32-E72D297353CC}">
              <c16:uniqueId val="{00000006-44A4-46D3-980C-C396DF8D1A94}"/>
            </c:ext>
          </c:extLst>
        </c:ser>
        <c:dLbls>
          <c:showLegendKey val="0"/>
          <c:showVal val="0"/>
          <c:showCatName val="0"/>
          <c:showSerName val="0"/>
          <c:showPercent val="0"/>
          <c:showBubbleSize val="0"/>
        </c:dLbls>
        <c:gapWidth val="150"/>
        <c:shape val="box"/>
        <c:axId val="1986530624"/>
        <c:axId val="1986514304"/>
        <c:axId val="0"/>
      </c:bar3DChart>
      <c:catAx>
        <c:axId val="1986530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14304"/>
        <c:crosses val="autoZero"/>
        <c:auto val="1"/>
        <c:lblAlgn val="ctr"/>
        <c:lblOffset val="100"/>
        <c:noMultiLvlLbl val="0"/>
      </c:catAx>
      <c:valAx>
        <c:axId val="198651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3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Complete.xlsx]Sheet10!PivotTable12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Sheet10!$B$3</c:f>
              <c:strCache>
                <c:ptCount val="1"/>
                <c:pt idx="0">
                  <c:v>Sum of Total Rentals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8-4601-BF32-87B3B6B2B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78-4601-BF32-87B3B6B2B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Sheet10!$B$4:$B$6</c:f>
              <c:numCache>
                <c:formatCode>General</c:formatCode>
                <c:ptCount val="2"/>
                <c:pt idx="0">
                  <c:v>41369</c:v>
                </c:pt>
                <c:pt idx="1">
                  <c:v>16935</c:v>
                </c:pt>
              </c:numCache>
            </c:numRef>
          </c:val>
          <c:extLst>
            <c:ext xmlns:c16="http://schemas.microsoft.com/office/drawing/2014/chart" uri="{C3380CC4-5D6E-409C-BE32-E72D297353CC}">
              <c16:uniqueId val="{00000004-B178-4601-BF32-87B3B6B2BBE4}"/>
            </c:ext>
          </c:extLst>
        </c:ser>
        <c:ser>
          <c:idx val="1"/>
          <c:order val="1"/>
          <c:tx>
            <c:strRef>
              <c:f>Sheet10!$C$3</c:f>
              <c:strCache>
                <c:ptCount val="1"/>
                <c:pt idx="0">
                  <c:v>Sum of Avg Rentals/Hr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178-4601-BF32-87B3B6B2B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178-4601-BF32-87B3B6B2B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Sheet10!$C$4:$C$6</c:f>
              <c:numCache>
                <c:formatCode>General</c:formatCode>
                <c:ptCount val="2"/>
                <c:pt idx="0">
                  <c:v>53.11</c:v>
                </c:pt>
                <c:pt idx="1">
                  <c:v>76.63</c:v>
                </c:pt>
              </c:numCache>
            </c:numRef>
          </c:val>
          <c:extLst>
            <c:ext xmlns:c16="http://schemas.microsoft.com/office/drawing/2014/chart" uri="{C3380CC4-5D6E-409C-BE32-E72D297353CC}">
              <c16:uniqueId val="{00000009-B178-4601-BF32-87B3B6B2BBE4}"/>
            </c:ext>
          </c:extLst>
        </c:ser>
        <c:ser>
          <c:idx val="2"/>
          <c:order val="2"/>
          <c:tx>
            <c:strRef>
              <c:f>Sheet10!$D$3</c:f>
              <c:strCache>
                <c:ptCount val="1"/>
                <c:pt idx="0">
                  <c:v>Sum of Record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B178-4601-BF32-87B3B6B2B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B178-4601-BF32-87B3B6B2B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Sheet10!$A$4:$A$6</c:f>
              <c:strCache>
                <c:ptCount val="2"/>
                <c:pt idx="0">
                  <c:v>Cold</c:v>
                </c:pt>
                <c:pt idx="1">
                  <c:v>Mild</c:v>
                </c:pt>
              </c:strCache>
            </c:strRef>
          </c:cat>
          <c:val>
            <c:numRef>
              <c:f>Sheet10!$D$4:$D$6</c:f>
              <c:numCache>
                <c:formatCode>General</c:formatCode>
                <c:ptCount val="2"/>
                <c:pt idx="0">
                  <c:v>779</c:v>
                </c:pt>
                <c:pt idx="1">
                  <c:v>221</c:v>
                </c:pt>
              </c:numCache>
            </c:numRef>
          </c:val>
          <c:extLst>
            <c:ext xmlns:c16="http://schemas.microsoft.com/office/drawing/2014/chart" uri="{C3380CC4-5D6E-409C-BE32-E72D297353CC}">
              <c16:uniqueId val="{0000000E-B178-4601-BF32-87B3B6B2B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Complete.xlsx]Sheet9!PivotTable11</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Sheet9!$B$3</c:f>
              <c:strCache>
                <c:ptCount val="1"/>
                <c:pt idx="0">
                  <c:v>Sum of Total Rentals</c:v>
                </c:pt>
              </c:strCache>
            </c:strRef>
          </c:tx>
          <c:spPr>
            <a:solidFill>
              <a:schemeClr val="accent1"/>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Sheet9!$B$4:$B$7</c:f>
              <c:numCache>
                <c:formatCode>General</c:formatCode>
                <c:ptCount val="2"/>
                <c:pt idx="0">
                  <c:v>1000</c:v>
                </c:pt>
                <c:pt idx="1">
                  <c:v>41435</c:v>
                </c:pt>
              </c:numCache>
            </c:numRef>
          </c:val>
          <c:extLst>
            <c:ext xmlns:c16="http://schemas.microsoft.com/office/drawing/2014/chart" uri="{C3380CC4-5D6E-409C-BE32-E72D297353CC}">
              <c16:uniqueId val="{00000000-734B-488E-91D2-8917AC16FE73}"/>
            </c:ext>
          </c:extLst>
        </c:ser>
        <c:ser>
          <c:idx val="1"/>
          <c:order val="1"/>
          <c:tx>
            <c:strRef>
              <c:f>Sheet9!$C$3</c:f>
              <c:strCache>
                <c:ptCount val="1"/>
                <c:pt idx="0">
                  <c:v>Sum of Avg Rentals/Hr</c:v>
                </c:pt>
              </c:strCache>
            </c:strRef>
          </c:tx>
          <c:spPr>
            <a:solidFill>
              <a:schemeClr val="accent2"/>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Sheet9!$C$4:$C$7</c:f>
              <c:numCache>
                <c:formatCode>General</c:formatCode>
                <c:ptCount val="2"/>
                <c:pt idx="0">
                  <c:v>41.67</c:v>
                </c:pt>
                <c:pt idx="1">
                  <c:v>64.14</c:v>
                </c:pt>
              </c:numCache>
            </c:numRef>
          </c:val>
          <c:extLst>
            <c:ext xmlns:c16="http://schemas.microsoft.com/office/drawing/2014/chart" uri="{C3380CC4-5D6E-409C-BE32-E72D297353CC}">
              <c16:uniqueId val="{00000001-734B-488E-91D2-8917AC16FE73}"/>
            </c:ext>
          </c:extLst>
        </c:ser>
        <c:ser>
          <c:idx val="2"/>
          <c:order val="2"/>
          <c:tx>
            <c:strRef>
              <c:f>Sheet9!$D$3</c:f>
              <c:strCache>
                <c:ptCount val="1"/>
                <c:pt idx="0">
                  <c:v>Sum of Avg Casual</c:v>
                </c:pt>
              </c:strCache>
            </c:strRef>
          </c:tx>
          <c:spPr>
            <a:solidFill>
              <a:schemeClr val="accent3"/>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Sheet9!$D$4:$D$7</c:f>
              <c:numCache>
                <c:formatCode>General</c:formatCode>
                <c:ptCount val="2"/>
                <c:pt idx="0">
                  <c:v>4.88</c:v>
                </c:pt>
                <c:pt idx="1">
                  <c:v>3.25</c:v>
                </c:pt>
              </c:numCache>
            </c:numRef>
          </c:val>
          <c:extLst>
            <c:ext xmlns:c16="http://schemas.microsoft.com/office/drawing/2014/chart" uri="{C3380CC4-5D6E-409C-BE32-E72D297353CC}">
              <c16:uniqueId val="{00000002-734B-488E-91D2-8917AC16FE73}"/>
            </c:ext>
          </c:extLst>
        </c:ser>
        <c:ser>
          <c:idx val="3"/>
          <c:order val="3"/>
          <c:tx>
            <c:strRef>
              <c:f>Sheet9!$E$3</c:f>
              <c:strCache>
                <c:ptCount val="1"/>
                <c:pt idx="0">
                  <c:v>Sum of Record Count</c:v>
                </c:pt>
              </c:strCache>
            </c:strRef>
          </c:tx>
          <c:spPr>
            <a:solidFill>
              <a:schemeClr val="accent4"/>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Sheet9!$E$4:$E$7</c:f>
              <c:numCache>
                <c:formatCode>General</c:formatCode>
                <c:ptCount val="2"/>
                <c:pt idx="0">
                  <c:v>24</c:v>
                </c:pt>
                <c:pt idx="1">
                  <c:v>646</c:v>
                </c:pt>
              </c:numCache>
            </c:numRef>
          </c:val>
          <c:extLst>
            <c:ext xmlns:c16="http://schemas.microsoft.com/office/drawing/2014/chart" uri="{C3380CC4-5D6E-409C-BE32-E72D297353CC}">
              <c16:uniqueId val="{00000003-734B-488E-91D2-8917AC16FE73}"/>
            </c:ext>
          </c:extLst>
        </c:ser>
        <c:ser>
          <c:idx val="4"/>
          <c:order val="4"/>
          <c:tx>
            <c:strRef>
              <c:f>Sheet9!$F$3</c:f>
              <c:strCache>
                <c:ptCount val="1"/>
                <c:pt idx="0">
                  <c:v>Sum of Avg Registered</c:v>
                </c:pt>
              </c:strCache>
            </c:strRef>
          </c:tx>
          <c:spPr>
            <a:solidFill>
              <a:schemeClr val="accent5"/>
            </a:solidFill>
            <a:ln>
              <a:noFill/>
            </a:ln>
            <a:effectLst/>
            <a:sp3d/>
          </c:spPr>
          <c:invertIfNegative val="0"/>
          <c:cat>
            <c:multiLvlStrRef>
              <c:f>Sheet9!$A$4:$A$7</c:f>
              <c:multiLvlStrCache>
                <c:ptCount val="2"/>
                <c:lvl>
                  <c:pt idx="0">
                    <c:v>Non-Working Day</c:v>
                  </c:pt>
                  <c:pt idx="1">
                    <c:v>Working Day</c:v>
                  </c:pt>
                </c:lvl>
                <c:lvl>
                  <c:pt idx="0">
                    <c:v>Weekday</c:v>
                  </c:pt>
                </c:lvl>
              </c:multiLvlStrCache>
            </c:multiLvlStrRef>
          </c:cat>
          <c:val>
            <c:numRef>
              <c:f>Sheet9!$F$4:$F$7</c:f>
              <c:numCache>
                <c:formatCode>General</c:formatCode>
                <c:ptCount val="2"/>
                <c:pt idx="0">
                  <c:v>36.79</c:v>
                </c:pt>
                <c:pt idx="1">
                  <c:v>60.89</c:v>
                </c:pt>
              </c:numCache>
            </c:numRef>
          </c:val>
          <c:extLst>
            <c:ext xmlns:c16="http://schemas.microsoft.com/office/drawing/2014/chart" uri="{C3380CC4-5D6E-409C-BE32-E72D297353CC}">
              <c16:uniqueId val="{00000004-734B-488E-91D2-8917AC16FE73}"/>
            </c:ext>
          </c:extLst>
        </c:ser>
        <c:dLbls>
          <c:showLegendKey val="0"/>
          <c:showVal val="0"/>
          <c:showCatName val="0"/>
          <c:showSerName val="0"/>
          <c:showPercent val="0"/>
          <c:showBubbleSize val="0"/>
        </c:dLbls>
        <c:gapWidth val="150"/>
        <c:shape val="box"/>
        <c:axId val="1039364704"/>
        <c:axId val="1178082976"/>
        <c:axId val="0"/>
      </c:bar3DChart>
      <c:catAx>
        <c:axId val="1039364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082976"/>
        <c:crosses val="autoZero"/>
        <c:auto val="1"/>
        <c:lblAlgn val="ctr"/>
        <c:lblOffset val="100"/>
        <c:noMultiLvlLbl val="0"/>
      </c:catAx>
      <c:valAx>
        <c:axId val="1178082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36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Complete.xlsx]Sheet8!PivotTable10</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Sheet8!$B$3</c:f>
              <c:strCache>
                <c:ptCount val="1"/>
                <c:pt idx="0">
                  <c:v>Sum of Total Rentals</c:v>
                </c:pt>
              </c:strCache>
            </c:strRef>
          </c:tx>
          <c:spPr>
            <a:solidFill>
              <a:schemeClr val="accent1"/>
            </a:solidFill>
            <a:ln>
              <a:noFill/>
            </a:ln>
            <a:effectLst/>
            <a:sp3d/>
          </c:spPr>
          <c:invertIfNegative val="0"/>
          <c:cat>
            <c:strRef>
              <c:f>Sheet8!$A$4:$A$5</c:f>
              <c:strCache>
                <c:ptCount val="1"/>
                <c:pt idx="0">
                  <c:v>Light Rain/Snow</c:v>
                </c:pt>
              </c:strCache>
            </c:strRef>
          </c:cat>
          <c:val>
            <c:numRef>
              <c:f>Sheet8!$B$4:$B$5</c:f>
              <c:numCache>
                <c:formatCode>General</c:formatCode>
                <c:ptCount val="1"/>
                <c:pt idx="0">
                  <c:v>2789</c:v>
                </c:pt>
              </c:numCache>
            </c:numRef>
          </c:val>
          <c:extLst>
            <c:ext xmlns:c16="http://schemas.microsoft.com/office/drawing/2014/chart" uri="{C3380CC4-5D6E-409C-BE32-E72D297353CC}">
              <c16:uniqueId val="{00000000-C214-4D17-986C-65F3CCD85FC3}"/>
            </c:ext>
          </c:extLst>
        </c:ser>
        <c:ser>
          <c:idx val="1"/>
          <c:order val="1"/>
          <c:tx>
            <c:strRef>
              <c:f>Sheet8!$C$3</c:f>
              <c:strCache>
                <c:ptCount val="1"/>
                <c:pt idx="0">
                  <c:v>Sum of Avg Rentals/Hr</c:v>
                </c:pt>
              </c:strCache>
            </c:strRef>
          </c:tx>
          <c:spPr>
            <a:solidFill>
              <a:schemeClr val="accent2"/>
            </a:solidFill>
            <a:ln>
              <a:noFill/>
            </a:ln>
            <a:effectLst/>
            <a:sp3d/>
          </c:spPr>
          <c:invertIfNegative val="0"/>
          <c:cat>
            <c:strRef>
              <c:f>Sheet8!$A$4:$A$5</c:f>
              <c:strCache>
                <c:ptCount val="1"/>
                <c:pt idx="0">
                  <c:v>Light Rain/Snow</c:v>
                </c:pt>
              </c:strCache>
            </c:strRef>
          </c:cat>
          <c:val>
            <c:numRef>
              <c:f>Sheet8!$C$4:$C$5</c:f>
              <c:numCache>
                <c:formatCode>General</c:formatCode>
                <c:ptCount val="1"/>
                <c:pt idx="0">
                  <c:v>33.200000000000003</c:v>
                </c:pt>
              </c:numCache>
            </c:numRef>
          </c:val>
          <c:extLst>
            <c:ext xmlns:c16="http://schemas.microsoft.com/office/drawing/2014/chart" uri="{C3380CC4-5D6E-409C-BE32-E72D297353CC}">
              <c16:uniqueId val="{00000001-C214-4D17-986C-65F3CCD85FC3}"/>
            </c:ext>
          </c:extLst>
        </c:ser>
        <c:ser>
          <c:idx val="2"/>
          <c:order val="2"/>
          <c:tx>
            <c:strRef>
              <c:f>Sheet8!$D$3</c:f>
              <c:strCache>
                <c:ptCount val="1"/>
                <c:pt idx="0">
                  <c:v>Sum of Avg Casual</c:v>
                </c:pt>
              </c:strCache>
            </c:strRef>
          </c:tx>
          <c:spPr>
            <a:solidFill>
              <a:schemeClr val="accent3"/>
            </a:solidFill>
            <a:ln>
              <a:noFill/>
            </a:ln>
            <a:effectLst/>
            <a:sp3d/>
          </c:spPr>
          <c:invertIfNegative val="0"/>
          <c:cat>
            <c:strRef>
              <c:f>Sheet8!$A$4:$A$5</c:f>
              <c:strCache>
                <c:ptCount val="1"/>
                <c:pt idx="0">
                  <c:v>Light Rain/Snow</c:v>
                </c:pt>
              </c:strCache>
            </c:strRef>
          </c:cat>
          <c:val>
            <c:numRef>
              <c:f>Sheet8!$D$4:$D$5</c:f>
              <c:numCache>
                <c:formatCode>General</c:formatCode>
                <c:ptCount val="1"/>
                <c:pt idx="0">
                  <c:v>2.04</c:v>
                </c:pt>
              </c:numCache>
            </c:numRef>
          </c:val>
          <c:extLst>
            <c:ext xmlns:c16="http://schemas.microsoft.com/office/drawing/2014/chart" uri="{C3380CC4-5D6E-409C-BE32-E72D297353CC}">
              <c16:uniqueId val="{00000002-C214-4D17-986C-65F3CCD85FC3}"/>
            </c:ext>
          </c:extLst>
        </c:ser>
        <c:ser>
          <c:idx val="3"/>
          <c:order val="3"/>
          <c:tx>
            <c:strRef>
              <c:f>Sheet8!$E$3</c:f>
              <c:strCache>
                <c:ptCount val="1"/>
                <c:pt idx="0">
                  <c:v>Sum of Avg Registered</c:v>
                </c:pt>
              </c:strCache>
            </c:strRef>
          </c:tx>
          <c:spPr>
            <a:solidFill>
              <a:schemeClr val="accent4"/>
            </a:solidFill>
            <a:ln>
              <a:noFill/>
            </a:ln>
            <a:effectLst/>
            <a:sp3d/>
          </c:spPr>
          <c:invertIfNegative val="0"/>
          <c:cat>
            <c:strRef>
              <c:f>Sheet8!$A$4:$A$5</c:f>
              <c:strCache>
                <c:ptCount val="1"/>
                <c:pt idx="0">
                  <c:v>Light Rain/Snow</c:v>
                </c:pt>
              </c:strCache>
            </c:strRef>
          </c:cat>
          <c:val>
            <c:numRef>
              <c:f>Sheet8!$E$4:$E$5</c:f>
              <c:numCache>
                <c:formatCode>General</c:formatCode>
                <c:ptCount val="1"/>
                <c:pt idx="0">
                  <c:v>31.17</c:v>
                </c:pt>
              </c:numCache>
            </c:numRef>
          </c:val>
          <c:extLst>
            <c:ext xmlns:c16="http://schemas.microsoft.com/office/drawing/2014/chart" uri="{C3380CC4-5D6E-409C-BE32-E72D297353CC}">
              <c16:uniqueId val="{00000003-C214-4D17-986C-65F3CCD85FC3}"/>
            </c:ext>
          </c:extLst>
        </c:ser>
        <c:ser>
          <c:idx val="4"/>
          <c:order val="4"/>
          <c:tx>
            <c:strRef>
              <c:f>Sheet8!$F$3</c:f>
              <c:strCache>
                <c:ptCount val="1"/>
                <c:pt idx="0">
                  <c:v>Sum of Record Count</c:v>
                </c:pt>
              </c:strCache>
            </c:strRef>
          </c:tx>
          <c:spPr>
            <a:solidFill>
              <a:schemeClr val="accent5"/>
            </a:solidFill>
            <a:ln>
              <a:noFill/>
            </a:ln>
            <a:effectLst/>
            <a:sp3d/>
          </c:spPr>
          <c:invertIfNegative val="0"/>
          <c:cat>
            <c:strRef>
              <c:f>Sheet8!$A$4:$A$5</c:f>
              <c:strCache>
                <c:ptCount val="1"/>
                <c:pt idx="0">
                  <c:v>Light Rain/Snow</c:v>
                </c:pt>
              </c:strCache>
            </c:strRef>
          </c:cat>
          <c:val>
            <c:numRef>
              <c:f>Sheet8!$F$4:$F$5</c:f>
              <c:numCache>
                <c:formatCode>General</c:formatCode>
                <c:ptCount val="1"/>
                <c:pt idx="0">
                  <c:v>84</c:v>
                </c:pt>
              </c:numCache>
            </c:numRef>
          </c:val>
          <c:extLst>
            <c:ext xmlns:c16="http://schemas.microsoft.com/office/drawing/2014/chart" uri="{C3380CC4-5D6E-409C-BE32-E72D297353CC}">
              <c16:uniqueId val="{00000004-C214-4D17-986C-65F3CCD85FC3}"/>
            </c:ext>
          </c:extLst>
        </c:ser>
        <c:dLbls>
          <c:showLegendKey val="0"/>
          <c:showVal val="0"/>
          <c:showCatName val="0"/>
          <c:showSerName val="0"/>
          <c:showPercent val="0"/>
          <c:showBubbleSize val="0"/>
        </c:dLbls>
        <c:gapWidth val="150"/>
        <c:shape val="box"/>
        <c:axId val="1118160304"/>
        <c:axId val="1118145904"/>
        <c:axId val="0"/>
      </c:bar3DChart>
      <c:catAx>
        <c:axId val="1118160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45904"/>
        <c:crosses val="autoZero"/>
        <c:auto val="1"/>
        <c:lblAlgn val="ctr"/>
        <c:lblOffset val="100"/>
        <c:noMultiLvlLbl val="0"/>
      </c:catAx>
      <c:valAx>
        <c:axId val="11181459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6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Complete.xlsx]Sheet6!PivotTable8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Total Rentals</c:v>
                </c:pt>
              </c:strCache>
            </c:strRef>
          </c:tx>
          <c:spPr>
            <a:solidFill>
              <a:schemeClr val="accent1"/>
            </a:solidFill>
            <a:ln>
              <a:noFill/>
            </a:ln>
            <a:effectLst/>
          </c:spPr>
          <c:invertIfNegative val="0"/>
          <c:dLbls>
            <c:dLbl>
              <c:idx val="6"/>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Sheet6!$B$4:$B$11</c:f>
              <c:numCache>
                <c:formatCode>General</c:formatCode>
                <c:ptCount val="7"/>
                <c:pt idx="0">
                  <c:v>10480</c:v>
                </c:pt>
                <c:pt idx="1">
                  <c:v>15113</c:v>
                </c:pt>
                <c:pt idx="2">
                  <c:v>1677</c:v>
                </c:pt>
                <c:pt idx="3">
                  <c:v>6659</c:v>
                </c:pt>
                <c:pt idx="4">
                  <c:v>4747</c:v>
                </c:pt>
                <c:pt idx="5">
                  <c:v>12385</c:v>
                </c:pt>
                <c:pt idx="6">
                  <c:v>7243</c:v>
                </c:pt>
              </c:numCache>
            </c:numRef>
          </c:val>
          <c:extLst>
            <c:ext xmlns:c16="http://schemas.microsoft.com/office/drawing/2014/chart" uri="{C3380CC4-5D6E-409C-BE32-E72D297353CC}">
              <c16:uniqueId val="{00000000-9332-4C1F-880C-94DEA719CCB6}"/>
            </c:ext>
          </c:extLst>
        </c:ser>
        <c:ser>
          <c:idx val="1"/>
          <c:order val="1"/>
          <c:tx>
            <c:strRef>
              <c:f>Sheet6!$C$3</c:f>
              <c:strCache>
                <c:ptCount val="1"/>
                <c:pt idx="0">
                  <c:v>Sum of Avg Rentals/Hr</c:v>
                </c:pt>
              </c:strCache>
            </c:strRef>
          </c:tx>
          <c:spPr>
            <a:solidFill>
              <a:schemeClr val="accent2"/>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Sheet6!$C$4:$C$11</c:f>
              <c:numCache>
                <c:formatCode>General</c:formatCode>
                <c:ptCount val="7"/>
                <c:pt idx="0">
                  <c:v>80.62</c:v>
                </c:pt>
                <c:pt idx="1">
                  <c:v>116.25</c:v>
                </c:pt>
                <c:pt idx="2">
                  <c:v>8.83</c:v>
                </c:pt>
                <c:pt idx="3">
                  <c:v>77.430000000000007</c:v>
                </c:pt>
                <c:pt idx="4">
                  <c:v>56.51</c:v>
                </c:pt>
                <c:pt idx="5">
                  <c:v>59.54</c:v>
                </c:pt>
                <c:pt idx="6">
                  <c:v>42.11</c:v>
                </c:pt>
              </c:numCache>
            </c:numRef>
          </c:val>
          <c:extLst>
            <c:ext xmlns:c16="http://schemas.microsoft.com/office/drawing/2014/chart" uri="{C3380CC4-5D6E-409C-BE32-E72D297353CC}">
              <c16:uniqueId val="{00000001-9332-4C1F-880C-94DEA719CCB6}"/>
            </c:ext>
          </c:extLst>
        </c:ser>
        <c:ser>
          <c:idx val="2"/>
          <c:order val="2"/>
          <c:tx>
            <c:strRef>
              <c:f>Sheet6!$D$3</c:f>
              <c:strCache>
                <c:ptCount val="1"/>
                <c:pt idx="0">
                  <c:v>Sum of Max Rentals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Sheet6!$D$4:$D$11</c:f>
              <c:numCache>
                <c:formatCode>General</c:formatCode>
                <c:ptCount val="7"/>
                <c:pt idx="0">
                  <c:v>182</c:v>
                </c:pt>
                <c:pt idx="1">
                  <c:v>225</c:v>
                </c:pt>
                <c:pt idx="2">
                  <c:v>44</c:v>
                </c:pt>
                <c:pt idx="3">
                  <c:v>182</c:v>
                </c:pt>
                <c:pt idx="4">
                  <c:v>117</c:v>
                </c:pt>
                <c:pt idx="5">
                  <c:v>249</c:v>
                </c:pt>
                <c:pt idx="6">
                  <c:v>126</c:v>
                </c:pt>
              </c:numCache>
            </c:numRef>
          </c:val>
          <c:extLst>
            <c:ext xmlns:c16="http://schemas.microsoft.com/office/drawing/2014/chart" uri="{C3380CC4-5D6E-409C-BE32-E72D297353CC}">
              <c16:uniqueId val="{00000002-9332-4C1F-880C-94DEA719CCB6}"/>
            </c:ext>
          </c:extLst>
        </c:ser>
        <c:ser>
          <c:idx val="3"/>
          <c:order val="3"/>
          <c:tx>
            <c:strRef>
              <c:f>Sheet6!$E$3</c:f>
              <c:strCache>
                <c:ptCount val="1"/>
                <c:pt idx="0">
                  <c:v>Sum of Min Rentals</c:v>
                </c:pt>
              </c:strCache>
            </c:strRef>
          </c:tx>
          <c:spPr>
            <a:solidFill>
              <a:schemeClr val="accent4"/>
            </a:solidFill>
            <a:ln>
              <a:noFill/>
            </a:ln>
            <a:effectLst/>
          </c:spPr>
          <c:invertIfNegative val="0"/>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Sheet6!$E$4:$E$11</c:f>
              <c:numCache>
                <c:formatCode>General</c:formatCode>
                <c:ptCount val="7"/>
                <c:pt idx="0">
                  <c:v>24</c:v>
                </c:pt>
                <c:pt idx="1">
                  <c:v>21</c:v>
                </c:pt>
                <c:pt idx="2">
                  <c:v>1</c:v>
                </c:pt>
                <c:pt idx="3">
                  <c:v>3</c:v>
                </c:pt>
                <c:pt idx="4">
                  <c:v>28</c:v>
                </c:pt>
                <c:pt idx="5">
                  <c:v>1</c:v>
                </c:pt>
                <c:pt idx="6">
                  <c:v>4</c:v>
                </c:pt>
              </c:numCache>
            </c:numRef>
          </c:val>
          <c:extLst>
            <c:ext xmlns:c16="http://schemas.microsoft.com/office/drawing/2014/chart" uri="{C3380CC4-5D6E-409C-BE32-E72D297353CC}">
              <c16:uniqueId val="{00000003-9332-4C1F-880C-94DEA719CCB6}"/>
            </c:ext>
          </c:extLst>
        </c:ser>
        <c:ser>
          <c:idx val="4"/>
          <c:order val="4"/>
          <c:tx>
            <c:strRef>
              <c:f>Sheet6!$F$3</c:f>
              <c:strCache>
                <c:ptCount val="1"/>
                <c:pt idx="0">
                  <c:v>Sum of Record Count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Sheet6!$A$4:$A$11</c:f>
              <c:strCache>
                <c:ptCount val="7"/>
                <c:pt idx="0">
                  <c:v>Afternoon</c:v>
                </c:pt>
                <c:pt idx="1">
                  <c:v>Evening Rush</c:v>
                </c:pt>
                <c:pt idx="2">
                  <c:v>Late Night</c:v>
                </c:pt>
                <c:pt idx="3">
                  <c:v>Lunch</c:v>
                </c:pt>
                <c:pt idx="4">
                  <c:v>Mid Morning</c:v>
                </c:pt>
                <c:pt idx="5">
                  <c:v>Morning Rush</c:v>
                </c:pt>
                <c:pt idx="6">
                  <c:v>Night</c:v>
                </c:pt>
              </c:strCache>
            </c:strRef>
          </c:cat>
          <c:val>
            <c:numRef>
              <c:f>Sheet6!$F$4:$F$11</c:f>
              <c:numCache>
                <c:formatCode>General</c:formatCode>
                <c:ptCount val="7"/>
                <c:pt idx="0">
                  <c:v>130</c:v>
                </c:pt>
                <c:pt idx="1">
                  <c:v>130</c:v>
                </c:pt>
                <c:pt idx="2">
                  <c:v>190</c:v>
                </c:pt>
                <c:pt idx="3">
                  <c:v>86</c:v>
                </c:pt>
                <c:pt idx="4">
                  <c:v>84</c:v>
                </c:pt>
                <c:pt idx="5">
                  <c:v>208</c:v>
                </c:pt>
                <c:pt idx="6">
                  <c:v>172</c:v>
                </c:pt>
              </c:numCache>
            </c:numRef>
          </c:val>
          <c:extLst>
            <c:ext xmlns:c16="http://schemas.microsoft.com/office/drawing/2014/chart" uri="{C3380CC4-5D6E-409C-BE32-E72D297353CC}">
              <c16:uniqueId val="{00000004-9332-4C1F-880C-94DEA719CCB6}"/>
            </c:ext>
          </c:extLst>
        </c:ser>
        <c:dLbls>
          <c:showLegendKey val="0"/>
          <c:showVal val="0"/>
          <c:showCatName val="0"/>
          <c:showSerName val="0"/>
          <c:showPercent val="0"/>
          <c:showBubbleSize val="0"/>
        </c:dLbls>
        <c:gapWidth val="219"/>
        <c:overlap val="-27"/>
        <c:axId val="1346368304"/>
        <c:axId val="1346366384"/>
      </c:barChart>
      <c:catAx>
        <c:axId val="134636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66384"/>
        <c:crosses val="autoZero"/>
        <c:auto val="1"/>
        <c:lblAlgn val="ctr"/>
        <c:lblOffset val="100"/>
        <c:noMultiLvlLbl val="0"/>
      </c:catAx>
      <c:valAx>
        <c:axId val="134636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36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[Nexthike Project Complete.xlsx]Sheet14!PivotTable6</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Sheet14!$B$3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70F-46F1-A025-E479938327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70F-46F1-A025-E4799383273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70F-46F1-A025-E479938327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Sheet14!$A$4:$A$7</c:f>
              <c:strCache>
                <c:ptCount val="3"/>
                <c:pt idx="0">
                  <c:v> Registered Users</c:v>
                </c:pt>
                <c:pt idx="1">
                  <c:v>Casual Users</c:v>
                </c:pt>
                <c:pt idx="2">
                  <c:v>Count</c:v>
                </c:pt>
              </c:strCache>
            </c:strRef>
          </c:cat>
          <c:val>
            <c:numRef>
              <c:f>Sheet14!$B$4:$B$7</c:f>
              <c:numCache>
                <c:formatCode>@</c:formatCode>
                <c:ptCount val="3"/>
                <c:pt idx="0">
                  <c:v>53383</c:v>
                </c:pt>
                <c:pt idx="1">
                  <c:v>4921</c:v>
                </c:pt>
                <c:pt idx="2">
                  <c:v>58304</c:v>
                </c:pt>
              </c:numCache>
            </c:numRef>
          </c:val>
          <c:extLst>
            <c:ext xmlns:c16="http://schemas.microsoft.com/office/drawing/2014/chart" uri="{C3380CC4-5D6E-409C-BE32-E72D297353CC}">
              <c16:uniqueId val="{00000006-670F-46F1-A025-E47993832738}"/>
            </c:ext>
          </c:extLst>
        </c:ser>
        <c:ser>
          <c:idx val="1"/>
          <c:order val="1"/>
          <c:tx>
            <c:strRef>
              <c:f>Sheet14!$C$3</c:f>
              <c:strCache>
                <c:ptCount val="1"/>
                <c:pt idx="0">
                  <c:v>Sum of Average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670F-46F1-A025-E479938327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670F-46F1-A025-E4799383273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670F-46F1-A025-E479938327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Sheet14!$A$4:$A$7</c:f>
              <c:strCache>
                <c:ptCount val="3"/>
                <c:pt idx="0">
                  <c:v> Registered Users</c:v>
                </c:pt>
                <c:pt idx="1">
                  <c:v>Casual Users</c:v>
                </c:pt>
                <c:pt idx="2">
                  <c:v>Count</c:v>
                </c:pt>
              </c:strCache>
            </c:strRef>
          </c:cat>
          <c:val>
            <c:numRef>
              <c:f>Sheet14!$C$4:$C$7</c:f>
              <c:numCache>
                <c:formatCode>@</c:formatCode>
                <c:ptCount val="3"/>
                <c:pt idx="0">
                  <c:v>53.383000000000003</c:v>
                </c:pt>
                <c:pt idx="1">
                  <c:v>4.9210000000000003</c:v>
                </c:pt>
                <c:pt idx="2">
                  <c:v>58.304000000000002</c:v>
                </c:pt>
              </c:numCache>
            </c:numRef>
          </c:val>
          <c:extLst>
            <c:ext xmlns:c16="http://schemas.microsoft.com/office/drawing/2014/chart" uri="{C3380CC4-5D6E-409C-BE32-E72D297353CC}">
              <c16:uniqueId val="{0000000D-670F-46F1-A025-E4799383273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304800</xdr:colOff>
      <xdr:row>5</xdr:row>
      <xdr:rowOff>80010</xdr:rowOff>
    </xdr:from>
    <xdr:to>
      <xdr:col>11</xdr:col>
      <xdr:colOff>0</xdr:colOff>
      <xdr:row>20</xdr:row>
      <xdr:rowOff>80010</xdr:rowOff>
    </xdr:to>
    <xdr:graphicFrame macro="">
      <xdr:nvGraphicFramePr>
        <xdr:cNvPr id="2" name="Chart 1">
          <a:extLst>
            <a:ext uri="{FF2B5EF4-FFF2-40B4-BE49-F238E27FC236}">
              <a16:creationId xmlns:a16="http://schemas.microsoft.com/office/drawing/2014/main" id="{790EDE65-C3CE-1C0B-4018-5E2E50DA1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167640</xdr:colOff>
      <xdr:row>7</xdr:row>
      <xdr:rowOff>19050</xdr:rowOff>
    </xdr:from>
    <xdr:to>
      <xdr:col>11</xdr:col>
      <xdr:colOff>381000</xdr:colOff>
      <xdr:row>22</xdr:row>
      <xdr:rowOff>19050</xdr:rowOff>
    </xdr:to>
    <xdr:graphicFrame macro="">
      <xdr:nvGraphicFramePr>
        <xdr:cNvPr id="2" name="Chart 1">
          <a:extLst>
            <a:ext uri="{FF2B5EF4-FFF2-40B4-BE49-F238E27FC236}">
              <a16:creationId xmlns:a16="http://schemas.microsoft.com/office/drawing/2014/main" id="{3CA1BEEF-5031-06B5-A000-88A71B6F1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426720</xdr:colOff>
      <xdr:row>9</xdr:row>
      <xdr:rowOff>148590</xdr:rowOff>
    </xdr:from>
    <xdr:to>
      <xdr:col>9</xdr:col>
      <xdr:colOff>480060</xdr:colOff>
      <xdr:row>24</xdr:row>
      <xdr:rowOff>148590</xdr:rowOff>
    </xdr:to>
    <xdr:graphicFrame macro="">
      <xdr:nvGraphicFramePr>
        <xdr:cNvPr id="2" name="Chart 1">
          <a:extLst>
            <a:ext uri="{FF2B5EF4-FFF2-40B4-BE49-F238E27FC236}">
              <a16:creationId xmlns:a16="http://schemas.microsoft.com/office/drawing/2014/main" id="{0D215711-C579-5B9D-E18F-80B2C2D86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853440</xdr:colOff>
      <xdr:row>9</xdr:row>
      <xdr:rowOff>163830</xdr:rowOff>
    </xdr:from>
    <xdr:to>
      <xdr:col>8</xdr:col>
      <xdr:colOff>373380</xdr:colOff>
      <xdr:row>24</xdr:row>
      <xdr:rowOff>163830</xdr:rowOff>
    </xdr:to>
    <xdr:graphicFrame macro="">
      <xdr:nvGraphicFramePr>
        <xdr:cNvPr id="2" name="Chart 1">
          <a:extLst>
            <a:ext uri="{FF2B5EF4-FFF2-40B4-BE49-F238E27FC236}">
              <a16:creationId xmlns:a16="http://schemas.microsoft.com/office/drawing/2014/main" id="{73CD8F5F-AA4D-11B0-597E-E2DBA9D2A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815340</xdr:colOff>
      <xdr:row>6</xdr:row>
      <xdr:rowOff>41910</xdr:rowOff>
    </xdr:from>
    <xdr:to>
      <xdr:col>8</xdr:col>
      <xdr:colOff>251460</xdr:colOff>
      <xdr:row>21</xdr:row>
      <xdr:rowOff>41910</xdr:rowOff>
    </xdr:to>
    <xdr:graphicFrame macro="">
      <xdr:nvGraphicFramePr>
        <xdr:cNvPr id="2" name="Chart 1">
          <a:extLst>
            <a:ext uri="{FF2B5EF4-FFF2-40B4-BE49-F238E27FC236}">
              <a16:creationId xmlns:a16="http://schemas.microsoft.com/office/drawing/2014/main" id="{3B7C7EDF-C8DD-4507-EDDB-E23CF9428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403860</xdr:colOff>
      <xdr:row>6</xdr:row>
      <xdr:rowOff>110490</xdr:rowOff>
    </xdr:from>
    <xdr:to>
      <xdr:col>16</xdr:col>
      <xdr:colOff>99060</xdr:colOff>
      <xdr:row>21</xdr:row>
      <xdr:rowOff>110490</xdr:rowOff>
    </xdr:to>
    <xdr:graphicFrame macro="">
      <xdr:nvGraphicFramePr>
        <xdr:cNvPr id="3" name="Chart 2">
          <a:extLst>
            <a:ext uri="{FF2B5EF4-FFF2-40B4-BE49-F238E27FC236}">
              <a16:creationId xmlns:a16="http://schemas.microsoft.com/office/drawing/2014/main" id="{E7B8E87C-CC35-2DF8-45B1-413CCD0711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243840</xdr:colOff>
      <xdr:row>4</xdr:row>
      <xdr:rowOff>57150</xdr:rowOff>
    </xdr:from>
    <xdr:to>
      <xdr:col>11</xdr:col>
      <xdr:colOff>548640</xdr:colOff>
      <xdr:row>19</xdr:row>
      <xdr:rowOff>57150</xdr:rowOff>
    </xdr:to>
    <xdr:graphicFrame macro="">
      <xdr:nvGraphicFramePr>
        <xdr:cNvPr id="2" name="Chart 1">
          <a:extLst>
            <a:ext uri="{FF2B5EF4-FFF2-40B4-BE49-F238E27FC236}">
              <a16:creationId xmlns:a16="http://schemas.microsoft.com/office/drawing/2014/main" id="{7CA59036-F056-AA08-449C-C8AB67996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22</xdr:row>
      <xdr:rowOff>76200</xdr:rowOff>
    </xdr:from>
    <xdr:to>
      <xdr:col>7</xdr:col>
      <xdr:colOff>304800</xdr:colOff>
      <xdr:row>37</xdr:row>
      <xdr:rowOff>76200</xdr:rowOff>
    </xdr:to>
    <xdr:graphicFrame macro="">
      <xdr:nvGraphicFramePr>
        <xdr:cNvPr id="2" name="Chart 1">
          <a:extLst>
            <a:ext uri="{FF2B5EF4-FFF2-40B4-BE49-F238E27FC236}">
              <a16:creationId xmlns:a16="http://schemas.microsoft.com/office/drawing/2014/main" id="{71098BC3-3DDE-4A79-9DCA-2F65C8107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480060</xdr:colOff>
      <xdr:row>20</xdr:row>
      <xdr:rowOff>15240</xdr:rowOff>
    </xdr:from>
    <xdr:to>
      <xdr:col>15</xdr:col>
      <xdr:colOff>175260</xdr:colOff>
      <xdr:row>35</xdr:row>
      <xdr:rowOff>15240</xdr:rowOff>
    </xdr:to>
    <xdr:graphicFrame macro="">
      <xdr:nvGraphicFramePr>
        <xdr:cNvPr id="3" name="Chart 2">
          <a:extLst>
            <a:ext uri="{FF2B5EF4-FFF2-40B4-BE49-F238E27FC236}">
              <a16:creationId xmlns:a16="http://schemas.microsoft.com/office/drawing/2014/main" id="{BE612C49-1A19-4722-AE39-25636923C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0</xdr:rowOff>
    </xdr:from>
    <xdr:to>
      <xdr:col>7</xdr:col>
      <xdr:colOff>304800</xdr:colOff>
      <xdr:row>35</xdr:row>
      <xdr:rowOff>0</xdr:rowOff>
    </xdr:to>
    <xdr:graphicFrame macro="">
      <xdr:nvGraphicFramePr>
        <xdr:cNvPr id="4" name="Chart 3">
          <a:extLst>
            <a:ext uri="{FF2B5EF4-FFF2-40B4-BE49-F238E27FC236}">
              <a16:creationId xmlns:a16="http://schemas.microsoft.com/office/drawing/2014/main" id="{219A4BDA-4483-46BE-8024-E797D1691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38</xdr:row>
      <xdr:rowOff>53340</xdr:rowOff>
    </xdr:from>
    <xdr:to>
      <xdr:col>7</xdr:col>
      <xdr:colOff>312420</xdr:colOff>
      <xdr:row>53</xdr:row>
      <xdr:rowOff>53340</xdr:rowOff>
    </xdr:to>
    <xdr:graphicFrame macro="">
      <xdr:nvGraphicFramePr>
        <xdr:cNvPr id="5" name="Chart 4">
          <a:extLst>
            <a:ext uri="{FF2B5EF4-FFF2-40B4-BE49-F238E27FC236}">
              <a16:creationId xmlns:a16="http://schemas.microsoft.com/office/drawing/2014/main" id="{0FAB2747-C875-4194-B5DC-07C4951C7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54</xdr:row>
      <xdr:rowOff>175260</xdr:rowOff>
    </xdr:from>
    <xdr:to>
      <xdr:col>7</xdr:col>
      <xdr:colOff>350520</xdr:colOff>
      <xdr:row>69</xdr:row>
      <xdr:rowOff>121920</xdr:rowOff>
    </xdr:to>
    <xdr:graphicFrame macro="">
      <xdr:nvGraphicFramePr>
        <xdr:cNvPr id="6" name="Chart 5">
          <a:extLst>
            <a:ext uri="{FF2B5EF4-FFF2-40B4-BE49-F238E27FC236}">
              <a16:creationId xmlns:a16="http://schemas.microsoft.com/office/drawing/2014/main" id="{439F0695-D873-4A77-AF05-E1535F28F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36</xdr:row>
      <xdr:rowOff>0</xdr:rowOff>
    </xdr:from>
    <xdr:to>
      <xdr:col>15</xdr:col>
      <xdr:colOff>304800</xdr:colOff>
      <xdr:row>51</xdr:row>
      <xdr:rowOff>0</xdr:rowOff>
    </xdr:to>
    <xdr:graphicFrame macro="">
      <xdr:nvGraphicFramePr>
        <xdr:cNvPr id="7" name="Chart 6">
          <a:extLst>
            <a:ext uri="{FF2B5EF4-FFF2-40B4-BE49-F238E27FC236}">
              <a16:creationId xmlns:a16="http://schemas.microsoft.com/office/drawing/2014/main" id="{A6E65323-0BDD-4C2D-AA45-AFF4E611C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396240</xdr:colOff>
      <xdr:row>3</xdr:row>
      <xdr:rowOff>137160</xdr:rowOff>
    </xdr:from>
    <xdr:to>
      <xdr:col>20</xdr:col>
      <xdr:colOff>396240</xdr:colOff>
      <xdr:row>17</xdr:row>
      <xdr:rowOff>43815</xdr:rowOff>
    </xdr:to>
    <mc:AlternateContent xmlns:mc="http://schemas.openxmlformats.org/markup-compatibility/2006" xmlns:a14="http://schemas.microsoft.com/office/drawing/2010/main">
      <mc:Choice Requires="a14">
        <xdr:graphicFrame macro="">
          <xdr:nvGraphicFramePr>
            <xdr:cNvPr id="8" name="Hour">
              <a:extLst>
                <a:ext uri="{FF2B5EF4-FFF2-40B4-BE49-F238E27FC236}">
                  <a16:creationId xmlns:a16="http://schemas.microsoft.com/office/drawing/2014/main" id="{7CD1F8C3-E4A0-C351-9A35-91368EDCB282}"/>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075944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11</xdr:row>
      <xdr:rowOff>22860</xdr:rowOff>
    </xdr:from>
    <xdr:to>
      <xdr:col>14</xdr:col>
      <xdr:colOff>160020</xdr:colOff>
      <xdr:row>17</xdr:row>
      <xdr:rowOff>38101</xdr:rowOff>
    </xdr:to>
    <mc:AlternateContent xmlns:mc="http://schemas.openxmlformats.org/markup-compatibility/2006" xmlns:a14="http://schemas.microsoft.com/office/drawing/2010/main">
      <mc:Choice Requires="a14">
        <xdr:graphicFrame macro="">
          <xdr:nvGraphicFramePr>
            <xdr:cNvPr id="15" name="Day Type">
              <a:extLst>
                <a:ext uri="{FF2B5EF4-FFF2-40B4-BE49-F238E27FC236}">
                  <a16:creationId xmlns:a16="http://schemas.microsoft.com/office/drawing/2014/main" id="{A8FD646B-8522-38CF-C72A-CE873A24A443}"/>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mlns="">
        <xdr:sp macro="" textlink="">
          <xdr:nvSpPr>
            <xdr:cNvPr id="0" name=""/>
            <xdr:cNvSpPr>
              <a:spLocks noTextEdit="1"/>
            </xdr:cNvSpPr>
          </xdr:nvSpPr>
          <xdr:spPr>
            <a:xfrm>
              <a:off x="6865620" y="2438400"/>
              <a:ext cx="1828800" cy="1112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3</xdr:row>
      <xdr:rowOff>137160</xdr:rowOff>
    </xdr:from>
    <xdr:to>
      <xdr:col>17</xdr:col>
      <xdr:colOff>228600</xdr:colOff>
      <xdr:row>9</xdr:row>
      <xdr:rowOff>160019</xdr:rowOff>
    </xdr:to>
    <mc:AlternateContent xmlns:mc="http://schemas.openxmlformats.org/markup-compatibility/2006" xmlns:a14="http://schemas.microsoft.com/office/drawing/2010/main">
      <mc:Choice Requires="a14">
        <xdr:graphicFrame macro="">
          <xdr:nvGraphicFramePr>
            <xdr:cNvPr id="16" name="Working Day">
              <a:extLst>
                <a:ext uri="{FF2B5EF4-FFF2-40B4-BE49-F238E27FC236}">
                  <a16:creationId xmlns:a16="http://schemas.microsoft.com/office/drawing/2014/main" id="{8947A427-B25A-62D9-0937-DC254BA8B8D7}"/>
                </a:ext>
              </a:extLst>
            </xdr:cNvPr>
            <xdr:cNvGraphicFramePr/>
          </xdr:nvGraphicFramePr>
          <xdr:xfrm>
            <a:off x="0" y="0"/>
            <a:ext cx="0" cy="0"/>
          </xdr:xfrm>
          <a:graphic>
            <a:graphicData uri="http://schemas.microsoft.com/office/drawing/2010/slicer">
              <sle:slicer xmlns:sle="http://schemas.microsoft.com/office/drawing/2010/slicer" name="Working Day"/>
            </a:graphicData>
          </a:graphic>
        </xdr:graphicFrame>
      </mc:Choice>
      <mc:Fallback xmlns="">
        <xdr:sp macro="" textlink="">
          <xdr:nvSpPr>
            <xdr:cNvPr id="0" name=""/>
            <xdr:cNvSpPr>
              <a:spLocks noTextEdit="1"/>
            </xdr:cNvSpPr>
          </xdr:nvSpPr>
          <xdr:spPr>
            <a:xfrm>
              <a:off x="8763000" y="1089660"/>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358140</xdr:colOff>
      <xdr:row>27</xdr:row>
      <xdr:rowOff>167641</xdr:rowOff>
    </xdr:from>
    <xdr:to>
      <xdr:col>22</xdr:col>
      <xdr:colOff>358140</xdr:colOff>
      <xdr:row>35</xdr:row>
      <xdr:rowOff>152401</xdr:rowOff>
    </xdr:to>
    <mc:AlternateContent xmlns:mc="http://schemas.openxmlformats.org/markup-compatibility/2006" xmlns:a14="http://schemas.microsoft.com/office/drawing/2010/main">
      <mc:Choice Requires="a14">
        <xdr:graphicFrame macro="">
          <xdr:nvGraphicFramePr>
            <xdr:cNvPr id="17" name="Weather Condition">
              <a:extLst>
                <a:ext uri="{FF2B5EF4-FFF2-40B4-BE49-F238E27FC236}">
                  <a16:creationId xmlns:a16="http://schemas.microsoft.com/office/drawing/2014/main" id="{34B1BA75-7FDA-C602-765B-C400B3EBEF63}"/>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mlns="">
        <xdr:sp macro="" textlink="">
          <xdr:nvSpPr>
            <xdr:cNvPr id="0" name=""/>
            <xdr:cNvSpPr>
              <a:spLocks noTextEdit="1"/>
            </xdr:cNvSpPr>
          </xdr:nvSpPr>
          <xdr:spPr>
            <a:xfrm>
              <a:off x="11940540" y="550926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213360</xdr:colOff>
      <xdr:row>18</xdr:row>
      <xdr:rowOff>144781</xdr:rowOff>
    </xdr:from>
    <xdr:to>
      <xdr:col>19</xdr:col>
      <xdr:colOff>213360</xdr:colOff>
      <xdr:row>26</xdr:row>
      <xdr:rowOff>160021</xdr:rowOff>
    </xdr:to>
    <mc:AlternateContent xmlns:mc="http://schemas.openxmlformats.org/markup-compatibility/2006" xmlns:a14="http://schemas.microsoft.com/office/drawing/2010/main">
      <mc:Choice Requires="a14">
        <xdr:graphicFrame macro="">
          <xdr:nvGraphicFramePr>
            <xdr:cNvPr id="18" name="Total Rentals">
              <a:extLst>
                <a:ext uri="{FF2B5EF4-FFF2-40B4-BE49-F238E27FC236}">
                  <a16:creationId xmlns:a16="http://schemas.microsoft.com/office/drawing/2014/main" id="{EAEB08D4-2057-8DCB-936C-7A9F587B8D62}"/>
                </a:ext>
              </a:extLst>
            </xdr:cNvPr>
            <xdr:cNvGraphicFramePr/>
          </xdr:nvGraphicFramePr>
          <xdr:xfrm>
            <a:off x="0" y="0"/>
            <a:ext cx="0" cy="0"/>
          </xdr:xfrm>
          <a:graphic>
            <a:graphicData uri="http://schemas.microsoft.com/office/drawing/2010/slicer">
              <sle:slicer xmlns:sle="http://schemas.microsoft.com/office/drawing/2010/slicer" name="Total Rentals"/>
            </a:graphicData>
          </a:graphic>
        </xdr:graphicFrame>
      </mc:Choice>
      <mc:Fallback xmlns="">
        <xdr:sp macro="" textlink="">
          <xdr:nvSpPr>
            <xdr:cNvPr id="0" name=""/>
            <xdr:cNvSpPr>
              <a:spLocks noTextEdit="1"/>
            </xdr:cNvSpPr>
          </xdr:nvSpPr>
          <xdr:spPr>
            <a:xfrm>
              <a:off x="9966960" y="384048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10</xdr:row>
      <xdr:rowOff>175261</xdr:rowOff>
    </xdr:from>
    <xdr:to>
      <xdr:col>17</xdr:col>
      <xdr:colOff>213360</xdr:colOff>
      <xdr:row>17</xdr:row>
      <xdr:rowOff>45720</xdr:rowOff>
    </xdr:to>
    <mc:AlternateContent xmlns:mc="http://schemas.openxmlformats.org/markup-compatibility/2006" xmlns:a14="http://schemas.microsoft.com/office/drawing/2010/main">
      <mc:Choice Requires="a14">
        <xdr:graphicFrame macro="">
          <xdr:nvGraphicFramePr>
            <xdr:cNvPr id="19" name="Avg Rentals/Hr">
              <a:extLst>
                <a:ext uri="{FF2B5EF4-FFF2-40B4-BE49-F238E27FC236}">
                  <a16:creationId xmlns:a16="http://schemas.microsoft.com/office/drawing/2014/main" id="{BFFF7CE5-17DD-5B9E-870C-05550E97224A}"/>
                </a:ext>
              </a:extLst>
            </xdr:cNvPr>
            <xdr:cNvGraphicFramePr/>
          </xdr:nvGraphicFramePr>
          <xdr:xfrm>
            <a:off x="0" y="0"/>
            <a:ext cx="0" cy="0"/>
          </xdr:xfrm>
          <a:graphic>
            <a:graphicData uri="http://schemas.microsoft.com/office/drawing/2010/slicer">
              <sle:slicer xmlns:sle="http://schemas.microsoft.com/office/drawing/2010/slicer" name="Avg Rentals/Hr"/>
            </a:graphicData>
          </a:graphic>
        </xdr:graphicFrame>
      </mc:Choice>
      <mc:Fallback xmlns="">
        <xdr:sp macro="" textlink="">
          <xdr:nvSpPr>
            <xdr:cNvPr id="0" name=""/>
            <xdr:cNvSpPr>
              <a:spLocks noTextEdit="1"/>
            </xdr:cNvSpPr>
          </xdr:nvSpPr>
          <xdr:spPr>
            <a:xfrm>
              <a:off x="8747760" y="240792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365760</xdr:colOff>
      <xdr:row>18</xdr:row>
      <xdr:rowOff>144781</xdr:rowOff>
    </xdr:from>
    <xdr:to>
      <xdr:col>22</xdr:col>
      <xdr:colOff>365760</xdr:colOff>
      <xdr:row>27</xdr:row>
      <xdr:rowOff>53341</xdr:rowOff>
    </xdr:to>
    <mc:AlternateContent xmlns:mc="http://schemas.openxmlformats.org/markup-compatibility/2006" xmlns:a14="http://schemas.microsoft.com/office/drawing/2010/main">
      <mc:Choice Requires="a14">
        <xdr:graphicFrame macro="">
          <xdr:nvGraphicFramePr>
            <xdr:cNvPr id="20" name="Avg Casual">
              <a:extLst>
                <a:ext uri="{FF2B5EF4-FFF2-40B4-BE49-F238E27FC236}">
                  <a16:creationId xmlns:a16="http://schemas.microsoft.com/office/drawing/2014/main" id="{B6ADA9D3-2746-D3C7-76C8-9C8A3F6CC454}"/>
                </a:ext>
              </a:extLst>
            </xdr:cNvPr>
            <xdr:cNvGraphicFramePr/>
          </xdr:nvGraphicFramePr>
          <xdr:xfrm>
            <a:off x="0" y="0"/>
            <a:ext cx="0" cy="0"/>
          </xdr:xfrm>
          <a:graphic>
            <a:graphicData uri="http://schemas.microsoft.com/office/drawing/2010/slicer">
              <sle:slicer xmlns:sle="http://schemas.microsoft.com/office/drawing/2010/slicer" name="Avg Casual"/>
            </a:graphicData>
          </a:graphic>
        </xdr:graphicFrame>
      </mc:Choice>
      <mc:Fallback xmlns="">
        <xdr:sp macro="" textlink="">
          <xdr:nvSpPr>
            <xdr:cNvPr id="0" name=""/>
            <xdr:cNvSpPr>
              <a:spLocks noTextEdit="1"/>
            </xdr:cNvSpPr>
          </xdr:nvSpPr>
          <xdr:spPr>
            <a:xfrm>
              <a:off x="11948160" y="384048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518160</xdr:colOff>
      <xdr:row>36</xdr:row>
      <xdr:rowOff>114300</xdr:rowOff>
    </xdr:from>
    <xdr:to>
      <xdr:col>22</xdr:col>
      <xdr:colOff>518160</xdr:colOff>
      <xdr:row>50</xdr:row>
      <xdr:rowOff>20955</xdr:rowOff>
    </xdr:to>
    <mc:AlternateContent xmlns:mc="http://schemas.openxmlformats.org/markup-compatibility/2006" xmlns:a14="http://schemas.microsoft.com/office/drawing/2010/main">
      <mc:Choice Requires="a14">
        <xdr:graphicFrame macro="">
          <xdr:nvGraphicFramePr>
            <xdr:cNvPr id="21" name="Afternoon">
              <a:extLst>
                <a:ext uri="{FF2B5EF4-FFF2-40B4-BE49-F238E27FC236}">
                  <a16:creationId xmlns:a16="http://schemas.microsoft.com/office/drawing/2014/main" id="{00B582CB-896E-FFAB-C1F4-49D2371E3DE2}"/>
                </a:ext>
              </a:extLst>
            </xdr:cNvPr>
            <xdr:cNvGraphicFramePr/>
          </xdr:nvGraphicFramePr>
          <xdr:xfrm>
            <a:off x="0" y="0"/>
            <a:ext cx="0" cy="0"/>
          </xdr:xfrm>
          <a:graphic>
            <a:graphicData uri="http://schemas.microsoft.com/office/drawing/2010/slicer">
              <sle:slicer xmlns:sle="http://schemas.microsoft.com/office/drawing/2010/slicer" name="Afternoon"/>
            </a:graphicData>
          </a:graphic>
        </xdr:graphicFrame>
      </mc:Choice>
      <mc:Fallback xmlns="">
        <xdr:sp macro="" textlink="">
          <xdr:nvSpPr>
            <xdr:cNvPr id="0" name=""/>
            <xdr:cNvSpPr>
              <a:spLocks noTextEdit="1"/>
            </xdr:cNvSpPr>
          </xdr:nvSpPr>
          <xdr:spPr>
            <a:xfrm>
              <a:off x="12100560" y="7101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198120</xdr:colOff>
      <xdr:row>37</xdr:row>
      <xdr:rowOff>30481</xdr:rowOff>
    </xdr:from>
    <xdr:to>
      <xdr:col>19</xdr:col>
      <xdr:colOff>198120</xdr:colOff>
      <xdr:row>48</xdr:row>
      <xdr:rowOff>7621</xdr:rowOff>
    </xdr:to>
    <mc:AlternateContent xmlns:mc="http://schemas.openxmlformats.org/markup-compatibility/2006" xmlns:a14="http://schemas.microsoft.com/office/drawing/2010/main">
      <mc:Choice Requires="a14">
        <xdr:graphicFrame macro="">
          <xdr:nvGraphicFramePr>
            <xdr:cNvPr id="22" name="Max Rentals">
              <a:extLst>
                <a:ext uri="{FF2B5EF4-FFF2-40B4-BE49-F238E27FC236}">
                  <a16:creationId xmlns:a16="http://schemas.microsoft.com/office/drawing/2014/main" id="{52983878-986A-97AC-ECA0-EA15E1D4F637}"/>
                </a:ext>
              </a:extLst>
            </xdr:cNvPr>
            <xdr:cNvGraphicFramePr/>
          </xdr:nvGraphicFramePr>
          <xdr:xfrm>
            <a:off x="0" y="0"/>
            <a:ext cx="0" cy="0"/>
          </xdr:xfrm>
          <a:graphic>
            <a:graphicData uri="http://schemas.microsoft.com/office/drawing/2010/slicer">
              <sle:slicer xmlns:sle="http://schemas.microsoft.com/office/drawing/2010/slicer" name="Max Rentals"/>
            </a:graphicData>
          </a:graphic>
        </xdr:graphicFrame>
      </mc:Choice>
      <mc:Fallback xmlns="">
        <xdr:sp macro="" textlink="">
          <xdr:nvSpPr>
            <xdr:cNvPr id="0" name=""/>
            <xdr:cNvSpPr>
              <a:spLocks noTextEdit="1"/>
            </xdr:cNvSpPr>
          </xdr:nvSpPr>
          <xdr:spPr>
            <a:xfrm>
              <a:off x="9951720" y="7200901"/>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213360</xdr:colOff>
      <xdr:row>31</xdr:row>
      <xdr:rowOff>60961</xdr:rowOff>
    </xdr:from>
    <xdr:to>
      <xdr:col>19</xdr:col>
      <xdr:colOff>213360</xdr:colOff>
      <xdr:row>36</xdr:row>
      <xdr:rowOff>68580</xdr:rowOff>
    </xdr:to>
    <mc:AlternateContent xmlns:mc="http://schemas.openxmlformats.org/markup-compatibility/2006" xmlns:a14="http://schemas.microsoft.com/office/drawing/2010/main">
      <mc:Choice Requires="a14">
        <xdr:graphicFrame macro="">
          <xdr:nvGraphicFramePr>
            <xdr:cNvPr id="23" name="Min Rentals">
              <a:extLst>
                <a:ext uri="{FF2B5EF4-FFF2-40B4-BE49-F238E27FC236}">
                  <a16:creationId xmlns:a16="http://schemas.microsoft.com/office/drawing/2014/main" id="{E7C8E3FC-FA9B-D1B1-27F2-EEF847A3E8EF}"/>
                </a:ext>
              </a:extLst>
            </xdr:cNvPr>
            <xdr:cNvGraphicFramePr/>
          </xdr:nvGraphicFramePr>
          <xdr:xfrm>
            <a:off x="0" y="0"/>
            <a:ext cx="0" cy="0"/>
          </xdr:xfrm>
          <a:graphic>
            <a:graphicData uri="http://schemas.microsoft.com/office/drawing/2010/slicer">
              <sle:slicer xmlns:sle="http://schemas.microsoft.com/office/drawing/2010/slicer" name="Min Rentals"/>
            </a:graphicData>
          </a:graphic>
        </xdr:graphicFrame>
      </mc:Choice>
      <mc:Fallback xmlns="">
        <xdr:sp macro="" textlink="">
          <xdr:nvSpPr>
            <xdr:cNvPr id="0" name=""/>
            <xdr:cNvSpPr>
              <a:spLocks noTextEdit="1"/>
            </xdr:cNvSpPr>
          </xdr:nvSpPr>
          <xdr:spPr>
            <a:xfrm>
              <a:off x="9966960" y="613410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220980</xdr:colOff>
      <xdr:row>26</xdr:row>
      <xdr:rowOff>45721</xdr:rowOff>
    </xdr:from>
    <xdr:to>
      <xdr:col>19</xdr:col>
      <xdr:colOff>220980</xdr:colOff>
      <xdr:row>31</xdr:row>
      <xdr:rowOff>38101</xdr:rowOff>
    </xdr:to>
    <mc:AlternateContent xmlns:mc="http://schemas.openxmlformats.org/markup-compatibility/2006" xmlns:a14="http://schemas.microsoft.com/office/drawing/2010/main">
      <mc:Choice Requires="a14">
        <xdr:graphicFrame macro="">
          <xdr:nvGraphicFramePr>
            <xdr:cNvPr id="24" name="Temp Category">
              <a:extLst>
                <a:ext uri="{FF2B5EF4-FFF2-40B4-BE49-F238E27FC236}">
                  <a16:creationId xmlns:a16="http://schemas.microsoft.com/office/drawing/2014/main" id="{B008451C-A809-11B9-F4AD-B2C58EA6C392}"/>
                </a:ext>
              </a:extLst>
            </xdr:cNvPr>
            <xdr:cNvGraphicFramePr/>
          </xdr:nvGraphicFramePr>
          <xdr:xfrm>
            <a:off x="0" y="0"/>
            <a:ext cx="0" cy="0"/>
          </xdr:xfrm>
          <a:graphic>
            <a:graphicData uri="http://schemas.microsoft.com/office/drawing/2010/slicer">
              <sle:slicer xmlns:sle="http://schemas.microsoft.com/office/drawing/2010/slicer" name="Temp Category"/>
            </a:graphicData>
          </a:graphic>
        </xdr:graphicFrame>
      </mc:Choice>
      <mc:Fallback xmlns="">
        <xdr:sp macro="" textlink="">
          <xdr:nvSpPr>
            <xdr:cNvPr id="0" name=""/>
            <xdr:cNvSpPr>
              <a:spLocks noTextEdit="1"/>
            </xdr:cNvSpPr>
          </xdr:nvSpPr>
          <xdr:spPr>
            <a:xfrm>
              <a:off x="9974580" y="520446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3</xdr:row>
      <xdr:rowOff>99060</xdr:rowOff>
    </xdr:from>
    <xdr:to>
      <xdr:col>7</xdr:col>
      <xdr:colOff>464820</xdr:colOff>
      <xdr:row>18</xdr:row>
      <xdr:rowOff>99060</xdr:rowOff>
    </xdr:to>
    <xdr:graphicFrame macro="">
      <xdr:nvGraphicFramePr>
        <xdr:cNvPr id="9" name="Chart 8">
          <a:extLst>
            <a:ext uri="{FF2B5EF4-FFF2-40B4-BE49-F238E27FC236}">
              <a16:creationId xmlns:a16="http://schemas.microsoft.com/office/drawing/2014/main" id="{911B0346-E27D-456F-ADFE-DA3E1DA93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7620</xdr:colOff>
      <xdr:row>3</xdr:row>
      <xdr:rowOff>91441</xdr:rowOff>
    </xdr:from>
    <xdr:to>
      <xdr:col>11</xdr:col>
      <xdr:colOff>7620</xdr:colOff>
      <xdr:row>9</xdr:row>
      <xdr:rowOff>175261</xdr:rowOff>
    </xdr:to>
    <mc:AlternateContent xmlns:mc="http://schemas.openxmlformats.org/markup-compatibility/2006" xmlns:a14="http://schemas.microsoft.com/office/drawing/2010/main">
      <mc:Choice Requires="a14">
        <xdr:graphicFrame macro="">
          <xdr:nvGraphicFramePr>
            <xdr:cNvPr id="10" name="USERS">
              <a:extLst>
                <a:ext uri="{FF2B5EF4-FFF2-40B4-BE49-F238E27FC236}">
                  <a16:creationId xmlns:a16="http://schemas.microsoft.com/office/drawing/2014/main" id="{2687457D-D417-EEC2-9A28-718D3660BB7D}"/>
                </a:ext>
              </a:extLst>
            </xdr:cNvPr>
            <xdr:cNvGraphicFramePr/>
          </xdr:nvGraphicFramePr>
          <xdr:xfrm>
            <a:off x="0" y="0"/>
            <a:ext cx="0" cy="0"/>
          </xdr:xfrm>
          <a:graphic>
            <a:graphicData uri="http://schemas.microsoft.com/office/drawing/2010/slicer">
              <sle:slicer xmlns:sle="http://schemas.microsoft.com/office/drawing/2010/slicer" name="USERS"/>
            </a:graphicData>
          </a:graphic>
        </xdr:graphicFrame>
      </mc:Choice>
      <mc:Fallback xmlns="">
        <xdr:sp macro="" textlink="">
          <xdr:nvSpPr>
            <xdr:cNvPr id="0" name=""/>
            <xdr:cNvSpPr>
              <a:spLocks noTextEdit="1"/>
            </xdr:cNvSpPr>
          </xdr:nvSpPr>
          <xdr:spPr>
            <a:xfrm>
              <a:off x="4884420" y="104394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121920</xdr:colOff>
      <xdr:row>3</xdr:row>
      <xdr:rowOff>114301</xdr:rowOff>
    </xdr:from>
    <xdr:to>
      <xdr:col>14</xdr:col>
      <xdr:colOff>121920</xdr:colOff>
      <xdr:row>9</xdr:row>
      <xdr:rowOff>160021</xdr:rowOff>
    </xdr:to>
    <mc:AlternateContent xmlns:mc="http://schemas.openxmlformats.org/markup-compatibility/2006" xmlns:a14="http://schemas.microsoft.com/office/drawing/2010/main">
      <mc:Choice Requires="a14">
        <xdr:graphicFrame macro="">
          <xdr:nvGraphicFramePr>
            <xdr:cNvPr id="11" name="Total">
              <a:extLst>
                <a:ext uri="{FF2B5EF4-FFF2-40B4-BE49-F238E27FC236}">
                  <a16:creationId xmlns:a16="http://schemas.microsoft.com/office/drawing/2014/main" id="{AEA2F221-1A6A-0FA3-57A4-52FCB7D3109C}"/>
                </a:ext>
              </a:extLst>
            </xdr:cNvPr>
            <xdr:cNvGraphicFramePr/>
          </xdr:nvGraphicFramePr>
          <xdr:xfrm>
            <a:off x="0" y="0"/>
            <a:ext cx="0" cy="0"/>
          </xdr:xfrm>
          <a:graphic>
            <a:graphicData uri="http://schemas.microsoft.com/office/drawing/2010/slicer">
              <sle:slicer xmlns:sle="http://schemas.microsoft.com/office/drawing/2010/slicer" name="Total"/>
            </a:graphicData>
          </a:graphic>
        </xdr:graphicFrame>
      </mc:Choice>
      <mc:Fallback xmlns="">
        <xdr:sp macro="" textlink="">
          <xdr:nvSpPr>
            <xdr:cNvPr id="0" name=""/>
            <xdr:cNvSpPr>
              <a:spLocks noTextEdit="1"/>
            </xdr:cNvSpPr>
          </xdr:nvSpPr>
          <xdr:spPr>
            <a:xfrm>
              <a:off x="6827520" y="106680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11</xdr:row>
      <xdr:rowOff>30481</xdr:rowOff>
    </xdr:from>
    <xdr:to>
      <xdr:col>11</xdr:col>
      <xdr:colOff>15240</xdr:colOff>
      <xdr:row>17</xdr:row>
      <xdr:rowOff>76201</xdr:rowOff>
    </xdr:to>
    <mc:AlternateContent xmlns:mc="http://schemas.openxmlformats.org/markup-compatibility/2006" xmlns:a14="http://schemas.microsoft.com/office/drawing/2010/main">
      <mc:Choice Requires="a14">
        <xdr:graphicFrame macro="">
          <xdr:nvGraphicFramePr>
            <xdr:cNvPr id="12" name="Average">
              <a:extLst>
                <a:ext uri="{FF2B5EF4-FFF2-40B4-BE49-F238E27FC236}">
                  <a16:creationId xmlns:a16="http://schemas.microsoft.com/office/drawing/2014/main" id="{DCB5B05C-28BE-FE95-10A8-FCA30863F716}"/>
                </a:ext>
              </a:extLst>
            </xdr:cNvPr>
            <xdr:cNvGraphicFramePr/>
          </xdr:nvGraphicFramePr>
          <xdr:xfrm>
            <a:off x="0" y="0"/>
            <a:ext cx="0" cy="0"/>
          </xdr:xfrm>
          <a:graphic>
            <a:graphicData uri="http://schemas.microsoft.com/office/drawing/2010/slicer">
              <sle:slicer xmlns:sle="http://schemas.microsoft.com/office/drawing/2010/slicer" name="Average"/>
            </a:graphicData>
          </a:graphic>
        </xdr:graphicFrame>
      </mc:Choice>
      <mc:Fallback xmlns="">
        <xdr:sp macro="" textlink="">
          <xdr:nvSpPr>
            <xdr:cNvPr id="0" name=""/>
            <xdr:cNvSpPr>
              <a:spLocks noTextEdit="1"/>
            </xdr:cNvSpPr>
          </xdr:nvSpPr>
          <xdr:spPr>
            <a:xfrm>
              <a:off x="4892040" y="244602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2967013888" createdVersion="8" refreshedVersion="8" minRefreshableVersion="3" recordCount="7" xr:uid="{95E419D3-CC8A-4F34-8DCC-876BFF00ECDD}">
  <cacheSource type="worksheet">
    <worksheetSource ref="A2:F9" sheet="Pivot Analysis Dashboard"/>
  </cacheSource>
  <cacheFields count="6">
    <cacheField name="Afternoon" numFmtId="0">
      <sharedItems count="7">
        <s v="Late Night"/>
        <s v="Morning Rush"/>
        <s v="Mid Morning"/>
        <s v="Lunch"/>
        <s v="Afternoon"/>
        <s v="Evening Rush"/>
        <s v="Night"/>
      </sharedItems>
    </cacheField>
    <cacheField name="Total Rentals" numFmtId="0">
      <sharedItems containsSemiMixedTypes="0" containsString="0" containsNumber="1" containsInteger="1" minValue="1677" maxValue="15113" count="7">
        <n v="1677"/>
        <n v="12385"/>
        <n v="4747"/>
        <n v="6659"/>
        <n v="10480"/>
        <n v="15113"/>
        <n v="7243"/>
      </sharedItems>
    </cacheField>
    <cacheField name="Avg Rentals/Hr" numFmtId="0">
      <sharedItems containsSemiMixedTypes="0" containsString="0" containsNumber="1" minValue="8.83" maxValue="116.25" count="7">
        <n v="8.83"/>
        <n v="59.54"/>
        <n v="56.51"/>
        <n v="77.430000000000007"/>
        <n v="80.62"/>
        <n v="116.25"/>
        <n v="42.11"/>
      </sharedItems>
    </cacheField>
    <cacheField name="Max Rentals" numFmtId="0">
      <sharedItems containsSemiMixedTypes="0" containsString="0" containsNumber="1" containsInteger="1" minValue="44" maxValue="249" count="6">
        <n v="44"/>
        <n v="249"/>
        <n v="117"/>
        <n v="182"/>
        <n v="225"/>
        <n v="126"/>
      </sharedItems>
    </cacheField>
    <cacheField name="Min Rentals" numFmtId="0">
      <sharedItems containsSemiMixedTypes="0" containsString="0" containsNumber="1" containsInteger="1" minValue="1" maxValue="28" count="6">
        <n v="1"/>
        <n v="28"/>
        <n v="3"/>
        <n v="24"/>
        <n v="21"/>
        <n v="4"/>
      </sharedItems>
    </cacheField>
    <cacheField name="Record Count" numFmtId="0">
      <sharedItems containsSemiMixedTypes="0" containsString="0" containsNumber="1" containsInteger="1" minValue="84" maxValue="208" count="6">
        <n v="190"/>
        <n v="208"/>
        <n v="84"/>
        <n v="86"/>
        <n v="130"/>
        <n v="172"/>
      </sharedItems>
    </cacheField>
  </cacheFields>
  <extLst>
    <ext xmlns:x14="http://schemas.microsoft.com/office/spreadsheetml/2009/9/main" uri="{725AE2AE-9491-48be-B2B4-4EB974FC3084}">
      <x14:pivotCacheDefinition pivotCacheId="14140586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5478240743" createdVersion="8" refreshedVersion="8" minRefreshableVersion="3" recordCount="4" xr:uid="{BE5A0895-621F-46D6-947E-1E516A053E0E}">
  <cacheSource type="worksheet">
    <worksheetSource ref="A13:F17" sheet="Pivot Analysis Dashboard"/>
  </cacheSource>
  <cacheFields count="6">
    <cacheField name="Weather Condition" numFmtId="0">
      <sharedItems count="4">
        <s v="Clear"/>
        <s v="Heavy Rain/Snow"/>
        <s v="Light Rain/Snow"/>
        <s v="Mist/Cloudy"/>
      </sharedItems>
    </cacheField>
    <cacheField name="Total Rentals" numFmtId="0">
      <sharedItems containsSemiMixedTypes="0" containsString="0" containsNumber="1" containsInteger="1" minValue="36" maxValue="37373" count="4">
        <n v="37373"/>
        <n v="36"/>
        <n v="2789"/>
        <n v="18106"/>
      </sharedItems>
    </cacheField>
    <cacheField name="Avg Rentals/Hr" numFmtId="0">
      <sharedItems containsSemiMixedTypes="0" containsString="0" containsNumber="1" minValue="33.200000000000003" maxValue="61.67" count="4">
        <n v="61.67"/>
        <n v="36"/>
        <n v="33.200000000000003"/>
        <n v="58.6"/>
      </sharedItems>
    </cacheField>
    <cacheField name="Avg Casual" numFmtId="0">
      <sharedItems containsSemiMixedTypes="0" containsString="0" containsNumber="1" minValue="1" maxValue="5.3" count="4">
        <n v="5.3"/>
        <n v="1"/>
        <n v="2.04"/>
        <n v="4.9800000000000004"/>
      </sharedItems>
    </cacheField>
    <cacheField name="Avg Registered" numFmtId="0">
      <sharedItems containsSemiMixedTypes="0" containsString="0" containsNumber="1" minValue="31.17" maxValue="56.37"/>
    </cacheField>
    <cacheField name="Record Count" numFmtId="0">
      <sharedItems containsSemiMixedTypes="0" containsString="0" containsNumber="1" containsInteger="1" minValue="1" maxValue="606"/>
    </cacheField>
  </cacheFields>
  <extLst>
    <ext xmlns:x14="http://schemas.microsoft.com/office/spreadsheetml/2009/9/main" uri="{725AE2AE-9491-48be-B2B4-4EB974FC3084}">
      <x14:pivotCacheDefinition pivotCacheId="142228846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6392824075" createdVersion="8" refreshedVersion="8" minRefreshableVersion="3" recordCount="3" xr:uid="{4C2F55A1-8E27-4B39-813E-3DA9BDE7E0DD}">
  <cacheSource type="worksheet">
    <worksheetSource ref="A21:G24" sheet="Pivot Analysis Dashboard"/>
  </cacheSource>
  <cacheFields count="7">
    <cacheField name="Day Type" numFmtId="0">
      <sharedItems count="2">
        <s v="Weekday"/>
        <s v="Weekend"/>
      </sharedItems>
    </cacheField>
    <cacheField name="Working Day" numFmtId="0">
      <sharedItems count="2">
        <s v="Non-Working Day"/>
        <s v="Working Day"/>
      </sharedItems>
    </cacheField>
    <cacheField name="Total Rentals" numFmtId="0">
      <sharedItems containsSemiMixedTypes="0" containsString="0" containsNumber="1" containsInteger="1" minValue="1000" maxValue="41435"/>
    </cacheField>
    <cacheField name="Avg Rentals/Hr" numFmtId="0">
      <sharedItems containsSemiMixedTypes="0" containsString="0" containsNumber="1" minValue="41.67" maxValue="64.14"/>
    </cacheField>
    <cacheField name="Avg Casual" numFmtId="0">
      <sharedItems containsSemiMixedTypes="0" containsString="0" containsNumber="1" minValue="3.25" maxValue="8.19"/>
    </cacheField>
    <cacheField name="Avg Registered" numFmtId="0">
      <sharedItems containsSemiMixedTypes="0" containsString="0" containsNumber="1" minValue="36.79" maxValue="60.89"/>
    </cacheField>
    <cacheField name="Record Count" numFmtId="0">
      <sharedItems containsSemiMixedTypes="0" containsString="0" containsNumber="1" containsInteger="1" minValue="24" maxValue="646"/>
    </cacheField>
  </cacheFields>
  <extLst>
    <ext xmlns:x14="http://schemas.microsoft.com/office/spreadsheetml/2009/9/main" uri="{725AE2AE-9491-48be-B2B4-4EB974FC3084}">
      <x14:pivotCacheDefinition pivotCacheId="192814661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7327662036" createdVersion="8" refreshedVersion="8" minRefreshableVersion="3" recordCount="2" xr:uid="{23492EF2-7821-42CC-8319-6677E788FBA8}">
  <cacheSource type="worksheet">
    <worksheetSource ref="A28:D30" sheet="Pivot Analysis Dashboard"/>
  </cacheSource>
  <cacheFields count="4">
    <cacheField name="Temp Category" numFmtId="0">
      <sharedItems count="2">
        <s v="Cold"/>
        <s v="Mild"/>
      </sharedItems>
    </cacheField>
    <cacheField name="Total Rentals" numFmtId="0">
      <sharedItems containsSemiMixedTypes="0" containsString="0" containsNumber="1" containsInteger="1" minValue="16935" maxValue="41369" count="2">
        <n v="41369"/>
        <n v="16935"/>
      </sharedItems>
    </cacheField>
    <cacheField name="Avg Rentals/Hr" numFmtId="0">
      <sharedItems containsSemiMixedTypes="0" containsString="0" containsNumber="1" minValue="53.11" maxValue="76.63" count="2">
        <n v="53.11"/>
        <n v="76.63"/>
      </sharedItems>
    </cacheField>
    <cacheField name="Record Count" numFmtId="0">
      <sharedItems containsSemiMixedTypes="0" containsString="0" containsNumber="1" containsInteger="1" minValue="221" maxValue="779"/>
    </cacheField>
  </cacheFields>
  <extLst>
    <ext xmlns:x14="http://schemas.microsoft.com/office/spreadsheetml/2009/9/main" uri="{725AE2AE-9491-48be-B2B4-4EB974FC3084}">
      <x14:pivotCacheDefinition pivotCacheId="61748988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8099189811" createdVersion="8" refreshedVersion="8" minRefreshableVersion="3" recordCount="24" xr:uid="{2A768CFA-208D-4988-ADEA-BEECA8D9F54F}">
  <cacheSource type="worksheet">
    <worksheetSource ref="A34:H58" sheet="Pivot Analysis Dashboard"/>
  </cacheSource>
  <cacheFields count="8">
    <cacheField name="Hour" numFmtId="0">
      <sharedItems count="24">
        <s v="00:00"/>
        <s v="01:00"/>
        <s v="02:00"/>
        <s v="03:00"/>
        <s v="04:00"/>
        <s v="05:00"/>
        <s v="06:00"/>
        <s v="07:00"/>
        <s v="08:00"/>
        <s v="09:00"/>
        <s v="10:00"/>
        <s v="11:00"/>
        <s v="12:00"/>
        <s v="13:00"/>
        <s v="14:00"/>
        <s v="15:00"/>
        <s v="16:00"/>
        <s v="17:00"/>
        <s v="18:00"/>
        <s v="19:00"/>
        <s v="20:00"/>
        <s v="21:00"/>
        <s v="22:00"/>
        <s v="23:00"/>
      </sharedItems>
    </cacheField>
    <cacheField name="Mon" numFmtId="0">
      <sharedItems containsSemiMixedTypes="0" containsString="0" containsNumber="1" minValue="1.5" maxValue="161.19999999999999"/>
    </cacheField>
    <cacheField name="Tue" numFmtId="0">
      <sharedItems containsSemiMixedTypes="0" containsString="0" containsNumber="1" minValue="1.5" maxValue="202.4"/>
    </cacheField>
    <cacheField name="Wed" numFmtId="0">
      <sharedItems containsSemiMixedTypes="0" containsString="0" containsNumber="1" minValue="1.5" maxValue="163.80000000000001"/>
    </cacheField>
    <cacheField name="Thu" numFmtId="0">
      <sharedItems containsSemiMixedTypes="0" containsString="0" containsNumber="1" minValue="1.7" maxValue="207.2"/>
    </cacheField>
    <cacheField name="Fri" numFmtId="0">
      <sharedItems containsSemiMixedTypes="0" containsString="0" containsNumber="1" minValue="1" maxValue="196.3"/>
    </cacheField>
    <cacheField name="Sat" numFmtId="0">
      <sharedItems containsSemiMixedTypes="0" containsString="0" containsNumber="1" minValue="2.4" maxValue="110"/>
    </cacheField>
    <cacheField name="Sun" numFmtId="0">
      <sharedItems containsSemiMixedTypes="0" containsString="0" containsNumber="1" minValue="1.7" maxValue="117"/>
    </cacheField>
  </cacheFields>
  <extLst>
    <ext xmlns:x14="http://schemas.microsoft.com/office/spreadsheetml/2009/9/main" uri="{725AE2AE-9491-48be-B2B4-4EB974FC3084}">
      <x14:pivotCacheDefinition pivotCacheId="94717141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3931273148" createdVersion="8" refreshedVersion="8" minRefreshableVersion="3" recordCount="7" xr:uid="{8ACA0254-CD3D-4834-A1B4-4C922EFB1BC0}">
  <cacheSource type="worksheet">
    <worksheetSource ref="A62:F69" sheet="Pivot Analysis Dashboard"/>
  </cacheSource>
  <cacheFields count="6">
    <cacheField name="Hour Period" numFmtId="0">
      <sharedItems count="7">
        <s v="Late Night"/>
        <s v="Morning Rush"/>
        <s v="Mid Morning"/>
        <s v="Lunch"/>
        <s v="Afternoon"/>
        <s v="Evening Rush"/>
        <s v="Night"/>
      </sharedItems>
    </cacheField>
    <cacheField name="Casual Total" numFmtId="0">
      <sharedItems containsSemiMixedTypes="0" containsString="0" containsNumber="1" containsInteger="1" minValue="196" maxValue="1495" count="7">
        <n v="196"/>
        <n v="387"/>
        <n v="583"/>
        <n v="995"/>
        <n v="1495"/>
        <n v="804"/>
        <n v="461"/>
      </sharedItems>
    </cacheField>
    <cacheField name="Registered Total" numFmtId="0">
      <sharedItems containsSemiMixedTypes="0" containsString="0" containsNumber="1" containsInteger="1" minValue="1481" maxValue="14309" count="7">
        <n v="1481"/>
        <n v="11998"/>
        <n v="4164"/>
        <n v="5664"/>
        <n v="8985"/>
        <n v="14309"/>
        <n v="6782"/>
      </sharedItems>
    </cacheField>
    <cacheField name="Grand Total" numFmtId="0">
      <sharedItems containsSemiMixedTypes="0" containsString="0" containsNumber="1" containsInteger="1" minValue="1677" maxValue="15113" count="7">
        <n v="1677"/>
        <n v="12385"/>
        <n v="4747"/>
        <n v="6659"/>
        <n v="10480"/>
        <n v="15113"/>
        <n v="7243"/>
      </sharedItems>
    </cacheField>
    <cacheField name="Casual %" numFmtId="0">
      <sharedItems count="7">
        <s v="11.7%"/>
        <s v="3.1%"/>
        <s v="12.3%"/>
        <s v="14.9%"/>
        <s v="14.3%"/>
        <s v="5.3%"/>
        <s v="6.4%"/>
      </sharedItems>
    </cacheField>
    <cacheField name="Registered %" numFmtId="0">
      <sharedItems count="7">
        <s v="88.3%"/>
        <s v="96.9%"/>
        <s v="87.7%"/>
        <s v="85.1%"/>
        <s v="85.7%"/>
        <s v="94.7%"/>
        <s v="93.6%"/>
      </sharedItems>
    </cacheField>
  </cacheFields>
  <extLst>
    <ext xmlns:x14="http://schemas.microsoft.com/office/spreadsheetml/2009/9/main" uri="{725AE2AE-9491-48be-B2B4-4EB974FC3084}">
      <x14:pivotCacheDefinition pivotCacheId="205267386"/>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ree Mohanty" refreshedDate="46167.187596412034" createdVersion="8" refreshedVersion="8" minRefreshableVersion="3" recordCount="3" xr:uid="{0423E0F1-BA65-48DA-9DA5-2A69179742EB}">
  <cacheSource type="worksheet">
    <worksheetSource ref="U994:W997" sheet="Datasheet B"/>
  </cacheSource>
  <cacheFields count="3">
    <cacheField name="USERS" numFmtId="49">
      <sharedItems count="3">
        <s v="Count"/>
        <s v="Casual Users"/>
        <s v=" Registered Users"/>
      </sharedItems>
    </cacheField>
    <cacheField name="Total" numFmtId="49">
      <sharedItems containsSemiMixedTypes="0" containsString="0" containsNumber="1" containsInteger="1" minValue="4921" maxValue="58304" count="3">
        <n v="58304"/>
        <n v="4921"/>
        <n v="53383"/>
      </sharedItems>
    </cacheField>
    <cacheField name="Average" numFmtId="49">
      <sharedItems containsSemiMixedTypes="0" containsString="0" containsNumber="1" minValue="4.9210000000000003" maxValue="58.304000000000002" count="3">
        <n v="58.304000000000002"/>
        <n v="4.9210000000000003"/>
        <n v="53.383000000000003"/>
      </sharedItems>
    </cacheField>
  </cacheFields>
  <extLst>
    <ext xmlns:x14="http://schemas.microsoft.com/office/spreadsheetml/2009/9/main" uri="{725AE2AE-9491-48be-B2B4-4EB974FC3084}">
      <x14:pivotCacheDefinition pivotCacheId="674750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r>
  <r>
    <x v="1"/>
    <x v="1"/>
    <x v="1"/>
    <x v="1"/>
    <x v="0"/>
    <x v="1"/>
  </r>
  <r>
    <x v="2"/>
    <x v="2"/>
    <x v="2"/>
    <x v="2"/>
    <x v="1"/>
    <x v="2"/>
  </r>
  <r>
    <x v="3"/>
    <x v="3"/>
    <x v="3"/>
    <x v="3"/>
    <x v="2"/>
    <x v="3"/>
  </r>
  <r>
    <x v="4"/>
    <x v="4"/>
    <x v="4"/>
    <x v="3"/>
    <x v="3"/>
    <x v="4"/>
  </r>
  <r>
    <x v="5"/>
    <x v="5"/>
    <x v="5"/>
    <x v="4"/>
    <x v="4"/>
    <x v="4"/>
  </r>
  <r>
    <x v="6"/>
    <x v="6"/>
    <x v="6"/>
    <x v="5"/>
    <x v="5"/>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x v="0"/>
    <n v="56.37"/>
    <n v="606"/>
  </r>
  <r>
    <x v="1"/>
    <x v="1"/>
    <x v="1"/>
    <x v="1"/>
    <n v="35"/>
    <n v="1"/>
  </r>
  <r>
    <x v="2"/>
    <x v="2"/>
    <x v="2"/>
    <x v="2"/>
    <n v="31.17"/>
    <n v="84"/>
  </r>
  <r>
    <x v="3"/>
    <x v="3"/>
    <x v="3"/>
    <x v="3"/>
    <n v="53.62"/>
    <n v="30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n v="1000"/>
    <n v="41.67"/>
    <n v="4.88"/>
    <n v="36.79"/>
    <n v="24"/>
  </r>
  <r>
    <x v="0"/>
    <x v="1"/>
    <n v="41435"/>
    <n v="64.14"/>
    <n v="3.25"/>
    <n v="60.89"/>
    <n v="646"/>
  </r>
  <r>
    <x v="1"/>
    <x v="0"/>
    <n v="15869"/>
    <n v="48.09"/>
    <n v="8.19"/>
    <n v="39.9"/>
    <n v="33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x v="0"/>
    <n v="779"/>
  </r>
  <r>
    <x v="1"/>
    <x v="1"/>
    <x v="1"/>
    <n v="22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9.6"/>
    <n v="8.8000000000000007"/>
    <n v="8.6999999999999993"/>
    <n v="11.8"/>
    <n v="14.7"/>
    <n v="25.6"/>
    <n v="30.6"/>
  </r>
  <r>
    <x v="1"/>
    <n v="5.6"/>
    <n v="3.4"/>
    <n v="5.7"/>
    <n v="4.5999999999999996"/>
    <n v="5.8"/>
    <n v="21.4"/>
    <n v="23.1"/>
  </r>
  <r>
    <x v="2"/>
    <n v="3.4"/>
    <n v="2"/>
    <n v="3.8"/>
    <n v="2.2000000000000002"/>
    <n v="1.7"/>
    <n v="16.899999999999999"/>
    <n v="15"/>
  </r>
  <r>
    <x v="3"/>
    <n v="1.5"/>
    <n v="1.5"/>
    <n v="1.5"/>
    <n v="1.7"/>
    <n v="1"/>
    <n v="9.1"/>
    <n v="9"/>
  </r>
  <r>
    <x v="4"/>
    <n v="2"/>
    <n v="2"/>
    <n v="1.7"/>
    <n v="1.8"/>
    <n v="1"/>
    <n v="3.6"/>
    <n v="1.7"/>
  </r>
  <r>
    <x v="5"/>
    <n v="4.7"/>
    <n v="4.8"/>
    <n v="4.3"/>
    <n v="4.2"/>
    <n v="5.5"/>
    <n v="3.4"/>
    <n v="2"/>
  </r>
  <r>
    <x v="6"/>
    <n v="24.9"/>
    <n v="32"/>
    <n v="25"/>
    <n v="32.799999999999997"/>
    <n v="24.3"/>
    <n v="2.4"/>
    <n v="1.8"/>
  </r>
  <r>
    <x v="7"/>
    <n v="71.900000000000006"/>
    <n v="90.6"/>
    <n v="68.3"/>
    <n v="90.8"/>
    <n v="73.8"/>
    <n v="7.1"/>
    <n v="3.7"/>
  </r>
  <r>
    <x v="8"/>
    <n v="161.19999999999999"/>
    <n v="202.4"/>
    <n v="157.69999999999999"/>
    <n v="207.2"/>
    <n v="196.3"/>
    <n v="21"/>
    <n v="14.6"/>
  </r>
  <r>
    <x v="9"/>
    <n v="93.5"/>
    <n v="125"/>
    <n v="101.5"/>
    <n v="131.80000000000001"/>
    <n v="130.80000000000001"/>
    <n v="29.1"/>
    <n v="32.700000000000003"/>
  </r>
  <r>
    <x v="10"/>
    <n v="49.3"/>
    <n v="49.2"/>
    <n v="48.5"/>
    <n v="45.4"/>
    <n v="52.3"/>
    <n v="54.6"/>
    <n v="71"/>
  </r>
  <r>
    <x v="11"/>
    <n v="47.7"/>
    <n v="50.8"/>
    <n v="44.5"/>
    <n v="54.6"/>
    <n v="56.2"/>
    <n v="68.3"/>
    <n v="85.6"/>
  </r>
  <r>
    <x v="12"/>
    <n v="65"/>
    <n v="60.7"/>
    <n v="62.8"/>
    <n v="71.599999999999994"/>
    <n v="64"/>
    <n v="84.4"/>
    <n v="117"/>
  </r>
  <r>
    <x v="13"/>
    <n v="64.3"/>
    <n v="61"/>
    <n v="64.8"/>
    <n v="72.2"/>
    <n v="74.3"/>
    <n v="93.3"/>
    <n v="110.7"/>
  </r>
  <r>
    <x v="14"/>
    <n v="66.8"/>
    <n v="56.7"/>
    <n v="56.3"/>
    <n v="57.6"/>
    <n v="64.8"/>
    <n v="95.4"/>
    <n v="110.9"/>
  </r>
  <r>
    <x v="15"/>
    <n v="60.2"/>
    <n v="55.7"/>
    <n v="62.7"/>
    <n v="60.4"/>
    <n v="68.3"/>
    <n v="110"/>
    <n v="114.1"/>
  </r>
  <r>
    <x v="16"/>
    <n v="83.7"/>
    <n v="80.5"/>
    <n v="79.8"/>
    <n v="72.8"/>
    <n v="96.3"/>
    <n v="100.4"/>
    <n v="106.6"/>
  </r>
  <r>
    <x v="17"/>
    <n v="161.19999999999999"/>
    <n v="174.5"/>
    <n v="151.30000000000001"/>
    <n v="162.19999999999999"/>
    <n v="178.7"/>
    <n v="84.6"/>
    <n v="87.1"/>
  </r>
  <r>
    <x v="18"/>
    <n v="148"/>
    <n v="159.19999999999999"/>
    <n v="163.80000000000001"/>
    <n v="150.5"/>
    <n v="136.69999999999999"/>
    <n v="63.3"/>
    <n v="65"/>
  </r>
  <r>
    <x v="19"/>
    <n v="101.7"/>
    <n v="102.8"/>
    <n v="101.2"/>
    <n v="108.3"/>
    <n v="96"/>
    <n v="54.7"/>
    <n v="45.6"/>
  </r>
  <r>
    <x v="20"/>
    <n v="67.7"/>
    <n v="69.7"/>
    <n v="76"/>
    <n v="87.3"/>
    <n v="61.3"/>
    <n v="43.1"/>
    <n v="36.9"/>
  </r>
  <r>
    <x v="21"/>
    <n v="51.7"/>
    <n v="45.3"/>
    <n v="61"/>
    <n v="51.5"/>
    <n v="46.7"/>
    <n v="44.3"/>
    <n v="30"/>
  </r>
  <r>
    <x v="22"/>
    <n v="27.2"/>
    <n v="35.799999999999997"/>
    <n v="44"/>
    <n v="42.8"/>
    <n v="36.799999999999997"/>
    <n v="34.299999999999997"/>
    <n v="27.4"/>
  </r>
  <r>
    <x v="23"/>
    <n v="16.7"/>
    <n v="19.7"/>
    <n v="27.2"/>
    <n v="26.2"/>
    <n v="29.3"/>
    <n v="37.4"/>
    <n v="19.10000000000000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x v="0"/>
    <x v="0"/>
  </r>
  <r>
    <x v="1"/>
    <x v="1"/>
    <x v="1"/>
    <x v="1"/>
    <x v="1"/>
    <x v="1"/>
  </r>
  <r>
    <x v="2"/>
    <x v="2"/>
    <x v="2"/>
    <x v="2"/>
    <x v="2"/>
    <x v="2"/>
  </r>
  <r>
    <x v="3"/>
    <x v="3"/>
    <x v="3"/>
    <x v="3"/>
    <x v="3"/>
    <x v="3"/>
  </r>
  <r>
    <x v="4"/>
    <x v="4"/>
    <x v="4"/>
    <x v="4"/>
    <x v="4"/>
    <x v="4"/>
  </r>
  <r>
    <x v="5"/>
    <x v="5"/>
    <x v="5"/>
    <x v="5"/>
    <x v="5"/>
    <x v="5"/>
  </r>
  <r>
    <x v="6"/>
    <x v="6"/>
    <x v="6"/>
    <x v="6"/>
    <x v="6"/>
    <x v="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x v="0"/>
  </r>
  <r>
    <x v="1"/>
    <x v="1"/>
    <x v="1"/>
  </r>
  <r>
    <x v="2"/>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C9E7D-D351-4ABB-A278-11F932C1004C}"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3">
    <pivotField axis="axisRow" showAll="0">
      <items count="4">
        <item x="2"/>
        <item x="1"/>
        <item x="0"/>
        <item t="default"/>
      </items>
    </pivotField>
    <pivotField dataField="1" numFmtId="49" showAll="0">
      <items count="4">
        <item x="1"/>
        <item x="2"/>
        <item x="0"/>
        <item t="default"/>
      </items>
    </pivotField>
    <pivotField dataField="1" numFmtId="49" showAll="0">
      <items count="4">
        <item x="1"/>
        <item x="2"/>
        <item x="0"/>
        <item t="default"/>
      </items>
    </pivotField>
  </pivotFields>
  <rowFields count="1">
    <field x="0"/>
  </rowFields>
  <rowItems count="4">
    <i>
      <x/>
    </i>
    <i>
      <x v="1"/>
    </i>
    <i>
      <x v="2"/>
    </i>
    <i t="grand">
      <x/>
    </i>
  </rowItems>
  <colFields count="1">
    <field x="-2"/>
  </colFields>
  <colItems count="2">
    <i>
      <x/>
    </i>
    <i i="1">
      <x v="1"/>
    </i>
  </colItems>
  <dataFields count="2">
    <dataField name="Sum of Total" fld="1" baseField="0" baseItem="0" numFmtId="49"/>
    <dataField name="Sum of Average" fld="2" baseField="0" baseItem="0" numFmtId="49"/>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0" count="1" selected="0">
            <x v="0"/>
          </reference>
        </references>
      </pivotArea>
    </chartFormat>
    <chartFormat chart="3" format="8">
      <pivotArea type="data" outline="0" fieldPosition="0">
        <references count="2">
          <reference field="4294967294" count="1" selected="0">
            <x v="1"/>
          </reference>
          <reference field="0" count="1" selected="0">
            <x v="1"/>
          </reference>
        </references>
      </pivotArea>
    </chartFormat>
    <chartFormat chart="3" format="9">
      <pivotArea type="data" outline="0" fieldPosition="0">
        <references count="2">
          <reference field="4294967294" count="1" selected="0">
            <x v="1"/>
          </reference>
          <reference field="0"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0" count="1" selected="0">
            <x v="0"/>
          </reference>
        </references>
      </pivotArea>
    </chartFormat>
    <chartFormat chart="4" format="16">
      <pivotArea type="data" outline="0" fieldPosition="0">
        <references count="2">
          <reference field="4294967294" count="1" selected="0">
            <x v="1"/>
          </reference>
          <reference field="0" count="1" selected="0">
            <x v="1"/>
          </reference>
        </references>
      </pivotArea>
    </chartFormat>
    <chartFormat chart="4" format="17">
      <pivotArea type="data" outline="0" fieldPosition="0">
        <references count="2">
          <reference field="4294967294" count="1" selected="0">
            <x v="1"/>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1"/>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99DE2-5FA6-4046-B63A-8A9BF7F109E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11" firstHeaderRow="0" firstDataRow="1" firstDataCol="1"/>
  <pivotFields count="6">
    <pivotField axis="axisRow" showAll="0">
      <items count="8">
        <item x="4"/>
        <item x="5"/>
        <item x="0"/>
        <item x="3"/>
        <item x="2"/>
        <item x="1"/>
        <item x="6"/>
        <item t="default"/>
      </items>
    </pivotField>
    <pivotField dataField="1" showAll="0"/>
    <pivotField dataField="1" showAll="0"/>
    <pivotField dataField="1" showAll="0">
      <items count="7">
        <item x="0"/>
        <item x="2"/>
        <item x="5"/>
        <item x="3"/>
        <item x="4"/>
        <item x="1"/>
        <item t="default"/>
      </items>
    </pivotField>
    <pivotField dataField="1" showAll="0">
      <items count="7">
        <item x="0"/>
        <item x="2"/>
        <item x="5"/>
        <item x="4"/>
        <item x="3"/>
        <item x="1"/>
        <item t="default"/>
      </items>
    </pivotField>
    <pivotField dataField="1" showAl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Sum of Total Rentals" fld="1" baseField="0" baseItem="0"/>
    <dataField name="Sum of Avg Rentals/Hr" fld="2" baseField="0" baseItem="0"/>
    <dataField name="Sum of Max Rentals" fld="3" baseField="0" baseItem="0"/>
    <dataField name="Sum of Min Rentals" fld="4" baseField="0" baseItem="0"/>
    <dataField name="Sum of Record Count" fld="5"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2" format="15">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F74197-69B7-4EA7-852D-A343B231CBF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5" firstHeaderRow="0" firstDataRow="1" firstDataCol="1"/>
  <pivotFields count="6">
    <pivotField axis="axisRow" showAll="0">
      <items count="5">
        <item x="0"/>
        <item x="1"/>
        <item x="2"/>
        <item x="3"/>
        <item t="default"/>
      </items>
    </pivotField>
    <pivotField dataField="1" showAll="0">
      <items count="5">
        <item h="1" x="1"/>
        <item x="2"/>
        <item h="1" x="3"/>
        <item h="1" x="0"/>
        <item t="default"/>
      </items>
    </pivotField>
    <pivotField dataField="1" showAll="0">
      <items count="5">
        <item x="2"/>
        <item x="1"/>
        <item x="3"/>
        <item x="0"/>
        <item t="default"/>
      </items>
    </pivotField>
    <pivotField dataField="1" showAll="0">
      <items count="5">
        <item x="1"/>
        <item x="2"/>
        <item x="3"/>
        <item x="0"/>
        <item t="default"/>
      </items>
    </pivotField>
    <pivotField dataField="1" showAll="0"/>
    <pivotField dataField="1" showAll="0"/>
  </pivotFields>
  <rowFields count="1">
    <field x="0"/>
  </rowFields>
  <rowItems count="2">
    <i>
      <x v="2"/>
    </i>
    <i t="grand">
      <x/>
    </i>
  </rowItems>
  <colFields count="1">
    <field x="-2"/>
  </colFields>
  <colItems count="5">
    <i>
      <x/>
    </i>
    <i i="1">
      <x v="1"/>
    </i>
    <i i="2">
      <x v="2"/>
    </i>
    <i i="3">
      <x v="3"/>
    </i>
    <i i="4">
      <x v="4"/>
    </i>
  </colItems>
  <dataFields count="5">
    <dataField name="Sum of Total Rentals" fld="1" baseField="0" baseItem="0"/>
    <dataField name="Sum of Avg Rentals/Hr" fld="2" baseField="0" baseItem="0"/>
    <dataField name="Sum of Avg Casual" fld="3" baseField="0" baseItem="0"/>
    <dataField name="Sum of Avg Registered" fld="4" baseField="0" baseItem="0"/>
    <dataField name="Sum of Record Count"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5"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1"/>
          </reference>
        </references>
      </pivotArea>
    </chartFormat>
    <chartFormat chart="4" format="17" series="1">
      <pivotArea type="data" outline="0" fieldPosition="0">
        <references count="1">
          <reference field="4294967294" count="1" selected="0">
            <x v="2"/>
          </reference>
        </references>
      </pivotArea>
    </chartFormat>
    <chartFormat chart="4" format="18" series="1">
      <pivotArea type="data" outline="0" fieldPosition="0">
        <references count="1">
          <reference field="4294967294" count="1" selected="0">
            <x v="3"/>
          </reference>
        </references>
      </pivotArea>
    </chartFormat>
    <chartFormat chart="4" format="1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C7431C-9A84-4FE7-8B09-E55200E10F6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7" firstHeaderRow="0" firstDataRow="1" firstDataCol="1"/>
  <pivotFields count="7">
    <pivotField axis="axisRow" showAll="0">
      <items count="3">
        <item x="0"/>
        <item h="1" x="1"/>
        <item t="default"/>
      </items>
    </pivotField>
    <pivotField axis="axisRow" showAll="0">
      <items count="3">
        <item x="0"/>
        <item x="1"/>
        <item t="default"/>
      </items>
    </pivotField>
    <pivotField dataField="1" showAll="0"/>
    <pivotField dataField="1" showAll="0"/>
    <pivotField dataField="1" showAll="0"/>
    <pivotField dataField="1" showAll="0"/>
    <pivotField dataField="1" showAll="0"/>
  </pivotFields>
  <rowFields count="2">
    <field x="0"/>
    <field x="1"/>
  </rowFields>
  <rowItems count="4">
    <i>
      <x/>
    </i>
    <i r="1">
      <x/>
    </i>
    <i r="1">
      <x v="1"/>
    </i>
    <i t="grand">
      <x/>
    </i>
  </rowItems>
  <colFields count="1">
    <field x="-2"/>
  </colFields>
  <colItems count="5">
    <i>
      <x/>
    </i>
    <i i="1">
      <x v="1"/>
    </i>
    <i i="2">
      <x v="2"/>
    </i>
    <i i="3">
      <x v="3"/>
    </i>
    <i i="4">
      <x v="4"/>
    </i>
  </colItems>
  <dataFields count="5">
    <dataField name="Sum of Total Rentals" fld="2" baseField="0" baseItem="0"/>
    <dataField name="Sum of Avg Rentals/Hr" fld="3" baseField="0" baseItem="0"/>
    <dataField name="Sum of Avg Casual" fld="4" baseField="0" baseItem="0"/>
    <dataField name="Sum of Record Count" fld="6" baseField="0" baseItem="0"/>
    <dataField name="Sum of Avg Registered" fld="5" baseField="0" baseItem="0"/>
  </dataFields>
  <chartFormats count="10">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2"/>
          </reference>
        </references>
      </pivotArea>
    </chartFormat>
    <chartFormat chart="9" format="13" series="1">
      <pivotArea type="data" outline="0" fieldPosition="0">
        <references count="1">
          <reference field="4294967294" count="1" selected="0">
            <x v="3"/>
          </reference>
        </references>
      </pivotArea>
    </chartFormat>
    <chartFormat chart="9"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425A28-4652-4C76-A7D5-6721DCEA624E}"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6" firstHeaderRow="0" firstDataRow="1" firstDataCol="1"/>
  <pivotFields count="4">
    <pivotField axis="axisRow" showAll="0">
      <items count="3">
        <item x="0"/>
        <item x="1"/>
        <item t="default"/>
      </items>
    </pivotField>
    <pivotField dataField="1" showAll="0">
      <items count="3">
        <item x="1"/>
        <item x="0"/>
        <item t="default"/>
      </items>
    </pivotField>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Sum of Total Rentals" fld="1" baseField="0" baseItem="0"/>
    <dataField name="Sum of Avg Rentals/Hr" fld="2" baseField="0" baseItem="0"/>
    <dataField name="Sum of Record Count"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series="1">
      <pivotArea type="data" outline="0" fieldPosition="0">
        <references count="1">
          <reference field="4294967294" count="1" selected="0">
            <x v="1"/>
          </reference>
        </references>
      </pivotArea>
    </chartFormat>
    <chartFormat chart="2" format="16">
      <pivotArea type="data" outline="0" fieldPosition="0">
        <references count="2">
          <reference field="4294967294" count="1" selected="0">
            <x v="1"/>
          </reference>
          <reference field="0" count="1" selected="0">
            <x v="0"/>
          </reference>
        </references>
      </pivotArea>
    </chartFormat>
    <chartFormat chart="2" format="17">
      <pivotArea type="data" outline="0" fieldPosition="0">
        <references count="2">
          <reference field="4294967294" count="1" selected="0">
            <x v="1"/>
          </reference>
          <reference field="0" count="1" selected="0">
            <x v="1"/>
          </reference>
        </references>
      </pivotArea>
    </chartFormat>
    <chartFormat chart="2" format="18" series="1">
      <pivotArea type="data" outline="0" fieldPosition="0">
        <references count="1">
          <reference field="4294967294" count="1" selected="0">
            <x v="2"/>
          </reference>
        </references>
      </pivotArea>
    </chartFormat>
    <chartFormat chart="2" format="19">
      <pivotArea type="data" outline="0" fieldPosition="0">
        <references count="2">
          <reference field="4294967294" count="1" selected="0">
            <x v="2"/>
          </reference>
          <reference field="0" count="1" selected="0">
            <x v="0"/>
          </reference>
        </references>
      </pivotArea>
    </chartFormat>
    <chartFormat chart="2" format="20">
      <pivotArea type="data" outline="0" fieldPosition="0">
        <references count="2">
          <reference field="4294967294" count="1" selected="0">
            <x v="2"/>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
          </reference>
        </references>
      </pivotArea>
    </chartFormat>
    <chartFormat chart="0" format="7">
      <pivotArea type="data" outline="0" fieldPosition="0">
        <references count="2">
          <reference field="4294967294" count="1" selected="0">
            <x v="2"/>
          </reference>
          <reference field="0" count="1" selected="0">
            <x v="0"/>
          </reference>
        </references>
      </pivotArea>
    </chartFormat>
    <chartFormat chart="0" format="8">
      <pivotArea type="data" outline="0" fieldPosition="0">
        <references count="2">
          <reference field="4294967294" count="1" selected="0">
            <x v="2"/>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CC0F79-BD89-49D6-B6C1-A7AE8BD1ADF4}"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28" firstHeaderRow="0" firstDataRow="1" firstDataCol="1"/>
  <pivotFields count="8">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7">
    <i>
      <x/>
    </i>
    <i i="1">
      <x v="1"/>
    </i>
    <i i="2">
      <x v="2"/>
    </i>
    <i i="3">
      <x v="3"/>
    </i>
    <i i="4">
      <x v="4"/>
    </i>
    <i i="5">
      <x v="5"/>
    </i>
    <i i="6">
      <x v="6"/>
    </i>
  </colItems>
  <dataFields count="7">
    <dataField name="Sum of Mon" fld="1" baseField="0" baseItem="0"/>
    <dataField name="Sum of Tue" fld="2" baseField="0" baseItem="0"/>
    <dataField name="Sum of Wed" fld="3" baseField="0" baseItem="0"/>
    <dataField name="Sum of Thu" fld="4" baseField="0" baseItem="0"/>
    <dataField name="Sum of Fri" fld="5" baseField="0" baseItem="0"/>
    <dataField name="Sum of Sat" fld="6" baseField="0" baseItem="0"/>
    <dataField name="Sum of Sun" fld="7" baseField="0" baseItem="0"/>
  </dataFields>
  <chartFormats count="1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5" format="5" series="1">
      <pivotArea type="data" outline="0" fieldPosition="0">
        <references count="1">
          <reference field="4294967294" count="1" selected="0">
            <x v="5"/>
          </reference>
        </references>
      </pivotArea>
    </chartFormat>
    <chartFormat chart="5" format="6" series="1">
      <pivotArea type="data" outline="0" fieldPosition="0">
        <references count="1">
          <reference field="4294967294" count="1" selected="0">
            <x v="6"/>
          </reference>
        </references>
      </pivotArea>
    </chartFormat>
    <chartFormat chart="7" format="14" series="1">
      <pivotArea type="data" outline="0" fieldPosition="0">
        <references count="1">
          <reference field="4294967294" count="1" selected="0">
            <x v="0"/>
          </reference>
        </references>
      </pivotArea>
    </chartFormat>
    <chartFormat chart="7" format="15" series="1">
      <pivotArea type="data" outline="0" fieldPosition="0">
        <references count="1">
          <reference field="4294967294" count="1" selected="0">
            <x v="1"/>
          </reference>
        </references>
      </pivotArea>
    </chartFormat>
    <chartFormat chart="7" format="16" series="1">
      <pivotArea type="data" outline="0" fieldPosition="0">
        <references count="1">
          <reference field="4294967294" count="1" selected="0">
            <x v="2"/>
          </reference>
        </references>
      </pivotArea>
    </chartFormat>
    <chartFormat chart="7" format="17" series="1">
      <pivotArea type="data" outline="0" fieldPosition="0">
        <references count="1">
          <reference field="4294967294" count="1" selected="0">
            <x v="3"/>
          </reference>
        </references>
      </pivotArea>
    </chartFormat>
    <chartFormat chart="7" format="18" series="1">
      <pivotArea type="data" outline="0" fieldPosition="0">
        <references count="1">
          <reference field="4294967294" count="1" selected="0">
            <x v="4"/>
          </reference>
        </references>
      </pivotArea>
    </chartFormat>
    <chartFormat chart="7" format="19" series="1">
      <pivotArea type="data" outline="0" fieldPosition="0">
        <references count="1">
          <reference field="4294967294" count="1" selected="0">
            <x v="5"/>
          </reference>
        </references>
      </pivotArea>
    </chartFormat>
    <chartFormat chart="7" format="2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EBD70-3DBB-4887-84FB-B365E1CF36CC}"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1" firstHeaderRow="0" firstDataRow="1" firstDataCol="1"/>
  <pivotFields count="6">
    <pivotField axis="axisRow" showAll="0">
      <items count="8">
        <item sd="0" x="4"/>
        <item sd="0" x="5"/>
        <item sd="0" x="0"/>
        <item sd="0" x="3"/>
        <item sd="0" x="2"/>
        <item sd="0" x="1"/>
        <item sd="0" x="6"/>
        <item t="default"/>
      </items>
    </pivotField>
    <pivotField dataField="1" showAll="0"/>
    <pivotField dataField="1" showAll="0"/>
    <pivotField dataField="1" showAll="0"/>
    <pivotField axis="axisRow" showAll="0">
      <items count="8">
        <item x="0"/>
        <item x="2"/>
        <item x="4"/>
        <item x="3"/>
        <item x="1"/>
        <item x="5"/>
        <item x="6"/>
        <item t="default"/>
      </items>
    </pivotField>
    <pivotField axis="axisRow" showAll="0">
      <items count="8">
        <item x="3"/>
        <item x="4"/>
        <item x="2"/>
        <item x="0"/>
        <item x="6"/>
        <item x="5"/>
        <item x="1"/>
        <item t="default"/>
      </items>
    </pivotField>
  </pivotFields>
  <rowFields count="3">
    <field x="0"/>
    <field x="5"/>
    <field x="4"/>
  </rowFields>
  <rowItems count="8">
    <i>
      <x/>
    </i>
    <i>
      <x v="1"/>
    </i>
    <i>
      <x v="2"/>
    </i>
    <i>
      <x v="3"/>
    </i>
    <i>
      <x v="4"/>
    </i>
    <i>
      <x v="5"/>
    </i>
    <i>
      <x v="6"/>
    </i>
    <i t="grand">
      <x/>
    </i>
  </rowItems>
  <colFields count="1">
    <field x="-2"/>
  </colFields>
  <colItems count="3">
    <i>
      <x/>
    </i>
    <i i="1">
      <x v="1"/>
    </i>
    <i i="2">
      <x v="2"/>
    </i>
  </colItems>
  <dataFields count="3">
    <dataField name="Sum of Casual Total" fld="1" baseField="0" baseItem="0"/>
    <dataField name="Sum of Grand Total" fld="3" baseField="0" baseItem="0"/>
    <dataField name="Sum of Registered Total"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DF9EC440-FECE-43FE-9C17-B129F6DAD2EF}" sourceName="Hour">
  <pivotTables>
    <pivotTable tabId="36" name="PivotTable13"/>
  </pivotTables>
  <data>
    <tabular pivotCacheId="947171419">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FC038A49-06F7-4B57-9CDE-1554CF28A27D}" sourceName="Day Type">
  <pivotTables>
    <pivotTable tabId="34" name="PivotTable11"/>
  </pivotTables>
  <data>
    <tabular pivotCacheId="1928146611">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Day" xr10:uid="{A4E5B22D-25E8-41FD-9DC8-A69DACF64B83}" sourceName="Working Day">
  <pivotTables>
    <pivotTable tabId="34" name="PivotTable11"/>
  </pivotTables>
  <data>
    <tabular pivotCacheId="192814661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A3471778-E63D-4FB6-8DE0-FC12C84C4127}" sourceName="Weather Condition">
  <pivotTables>
    <pivotTable tabId="33" name="PivotTable10"/>
  </pivotTables>
  <data>
    <tabular pivotCacheId="1422288466">
      <items count="4">
        <i x="2" s="1"/>
        <i x="0" s="1" nd="1"/>
        <i x="1"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ntals" xr10:uid="{9433E8B8-9847-4610-991F-A7AB0C751921}" sourceName="Total Rentals">
  <pivotTables>
    <pivotTable tabId="33" name="PivotTable10"/>
  </pivotTables>
  <data>
    <tabular pivotCacheId="1422288466">
      <items count="4">
        <i x="1"/>
        <i x="2" s="1"/>
        <i x="3"/>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Rentals_Hr" xr10:uid="{C297AAE3-66D3-4EEA-B068-DD922758F206}" sourceName="Avg Rentals/Hr">
  <pivotTables>
    <pivotTable tabId="33" name="PivotTable10"/>
  </pivotTables>
  <data>
    <tabular pivotCacheId="1422288466">
      <items count="4">
        <i x="2" s="1"/>
        <i x="1" s="1" nd="1"/>
        <i x="3"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Casual" xr10:uid="{D697DA41-B349-4E30-82F7-20F567FEE6D4}" sourceName="Avg Casual">
  <pivotTables>
    <pivotTable tabId="33" name="PivotTable10"/>
  </pivotTables>
  <data>
    <tabular pivotCacheId="1422288466">
      <items count="4">
        <i x="2" s="1"/>
        <i x="1" s="1" nd="1"/>
        <i x="3" s="1" nd="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fternoon" xr10:uid="{1EAE32B9-BB7C-4303-AA34-678B45F2C595}" sourceName="Afternoon">
  <pivotTables>
    <pivotTable tabId="31" name="PivotTable8"/>
  </pivotTables>
  <data>
    <tabular pivotCacheId="1414058620">
      <items count="7">
        <i x="4" s="1"/>
        <i x="5" s="1"/>
        <i x="0" s="1"/>
        <i x="3" s="1"/>
        <i x="2" s="1"/>
        <i x="1"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Category" xr10:uid="{9E6B3D91-6326-4599-9541-82AC956B3FC9}" sourceName="Temp Category">
  <pivotTables>
    <pivotTable tabId="35" name="PivotTable12"/>
  </pivotTables>
  <data>
    <tabular pivotCacheId="617489888">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Rentals" xr10:uid="{C108D0ED-CDF7-4354-A788-AA1E17E6374A}" sourceName="Min Rentals">
  <pivotTables>
    <pivotTable tabId="31" name="PivotTable8"/>
  </pivotTables>
  <data>
    <tabular pivotCacheId="1414058620">
      <items count="6">
        <i x="0" s="1"/>
        <i x="2" s="1"/>
        <i x="5" s="1"/>
        <i x="4" s="1"/>
        <i x="3" s="1"/>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Rentals" xr10:uid="{122B5FB1-FDFC-48C7-9330-2D63C0005EC9}" sourceName="Max Rentals">
  <pivotTables>
    <pivotTable tabId="31" name="PivotTable8"/>
  </pivotTables>
  <data>
    <tabular pivotCacheId="1414058620">
      <items count="6">
        <i x="0" s="1"/>
        <i x="2" s="1"/>
        <i x="5" s="1"/>
        <i x="3" s="1"/>
        <i x="4"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S" xr10:uid="{8383397C-A59E-4D78-9557-22DB10E730CD}" sourceName="USERS">
  <pivotTables>
    <pivotTable tabId="48" name="PivotTable6"/>
  </pivotTables>
  <data>
    <tabular pivotCacheId="674750046">
      <items count="3">
        <i x="2" s="1"/>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 xr10:uid="{2A8F601E-0745-4CDE-969A-D6BD842B6079}" sourceName="Total">
  <pivotTables>
    <pivotTable tabId="48" name="PivotTable6"/>
  </pivotTables>
  <data>
    <tabular pivotCacheId="674750046">
      <items count="3">
        <i x="1" s="1"/>
        <i x="2"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 xr10:uid="{3E385B56-0361-447D-B9A6-3D9A9820C71B}" sourceName="Average">
  <pivotTables>
    <pivotTable tabId="48" name="PivotTable6"/>
  </pivotTables>
  <data>
    <tabular pivotCacheId="67475004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 xr10:uid="{7178A180-02F0-42B8-B374-E9AF46BB1C7E}" cache="Slicer_Hour" caption="Hour" rowHeight="234950"/>
  <slicer name="Day Type" xr10:uid="{52AA50EA-9029-4842-8189-8E449C2C228D}" cache="Slicer_Day_Type" caption="Day Type" rowHeight="234950"/>
  <slicer name="Working Day" xr10:uid="{A1B89248-8B60-4B2C-9984-4576F03423D9}" cache="Slicer_Working_Day" caption="Working Day" rowHeight="234950"/>
  <slicer name="Weather Condition" xr10:uid="{2348F978-2A03-42CE-B718-112F9BBAEA82}" cache="Slicer_Weather_Condition" caption="Weather Condition" rowHeight="234950"/>
  <slicer name="Total Rentals" xr10:uid="{60A3771C-5378-406C-9FEF-C1C320A5E975}" cache="Slicer_Total_Rentals" caption="Total Rentals" rowHeight="234950"/>
  <slicer name="Avg Rentals/Hr" xr10:uid="{45834029-E419-44F7-BC0B-C571DC1AAA27}" cache="Slicer_Avg_Rentals_Hr" caption="Avg Rentals/Hr" rowHeight="234950"/>
  <slicer name="Avg Casual" xr10:uid="{2794BACE-ED1D-4677-A564-B7678C365040}" cache="Slicer_Avg_Casual" caption="Avg Casual" rowHeight="234950"/>
  <slicer name="Afternoon" xr10:uid="{34BE6A52-4EFE-45BF-ABE8-82A7DC0813EC}" cache="Slicer_Afternoon" caption="Afternoon" rowHeight="234950"/>
  <slicer name="Temp Category" xr10:uid="{CB147748-20D5-45E2-BBD0-92289CEB29BD}" cache="Slicer_Temp_Category" caption="Temp Category" rowHeight="234950"/>
  <slicer name="Min Rentals" xr10:uid="{B78E6192-FA5D-4010-AF0A-10B0702203AD}" cache="Slicer_Min_Rentals" caption="Min Rentals" startItem="4" rowHeight="234950"/>
  <slicer name="Max Rentals" xr10:uid="{5BAEE43B-95F8-4A7B-8162-11D8823A07FD}" cache="Slicer_Max_Rentals" caption="Max Rentals" rowHeight="234950"/>
  <slicer name="USERS" xr10:uid="{678D312F-0E7F-4B0A-BA6C-3146347C6F7B}" cache="Slicer_USERS" caption="USERS" rowHeight="234950"/>
  <slicer name="Total" xr10:uid="{EFCD373A-E91A-40A3-89EF-6D5341224B2A}" cache="Slicer_Total" caption="Total" rowHeight="234950"/>
  <slicer name="Average" xr10:uid="{8F3C5B7D-B0CD-49A5-9B56-F8E063C1FB79}" cache="Slicer_Average" caption="Averag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642424E-D592-4339-AE1A-AE80C3F2A469}" name="Table12" displayName="Table12" ref="A1:J611" totalsRowShown="0">
  <autoFilter ref="A1:J611" xr:uid="{6642424E-D592-4339-AE1A-AE80C3F2A469}"/>
  <tableColumns count="10">
    <tableColumn id="1" xr3:uid="{982AD4C5-3AB3-4F3F-8B5A-182463FC4115}" name="instant"/>
    <tableColumn id="2" xr3:uid="{9A875E6A-4421-4FA7-846A-8AD6250D2DBC}" name="dteday" dataDxfId="138"/>
    <tableColumn id="3" xr3:uid="{4405E449-548A-4F99-824C-B2DC1A08F10F}" name="season"/>
    <tableColumn id="4" xr3:uid="{F63DC141-B5F1-487F-B326-D89717D9E925}" name="yr"/>
    <tableColumn id="5" xr3:uid="{410E2C2C-CA59-4CA5-B4CF-C53DB06DEF93}" name="mnth"/>
    <tableColumn id="6" xr3:uid="{95B663C9-507F-442F-9A90-2AB7CCE3263B}" name="hr"/>
    <tableColumn id="7" xr3:uid="{056AFC99-D9BD-4EDB-946C-49FECDC2A502}" name="holiday"/>
    <tableColumn id="8" xr3:uid="{BC213632-375B-40FD-A626-521C0EB31073}" name="weekday"/>
    <tableColumn id="9" xr3:uid="{CB26C863-2DF3-45FD-A587-C65DB5DC0EC6}" name="weathersit"/>
    <tableColumn id="10" xr3:uid="{A6A328EC-1F09-474C-9AE6-3E671AC6700E}" name="tem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EF0D3CF-AF8E-4D7B-9804-A25F8E858607}" name="Table11" displayName="Table11" ref="A1:H612" totalsRowShown="0">
  <autoFilter ref="A1:H612" xr:uid="{0EF0D3CF-AF8E-4D7B-9804-A25F8E858607}"/>
  <tableColumns count="8">
    <tableColumn id="1" xr3:uid="{A67120B9-8FB4-4986-96B7-088C13FAD468}" name="Unnamed: 0"/>
    <tableColumn id="2" xr3:uid="{E794826B-9153-4A3A-B34D-65D74A328BED}" name="instant"/>
    <tableColumn id="3" xr3:uid="{F5228D78-2009-4060-B901-79231470B132}" name="atemp"/>
    <tableColumn id="4" xr3:uid="{07D94028-9447-418E-8262-13D462ABD3E6}" name="hum"/>
    <tableColumn id="5" xr3:uid="{F9BDB916-D72B-4B33-8336-F7C666C5E0D7}" name="windspeed"/>
    <tableColumn id="6" xr3:uid="{E9C719A5-085E-4BFF-AE34-50D74320BDB4}" name="casual"/>
    <tableColumn id="7" xr3:uid="{60E306A3-379C-4D46-993C-8EAD90C01BD3}" name="registered"/>
    <tableColumn id="8" xr3:uid="{D3D1C535-61BC-40E8-9B52-8E8146D84B86}" name="c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BE05C3-1611-4B98-91A1-2F2CF4DA8630}" name="Table10" displayName="Table10" ref="A1:P611" totalsRowShown="0">
  <autoFilter ref="A1:P611" xr:uid="{7ABE05C3-1611-4B98-91A1-2F2CF4DA8630}"/>
  <tableColumns count="16">
    <tableColumn id="1" xr3:uid="{083826D7-C60C-44BC-AD94-93590CAEF359}" name="instant"/>
    <tableColumn id="2" xr3:uid="{22034327-1CFF-489A-B186-FF4E6B257B77}" name="dteday" dataDxfId="137"/>
    <tableColumn id="3" xr3:uid="{B890ED94-E839-4A02-9E88-0FAFB020CB0E}" name="season"/>
    <tableColumn id="4" xr3:uid="{045C0FDB-E3E8-477B-820B-334926378289}" name="yr"/>
    <tableColumn id="5" xr3:uid="{C29F3ECF-8136-41EE-AB1E-E0A5C153A3B5}" name="mnth"/>
    <tableColumn id="6" xr3:uid="{2BAA242B-BFC8-4246-859B-DD70AC97EFA0}" name="hr"/>
    <tableColumn id="7" xr3:uid="{0EA5E100-BBBC-450B-AD90-5F2D49174C28}" name="holiday"/>
    <tableColumn id="8" xr3:uid="{B15F5C89-6D2D-479F-9393-76E2E16A41E7}" name="weekday"/>
    <tableColumn id="9" xr3:uid="{6E0177FC-57D8-4209-9212-E6738EF85AA5}" name="weathersit"/>
    <tableColumn id="10" xr3:uid="{D6E106F3-96BF-4836-969B-E4423163206C}" name="temp"/>
    <tableColumn id="11" xr3:uid="{9683EFC0-4643-465C-A7AB-F397AEA7C97F}" name="Atemp"/>
    <tableColumn id="12" xr3:uid="{BCF96BBC-D80E-4F4C-A3A7-19B65345D3C5}" name="Hum"/>
    <tableColumn id="13" xr3:uid="{49DF982B-4B7C-4FB1-A68E-CB25202D4FF3}" name="Windspeed"/>
    <tableColumn id="14" xr3:uid="{D31742BF-8A58-4F10-BEBC-98F4EB55C3E1}" name="Casual"/>
    <tableColumn id="15" xr3:uid="{B36776AD-6987-45C7-96A6-81EDB1376E98}" name="Registered"/>
    <tableColumn id="16" xr3:uid="{94AB6D4E-B8D4-49E1-AD4B-4188DB930718}" name="C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95B2332-C385-4C9C-B09B-7756D1F3CF22}" name="Table13" displayName="Table13" ref="A1:P391" totalsRowShown="0" headerRowDxfId="136" dataDxfId="135" headerRowCellStyle="Normal 3" dataCellStyle="Normal 3">
  <autoFilter ref="A1:P391" xr:uid="{A95B2332-C385-4C9C-B09B-7756D1F3CF22}"/>
  <sortState xmlns:xlrd2="http://schemas.microsoft.com/office/spreadsheetml/2017/richdata2" ref="A2:P391">
    <sortCondition ref="A1:A391"/>
  </sortState>
  <tableColumns count="16">
    <tableColumn id="1" xr3:uid="{97E0B0A0-FB4A-4897-A69F-E767EBB96084}" name="instant" dataDxfId="134" dataCellStyle="Normal 3"/>
    <tableColumn id="2" xr3:uid="{9D29F59A-9335-4761-AF39-F85AEE6F8BCE}" name="dteday" dataDxfId="133" dataCellStyle="Normal 3"/>
    <tableColumn id="3" xr3:uid="{07054F4B-E7B1-4CCD-A9CB-C323DCA27DBC}" name="season" dataDxfId="132" dataCellStyle="Normal 3"/>
    <tableColumn id="4" xr3:uid="{7DE0E5D7-CFDD-4AAB-A9BA-0EE65ED4AC14}" name="yr" dataDxfId="131" dataCellStyle="Normal 3"/>
    <tableColumn id="5" xr3:uid="{4DAAB3AA-AAEE-483A-831F-BB3FE556CEB1}" name="mnth" dataDxfId="130" dataCellStyle="Normal 3"/>
    <tableColumn id="6" xr3:uid="{C587D5F2-A944-4325-8449-0BFB3439A4BA}" name="hr" dataDxfId="129" dataCellStyle="Normal 3"/>
    <tableColumn id="7" xr3:uid="{7DF15B6D-A860-4416-9FFF-64AE89EF73E1}" name="holiday" dataDxfId="128" dataCellStyle="Normal 3"/>
    <tableColumn id="8" xr3:uid="{7CDF0DC9-8C1F-4715-AA1D-D752B81A39E8}" name="weekday" dataDxfId="127" dataCellStyle="Normal 3"/>
    <tableColumn id="9" xr3:uid="{68E2C4AE-3B93-4A2E-B7C1-3EEF7D2B7FE4}" name="weathersit" dataDxfId="126" dataCellStyle="Normal 3"/>
    <tableColumn id="10" xr3:uid="{3290D1D4-26B8-409D-8BBA-0A46962CA68F}" name="temp" dataDxfId="125" dataCellStyle="Normal 3"/>
    <tableColumn id="11" xr3:uid="{50EC69F6-FECD-4C02-851F-F1DD69BA14E2}" name="atemp" dataDxfId="124" dataCellStyle="Normal 3"/>
    <tableColumn id="12" xr3:uid="{02FA2026-B272-43F9-A51A-C86875B2F750}" name="hum" dataDxfId="123" dataCellStyle="Normal 3"/>
    <tableColumn id="13" xr3:uid="{39FD2477-97E6-4674-944E-C80936BB7505}" name="windspeed" dataDxfId="122" dataCellStyle="Normal 3"/>
    <tableColumn id="14" xr3:uid="{BF51B72D-CA27-4855-8E16-D035A7AEDB97}" name="casual" dataDxfId="121" dataCellStyle="Normal 3"/>
    <tableColumn id="15" xr3:uid="{625AF1B4-8CC7-484C-BEAA-68FEC4C59FBE}" name="registered" dataDxfId="120" dataCellStyle="Normal 3"/>
    <tableColumn id="16" xr3:uid="{AFFC7014-BA38-49D4-87D7-A8AFAACB0183}" name="cnt" dataDxfId="119" dataCellStyle="Normal 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6" displayName="Table6" ref="A1:S1002" totalsRowCount="1" headerRowDxfId="118" dataDxfId="117" headerRowCellStyle="Normal 2" dataCellStyle="Normal 2">
  <autoFilter ref="A1:S1001" xr:uid="{00000000-0009-0000-0100-000004000000}"/>
  <sortState xmlns:xlrd2="http://schemas.microsoft.com/office/spreadsheetml/2017/richdata2" ref="A2:P1001">
    <sortCondition ref="A1:A1001"/>
  </sortState>
  <tableColumns count="19">
    <tableColumn id="1" xr3:uid="{00000000-0010-0000-0300-000001000000}" name="instant" dataDxfId="116" totalsRowDxfId="115" dataCellStyle="Normal 2"/>
    <tableColumn id="2" xr3:uid="{00000000-0010-0000-0300-000002000000}" name="dteday" dataDxfId="114" totalsRowDxfId="113" dataCellStyle="Normal 2"/>
    <tableColumn id="3" xr3:uid="{00000000-0010-0000-0300-000003000000}" name="season" dataDxfId="112" totalsRowDxfId="111" dataCellStyle="Normal 2"/>
    <tableColumn id="4" xr3:uid="{00000000-0010-0000-0300-000004000000}" name="yr" dataDxfId="110" totalsRowDxfId="109" dataCellStyle="Normal 2"/>
    <tableColumn id="5" xr3:uid="{00000000-0010-0000-0300-000005000000}" name="mnth" dataDxfId="108" totalsRowDxfId="107" dataCellStyle="Normal 2"/>
    <tableColumn id="6" xr3:uid="{00000000-0010-0000-0300-000006000000}" name="hr" dataDxfId="106" totalsRowDxfId="105" dataCellStyle="Normal 2"/>
    <tableColumn id="7" xr3:uid="{00000000-0010-0000-0300-000007000000}" name="holiday" dataDxfId="104" totalsRowDxfId="103" dataCellStyle="Normal 2"/>
    <tableColumn id="8" xr3:uid="{00000000-0010-0000-0300-000008000000}" name="weekday" dataDxfId="102" totalsRowDxfId="101" dataCellStyle="Normal 2"/>
    <tableColumn id="9" xr3:uid="{00000000-0010-0000-0300-000009000000}" name="weathersit" totalsRowLabel="SUM" dataDxfId="100" totalsRowDxfId="99" dataCellStyle="Normal 2"/>
    <tableColumn id="10" xr3:uid="{00000000-0010-0000-0300-00000A000000}" name="temp" totalsRowFunction="sum" dataDxfId="98" totalsRowDxfId="97" dataCellStyle="Normal 2"/>
    <tableColumn id="11" xr3:uid="{00000000-0010-0000-0300-00000B000000}" name="atemp" totalsRowFunction="sum" dataDxfId="96" totalsRowDxfId="95" dataCellStyle="Normal 2"/>
    <tableColumn id="12" xr3:uid="{00000000-0010-0000-0300-00000C000000}" name="hum" totalsRowFunction="sum" dataDxfId="94" totalsRowDxfId="93" dataCellStyle="Normal 2"/>
    <tableColumn id="13" xr3:uid="{00000000-0010-0000-0300-00000D000000}" name="windspeed" totalsRowFunction="sum" dataDxfId="92" totalsRowDxfId="91" dataCellStyle="Normal 2"/>
    <tableColumn id="14" xr3:uid="{00000000-0010-0000-0300-00000E000000}" name="casual" totalsRowFunction="sum" dataDxfId="90" totalsRowDxfId="89" dataCellStyle="Normal 2"/>
    <tableColumn id="15" xr3:uid="{00000000-0010-0000-0300-00000F000000}" name="registered" totalsRowFunction="sum" dataDxfId="88" totalsRowDxfId="87" dataCellStyle="Normal 2"/>
    <tableColumn id="16" xr3:uid="{00000000-0010-0000-0300-000010000000}" name="cnt" totalsRowFunction="sum" dataDxfId="86" totalsRowDxfId="85" dataCellStyle="Normal 2"/>
    <tableColumn id="17" xr3:uid="{E978D069-FD51-482A-96DC-44125E6B4E46}" name="Casual Sum" dataDxfId="84" totalsRowDxfId="83" dataCellStyle="Normal 2">
      <calculatedColumnFormula>SUBTOTAL(109,Table6[casual])</calculatedColumnFormula>
    </tableColumn>
    <tableColumn id="18" xr3:uid="{BD109494-112B-48F3-9306-303E806C5732}" name="Registered Sum" dataDxfId="82" totalsRowDxfId="81" dataCellStyle="Normal 2">
      <calculatedColumnFormula>SUBTOTAL(109,Table6[registered])</calculatedColumnFormula>
    </tableColumn>
    <tableColumn id="19" xr3:uid="{53CFAFB7-B556-4AFC-97A4-B6D689D9ABF4}" name="Total Count" dataDxfId="80" totalsRowDxfId="79" dataCellStyle="Normal 2">
      <calculatedColumnFormula>SUBTOTAL(109,Table6[cnt])</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26B506-0B75-40F2-AB71-33CCE02594CF}" name="Table1" displayName="Table1" ref="A1:AE1002" totalsRowCount="1" headerRowDxfId="78">
  <autoFilter ref="A1:AE1001" xr:uid="{8A26B506-0B75-40F2-AB71-33CCE02594CF}"/>
  <tableColumns count="31">
    <tableColumn id="1" xr3:uid="{D3E2DFC0-5FE5-45F0-AEE2-2FD86414C1F1}" name="INSTANT" dataDxfId="77" totalsRowDxfId="76"/>
    <tableColumn id="2" xr3:uid="{87C3FAD3-9E11-49C5-AFBB-0DD3C2B4C704}" name="DTEDAY" dataDxfId="75" totalsRowDxfId="74"/>
    <tableColumn id="3" xr3:uid="{A2D63A32-7E68-44AC-A57D-CE51A80A672B}" name="SEASON" dataDxfId="73" totalsRowDxfId="72"/>
    <tableColumn id="4" xr3:uid="{28CA810F-6210-47AA-987F-E511A9427041}" name="YR" dataDxfId="71" totalsRowDxfId="70"/>
    <tableColumn id="5" xr3:uid="{8C5B0150-3782-4C71-B701-14823549F4B5}" name="MONTH" dataDxfId="69" totalsRowDxfId="68"/>
    <tableColumn id="6" xr3:uid="{61623F5B-6771-43E1-B671-C8AFFF6299E1}" name="HR" dataDxfId="67" totalsRowDxfId="66"/>
    <tableColumn id="7" xr3:uid="{DD5D24A9-3FC9-4829-9B17-099D010BCB88}" name="HOLIDAY" dataDxfId="65" totalsRowDxfId="64"/>
    <tableColumn id="8" xr3:uid="{D188ECC4-6D55-40B0-AD40-1A2AAC509034}" name="WEEKDAY" dataDxfId="63" totalsRowDxfId="62"/>
    <tableColumn id="9" xr3:uid="{DE6A54A7-0F94-4F36-B28E-E5A9EBDB4304}" name="WEATHERSIT" dataDxfId="61" totalsRowDxfId="60"/>
    <tableColumn id="10" xr3:uid="{0FF42494-2832-4920-95B0-A1A6BFDE85CF}" name="TEMP" totalsRowFunction="sum" dataDxfId="59" totalsRowDxfId="58"/>
    <tableColumn id="11" xr3:uid="{288B85F4-35FE-4629-90D0-DFE95C7FAC33}" name="ATEMP" totalsRowFunction="sum" dataDxfId="57" totalsRowDxfId="56"/>
    <tableColumn id="12" xr3:uid="{817592A5-7393-4374-8F86-029EA1FA4C40}" name="HUM" totalsRowFunction="sum" dataDxfId="55" totalsRowDxfId="54"/>
    <tableColumn id="13" xr3:uid="{915A6EA8-7103-4353-B46B-FB72F61A1F84}" name="WINDSPEED" totalsRowFunction="sum" dataDxfId="53" totalsRowDxfId="52"/>
    <tableColumn id="14" xr3:uid="{451DD62A-9BA5-420C-95A7-57085CD6268D}" name="CASUAL" totalsRowFunction="sum" dataDxfId="51" totalsRowDxfId="50"/>
    <tableColumn id="15" xr3:uid="{8BD3C6AC-7FCD-4E06-848E-C3FA0D283C0E}" name="REGISTERED" totalsRowFunction="sum" dataDxfId="49" totalsRowDxfId="48"/>
    <tableColumn id="16" xr3:uid="{45200D93-2FEF-4FC8-B19B-77B526B87668}" name="CNT" totalsRowFunction="sum" dataDxfId="47" totalsRowDxfId="46"/>
    <tableColumn id="17" xr3:uid="{51E8D533-544E-426A-A338-22831F14147D}" name="DAY_TYPE" dataDxfId="45" totalsRowDxfId="44"/>
    <tableColumn id="18" xr3:uid="{A7C31DE9-8722-4EC8-8BC1-82DCAD873770}" name="HOLIDAY_FLAG" dataDxfId="43" totalsRowDxfId="42"/>
    <tableColumn id="19" xr3:uid="{BE1E6821-F3A9-4FDF-9BF1-4BDEF0035BCA}" name="SEASON_LABEL" dataDxfId="41" totalsRowDxfId="40"/>
    <tableColumn id="20" xr3:uid="{61E12ED2-C4A7-4EF3-AEF6-AE9E79ECBF1A}" name="WEATHER_LABEL" dataDxfId="39" totalsRowDxfId="38"/>
    <tableColumn id="21" xr3:uid="{A0402F8B-E297-4623-9AFD-2EADFAAEA9A5}" name="HOUR_PERIOD" dataDxfId="37" totalsRowDxfId="36"/>
    <tableColumn id="22" xr3:uid="{7318E148-CBD9-4FDD-9400-4EA66AF3C75E}" name="DEMAND_LEVEL" dataDxfId="35" totalsRowDxfId="34"/>
    <tableColumn id="23" xr3:uid="{EDFC69F5-E3E6-4E5A-8869-87CCC1CAF3F1}" name="TEMP_CATEGORY" dataDxfId="33" totalsRowDxfId="32"/>
    <tableColumn id="24" xr3:uid="{3D24A3AA-9F30-4D6C-A494-E90E8CB29F90}" name="YEAR_LABEL" dataDxfId="31" totalsRowDxfId="30"/>
    <tableColumn id="25" xr3:uid="{16FE80C5-62CC-4DB7-866F-06A66AE84C5D}" name="WORKING_DAY" dataDxfId="29" totalsRowDxfId="28"/>
    <tableColumn id="26" xr3:uid="{4F7569C5-2674-46AD-AEA9-AB2D0DE4E0B5}" name="CountIF" dataDxfId="27">
      <calculatedColumnFormula>COUNTIF(Q2:Q1001,"Weekday")</calculatedColumnFormula>
    </tableColumn>
    <tableColumn id="28" xr3:uid="{761287A1-54F1-4784-9690-CE427675E1D5}" name="Average IF" dataDxfId="26" totalsRowDxfId="25">
      <calculatedColumnFormula>AVERAGEIF(T2:T1001,"Clear",P2:P1001)</calculatedColumnFormula>
    </tableColumn>
    <tableColumn id="29" xr3:uid="{A7C57386-9C3E-4F8E-A3A7-03CB6AAD8F83}" name="Std, Deviation" dataDxfId="24" totalsRowDxfId="23">
      <calculatedColumnFormula>STDEV(P2:P1001)</calculatedColumnFormula>
    </tableColumn>
    <tableColumn id="30" xr3:uid="{5CCC4801-859D-4999-9934-6798B0EEF646}" name="Correlation Temp" dataDxfId="22">
      <calculatedColumnFormula>CORREL(J2:J1001,P2:P1001)</calculatedColumnFormula>
    </tableColumn>
    <tableColumn id="31" xr3:uid="{0DE79DB7-C1BC-4DF2-AFF4-8083AD46A48E}" name="Correlation Humidity" dataDxfId="21">
      <calculatedColumnFormula>CORREL(L2:L1001,P2:P1001)</calculatedColumnFormula>
    </tableColumn>
    <tableColumn id="27" xr3:uid="{A22613A5-9200-484E-AB1F-7AAE5BB27853}" name="SUM IF" dataDxfId="20">
      <calculatedColumnFormula>SUMIF(Q2:Q1001,"Weekday",P2:P1001)</calculatedColumnFormula>
    </tableColumn>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92A3F4-CB4B-45D1-BFCE-A0ED7785FC29}" name="Table2" displayName="Table2" ref="A1:D13" totalsRowShown="0" dataDxfId="19">
  <autoFilter ref="A1:D13" xr:uid="{3E92A3F4-CB4B-45D1-BFCE-A0ED7785FC29}"/>
  <tableColumns count="4">
    <tableColumn id="1" xr3:uid="{B00813B9-3B39-46F4-A1B7-2D5CCA67C0A5}" name="COUNTIF — Record Counts by Category" dataDxfId="18"/>
    <tableColumn id="2" xr3:uid="{4B74A228-1D35-43FE-8C80-EFA856BA7DD6}" name="Column1" dataDxfId="17"/>
    <tableColumn id="3" xr3:uid="{885FE285-CB45-4F90-A689-B879FC1BBE29}" name="Column2" dataDxfId="16"/>
    <tableColumn id="4" xr3:uid="{A09D8BED-4D5C-4DAF-92E3-868D252D5A5D}" name="Column3" dataDxfId="1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663B01-FDF2-4CE1-AE89-B11F44D414FF}" name="Table3" displayName="Table3" ref="A15:D26" totalsRowShown="0" dataDxfId="14">
  <autoFilter ref="A15:D26" xr:uid="{02663B01-FDF2-4CE1-AE89-B11F44D414FF}"/>
  <tableColumns count="4">
    <tableColumn id="1" xr3:uid="{CAB36046-DFDD-4877-BB5E-3390673AEEF7}" name="SUMIF — Total Rentals by Category" dataDxfId="13"/>
    <tableColumn id="2" xr3:uid="{D467AFEC-940D-4470-A3CA-3852AF1095D6}" name="Column1" dataDxfId="12"/>
    <tableColumn id="3" xr3:uid="{8BFD0230-E94C-460E-8C6D-B60039CBEB73}" name="Column2" dataDxfId="11"/>
    <tableColumn id="4" xr3:uid="{BD48D5B8-5FF4-49D6-8BDA-517B6BBA5490}" name="Column3" dataDxfId="1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FCCB10-EB15-4BA5-BDD9-F22B84B93D13}" name="Table5" displayName="Table5" ref="A28:D34" totalsRowShown="0" dataDxfId="9">
  <autoFilter ref="A28:D34" xr:uid="{59FCCB10-EB15-4BA5-BDD9-F22B84B93D13}"/>
  <tableColumns count="4">
    <tableColumn id="1" xr3:uid="{D9A17EC6-0C10-4C44-BE5B-FD29D6CBA27C}" name="STDEV — Variability in Rentals" dataDxfId="8"/>
    <tableColumn id="2" xr3:uid="{FE16BCEE-A2C4-477C-8DAE-6A8B5B51DBE3}" name="Column1" dataDxfId="7"/>
    <tableColumn id="3" xr3:uid="{632F9EFC-BD1B-468C-8A96-7FA0DB18D9A8}" name="Column2" dataDxfId="6"/>
    <tableColumn id="4" xr3:uid="{1311E8CA-163A-4844-BF81-CAC04E7F0658}" name="Column3" dataDxfId="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328CBC-C424-4276-A589-32E530CAE394}" name="Table7" displayName="Table7" ref="A36:D41" totalsRowShown="0" dataDxfId="4">
  <autoFilter ref="A36:D41" xr:uid="{91328CBC-C424-4276-A589-32E530CAE394}"/>
  <tableColumns count="4">
    <tableColumn id="1" xr3:uid="{034776F7-8561-4705-B383-336FB35A2132}" name="CORREL — Correlation with Total Rentals (cnt)" dataDxfId="3"/>
    <tableColumn id="2" xr3:uid="{D85BD482-D602-44F9-86D9-6460F16716CB}" name="Column1" dataDxfId="2"/>
    <tableColumn id="3" xr3:uid="{5FD7FA05-B137-4542-AD1D-79EDE8735840}" name="Column2" dataDxfId="1"/>
    <tableColumn id="4" xr3:uid="{614CDE23-FDF9-4587-9C08-4CA18A364E08}" name="Column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4"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11"/>
  <sheetViews>
    <sheetView workbookViewId="0">
      <selection activeCell="G14" sqref="G14"/>
    </sheetView>
  </sheetViews>
  <sheetFormatPr defaultRowHeight="14.4"/>
  <cols>
    <col min="1" max="1" width="8.6640625" customWidth="1"/>
    <col min="2" max="2" width="10.33203125" bestFit="1" customWidth="1"/>
    <col min="3" max="3" width="8.6640625" customWidth="1"/>
    <col min="4" max="4" width="4.5546875" customWidth="1"/>
    <col min="5" max="5" width="7.44140625" customWidth="1"/>
    <col min="6" max="6" width="4.6640625" customWidth="1"/>
    <col min="7" max="7" width="9.109375" customWidth="1"/>
    <col min="8" max="8" width="10.44140625" customWidth="1"/>
    <col min="9" max="9" width="11.6640625" customWidth="1"/>
    <col min="10" max="10" width="7.33203125" customWidth="1"/>
  </cols>
  <sheetData>
    <row r="1" spans="1:10">
      <c r="A1" t="s">
        <v>1</v>
      </c>
      <c r="B1" t="s">
        <v>40</v>
      </c>
      <c r="C1" t="s">
        <v>41</v>
      </c>
      <c r="D1" t="s">
        <v>42</v>
      </c>
      <c r="E1" t="s">
        <v>43</v>
      </c>
      <c r="F1" t="s">
        <v>44</v>
      </c>
      <c r="G1" t="s">
        <v>45</v>
      </c>
      <c r="H1" t="s">
        <v>46</v>
      </c>
      <c r="I1" t="s">
        <v>47</v>
      </c>
      <c r="J1" t="s">
        <v>48</v>
      </c>
    </row>
    <row r="2" spans="1:10">
      <c r="A2">
        <v>1</v>
      </c>
      <c r="B2" s="1">
        <v>40544</v>
      </c>
      <c r="C2">
        <v>1</v>
      </c>
      <c r="D2">
        <v>0</v>
      </c>
      <c r="E2">
        <v>1</v>
      </c>
      <c r="F2">
        <v>0</v>
      </c>
      <c r="G2" t="b">
        <v>0</v>
      </c>
      <c r="H2">
        <v>6</v>
      </c>
      <c r="I2">
        <v>1</v>
      </c>
      <c r="J2">
        <v>0.24</v>
      </c>
    </row>
    <row r="3" spans="1:10">
      <c r="A3">
        <v>2</v>
      </c>
      <c r="B3" s="1">
        <v>40544</v>
      </c>
      <c r="C3">
        <v>1</v>
      </c>
      <c r="D3">
        <v>0</v>
      </c>
      <c r="E3">
        <v>1</v>
      </c>
      <c r="F3">
        <v>1</v>
      </c>
      <c r="G3" t="b">
        <v>0</v>
      </c>
      <c r="H3">
        <v>6</v>
      </c>
      <c r="I3">
        <v>1</v>
      </c>
      <c r="J3">
        <v>0.22</v>
      </c>
    </row>
    <row r="4" spans="1:10">
      <c r="A4">
        <v>3</v>
      </c>
      <c r="B4" s="1">
        <v>40544</v>
      </c>
      <c r="C4">
        <v>1</v>
      </c>
      <c r="D4">
        <v>0</v>
      </c>
      <c r="E4">
        <v>1</v>
      </c>
      <c r="F4">
        <v>2</v>
      </c>
      <c r="G4" t="b">
        <v>0</v>
      </c>
      <c r="H4">
        <v>6</v>
      </c>
      <c r="I4">
        <v>1</v>
      </c>
      <c r="J4">
        <v>0.22</v>
      </c>
    </row>
    <row r="5" spans="1:10">
      <c r="A5">
        <v>4</v>
      </c>
      <c r="B5" s="1">
        <v>40544</v>
      </c>
      <c r="C5">
        <v>1</v>
      </c>
      <c r="D5">
        <v>0</v>
      </c>
      <c r="E5">
        <v>1</v>
      </c>
      <c r="F5">
        <v>3</v>
      </c>
      <c r="G5" t="b">
        <v>0</v>
      </c>
      <c r="H5">
        <v>6</v>
      </c>
      <c r="I5">
        <v>1</v>
      </c>
      <c r="J5">
        <v>0.24</v>
      </c>
    </row>
    <row r="6" spans="1:10">
      <c r="A6">
        <v>5</v>
      </c>
      <c r="B6" s="1">
        <v>40544</v>
      </c>
      <c r="C6">
        <v>1</v>
      </c>
      <c r="D6">
        <v>0</v>
      </c>
      <c r="E6">
        <v>1</v>
      </c>
      <c r="F6">
        <v>4</v>
      </c>
      <c r="G6" t="b">
        <v>0</v>
      </c>
      <c r="H6">
        <v>6</v>
      </c>
      <c r="I6">
        <v>1</v>
      </c>
      <c r="J6">
        <v>0.24</v>
      </c>
    </row>
    <row r="7" spans="1:10">
      <c r="A7">
        <v>6</v>
      </c>
      <c r="B7" s="1">
        <v>40544</v>
      </c>
      <c r="C7">
        <v>1</v>
      </c>
      <c r="D7">
        <v>0</v>
      </c>
      <c r="E7">
        <v>1</v>
      </c>
      <c r="F7">
        <v>5</v>
      </c>
      <c r="G7" t="b">
        <v>0</v>
      </c>
      <c r="H7">
        <v>6</v>
      </c>
      <c r="I7">
        <v>2</v>
      </c>
      <c r="J7">
        <v>0.24</v>
      </c>
    </row>
    <row r="8" spans="1:10">
      <c r="A8">
        <v>7</v>
      </c>
      <c r="B8" s="1">
        <v>40544</v>
      </c>
      <c r="C8">
        <v>1</v>
      </c>
      <c r="D8">
        <v>0</v>
      </c>
      <c r="E8">
        <v>1</v>
      </c>
      <c r="F8">
        <v>6</v>
      </c>
      <c r="G8" t="b">
        <v>0</v>
      </c>
      <c r="H8">
        <v>6</v>
      </c>
      <c r="I8">
        <v>1</v>
      </c>
      <c r="J8">
        <v>0.22</v>
      </c>
    </row>
    <row r="9" spans="1:10">
      <c r="A9">
        <v>8</v>
      </c>
      <c r="B9" s="1">
        <v>40544</v>
      </c>
      <c r="C9">
        <v>1</v>
      </c>
      <c r="D9">
        <v>0</v>
      </c>
      <c r="E9">
        <v>1</v>
      </c>
      <c r="F9">
        <v>7</v>
      </c>
      <c r="G9" t="b">
        <v>0</v>
      </c>
      <c r="H9">
        <v>6</v>
      </c>
      <c r="I9">
        <v>1</v>
      </c>
      <c r="J9">
        <v>0.2</v>
      </c>
    </row>
    <row r="10" spans="1:10">
      <c r="A10">
        <v>9</v>
      </c>
      <c r="B10" s="1">
        <v>40544</v>
      </c>
      <c r="C10">
        <v>1</v>
      </c>
      <c r="D10">
        <v>0</v>
      </c>
      <c r="E10">
        <v>1</v>
      </c>
      <c r="F10">
        <v>8</v>
      </c>
      <c r="G10" t="b">
        <v>0</v>
      </c>
      <c r="H10">
        <v>6</v>
      </c>
      <c r="I10">
        <v>1</v>
      </c>
      <c r="J10">
        <v>0.24</v>
      </c>
    </row>
    <row r="11" spans="1:10">
      <c r="A11">
        <v>10</v>
      </c>
      <c r="B11" s="1">
        <v>40544</v>
      </c>
      <c r="C11">
        <v>1</v>
      </c>
      <c r="D11">
        <v>0</v>
      </c>
      <c r="E11">
        <v>1</v>
      </c>
      <c r="F11">
        <v>9</v>
      </c>
      <c r="G11" t="b">
        <v>0</v>
      </c>
      <c r="H11">
        <v>6</v>
      </c>
      <c r="I11">
        <v>1</v>
      </c>
      <c r="J11">
        <v>0.32</v>
      </c>
    </row>
    <row r="12" spans="1:10">
      <c r="A12">
        <v>11</v>
      </c>
      <c r="B12" s="1">
        <v>40544</v>
      </c>
      <c r="C12">
        <v>1</v>
      </c>
      <c r="D12">
        <v>0</v>
      </c>
      <c r="E12">
        <v>1</v>
      </c>
      <c r="F12">
        <v>10</v>
      </c>
      <c r="G12" t="b">
        <v>0</v>
      </c>
      <c r="H12">
        <v>6</v>
      </c>
      <c r="I12">
        <v>1</v>
      </c>
      <c r="J12">
        <v>0.38</v>
      </c>
    </row>
    <row r="13" spans="1:10">
      <c r="A13">
        <v>12</v>
      </c>
      <c r="B13" s="1">
        <v>40544</v>
      </c>
      <c r="C13">
        <v>1</v>
      </c>
      <c r="D13">
        <v>0</v>
      </c>
      <c r="E13">
        <v>1</v>
      </c>
      <c r="F13">
        <v>11</v>
      </c>
      <c r="G13" t="b">
        <v>0</v>
      </c>
      <c r="H13">
        <v>6</v>
      </c>
      <c r="I13">
        <v>1</v>
      </c>
      <c r="J13">
        <v>0.36</v>
      </c>
    </row>
    <row r="14" spans="1:10">
      <c r="A14">
        <v>13</v>
      </c>
      <c r="B14" s="1">
        <v>40544</v>
      </c>
      <c r="C14">
        <v>1</v>
      </c>
      <c r="D14">
        <v>0</v>
      </c>
      <c r="E14">
        <v>1</v>
      </c>
      <c r="F14">
        <v>12</v>
      </c>
      <c r="G14" t="b">
        <v>0</v>
      </c>
      <c r="H14">
        <v>6</v>
      </c>
      <c r="I14">
        <v>1</v>
      </c>
      <c r="J14">
        <v>0.42</v>
      </c>
    </row>
    <row r="15" spans="1:10">
      <c r="A15">
        <v>14</v>
      </c>
      <c r="B15" s="1">
        <v>40544</v>
      </c>
      <c r="C15">
        <v>1</v>
      </c>
      <c r="D15">
        <v>0</v>
      </c>
      <c r="E15">
        <v>1</v>
      </c>
      <c r="F15">
        <v>13</v>
      </c>
      <c r="G15" t="b">
        <v>0</v>
      </c>
      <c r="H15">
        <v>6</v>
      </c>
      <c r="I15">
        <v>2</v>
      </c>
      <c r="J15">
        <v>0.46</v>
      </c>
    </row>
    <row r="16" spans="1:10">
      <c r="A16">
        <v>15</v>
      </c>
      <c r="B16" s="1">
        <v>40544</v>
      </c>
      <c r="C16">
        <v>1</v>
      </c>
      <c r="D16">
        <v>0</v>
      </c>
      <c r="E16">
        <v>1</v>
      </c>
      <c r="F16">
        <v>14</v>
      </c>
      <c r="G16" t="b">
        <v>0</v>
      </c>
      <c r="H16">
        <v>6</v>
      </c>
      <c r="I16">
        <v>2</v>
      </c>
      <c r="J16">
        <v>0.46</v>
      </c>
    </row>
    <row r="17" spans="1:10">
      <c r="A17">
        <v>16</v>
      </c>
      <c r="B17" s="1">
        <v>40544</v>
      </c>
      <c r="C17">
        <v>1</v>
      </c>
      <c r="D17">
        <v>0</v>
      </c>
      <c r="E17">
        <v>1</v>
      </c>
      <c r="F17">
        <v>15</v>
      </c>
      <c r="G17" t="b">
        <v>0</v>
      </c>
      <c r="H17">
        <v>6</v>
      </c>
      <c r="I17">
        <v>2</v>
      </c>
      <c r="J17">
        <v>0.44</v>
      </c>
    </row>
    <row r="18" spans="1:10">
      <c r="A18">
        <v>17</v>
      </c>
      <c r="B18" s="1">
        <v>40544</v>
      </c>
      <c r="C18">
        <v>1</v>
      </c>
      <c r="D18">
        <v>0</v>
      </c>
      <c r="E18">
        <v>1</v>
      </c>
      <c r="F18">
        <v>16</v>
      </c>
      <c r="G18" t="b">
        <v>0</v>
      </c>
      <c r="H18">
        <v>6</v>
      </c>
      <c r="I18">
        <v>2</v>
      </c>
      <c r="J18">
        <v>0.42</v>
      </c>
    </row>
    <row r="19" spans="1:10">
      <c r="A19">
        <v>18</v>
      </c>
      <c r="B19" s="1">
        <v>40544</v>
      </c>
      <c r="C19">
        <v>1</v>
      </c>
      <c r="D19">
        <v>0</v>
      </c>
      <c r="E19">
        <v>1</v>
      </c>
      <c r="F19">
        <v>17</v>
      </c>
      <c r="G19" t="b">
        <v>0</v>
      </c>
      <c r="H19">
        <v>6</v>
      </c>
      <c r="I19">
        <v>2</v>
      </c>
      <c r="J19">
        <v>0.44</v>
      </c>
    </row>
    <row r="20" spans="1:10">
      <c r="A20">
        <v>19</v>
      </c>
      <c r="B20" s="1">
        <v>40544</v>
      </c>
      <c r="C20">
        <v>1</v>
      </c>
      <c r="D20">
        <v>0</v>
      </c>
      <c r="E20">
        <v>1</v>
      </c>
      <c r="F20">
        <v>18</v>
      </c>
      <c r="G20" t="b">
        <v>0</v>
      </c>
      <c r="H20">
        <v>6</v>
      </c>
      <c r="I20">
        <v>3</v>
      </c>
      <c r="J20">
        <v>0.42</v>
      </c>
    </row>
    <row r="21" spans="1:10">
      <c r="A21">
        <v>20</v>
      </c>
      <c r="B21" s="1">
        <v>40544</v>
      </c>
      <c r="C21">
        <v>1</v>
      </c>
      <c r="D21">
        <v>0</v>
      </c>
      <c r="E21">
        <v>1</v>
      </c>
      <c r="F21">
        <v>19</v>
      </c>
      <c r="G21" t="b">
        <v>0</v>
      </c>
      <c r="H21">
        <v>6</v>
      </c>
      <c r="I21">
        <v>3</v>
      </c>
      <c r="J21">
        <v>0.42</v>
      </c>
    </row>
    <row r="22" spans="1:10">
      <c r="A22">
        <v>21</v>
      </c>
      <c r="B22" s="1">
        <v>40544</v>
      </c>
      <c r="C22">
        <v>1</v>
      </c>
      <c r="D22">
        <v>0</v>
      </c>
      <c r="E22">
        <v>1</v>
      </c>
      <c r="F22">
        <v>20</v>
      </c>
      <c r="G22" t="b">
        <v>0</v>
      </c>
      <c r="H22">
        <v>6</v>
      </c>
      <c r="I22">
        <v>2</v>
      </c>
      <c r="J22">
        <v>0.4</v>
      </c>
    </row>
    <row r="23" spans="1:10">
      <c r="A23">
        <v>22</v>
      </c>
      <c r="B23" s="1">
        <v>40544</v>
      </c>
      <c r="C23">
        <v>1</v>
      </c>
      <c r="D23">
        <v>0</v>
      </c>
      <c r="E23">
        <v>1</v>
      </c>
      <c r="F23">
        <v>21</v>
      </c>
      <c r="G23" t="b">
        <v>0</v>
      </c>
      <c r="H23">
        <v>6</v>
      </c>
      <c r="I23">
        <v>2</v>
      </c>
      <c r="J23">
        <v>0.4</v>
      </c>
    </row>
    <row r="24" spans="1:10">
      <c r="A24">
        <v>23</v>
      </c>
      <c r="B24" s="1">
        <v>40544</v>
      </c>
      <c r="C24">
        <v>1</v>
      </c>
      <c r="D24">
        <v>0</v>
      </c>
      <c r="E24">
        <v>1</v>
      </c>
      <c r="F24">
        <v>22</v>
      </c>
      <c r="G24" t="b">
        <v>0</v>
      </c>
      <c r="H24">
        <v>6</v>
      </c>
      <c r="I24">
        <v>2</v>
      </c>
      <c r="J24">
        <v>0.4</v>
      </c>
    </row>
    <row r="25" spans="1:10">
      <c r="A25">
        <v>24</v>
      </c>
      <c r="B25" s="1">
        <v>40544</v>
      </c>
      <c r="C25">
        <v>1</v>
      </c>
      <c r="D25">
        <v>0</v>
      </c>
      <c r="E25">
        <v>1</v>
      </c>
      <c r="F25">
        <v>23</v>
      </c>
      <c r="G25" t="b">
        <v>0</v>
      </c>
      <c r="H25">
        <v>6</v>
      </c>
      <c r="I25">
        <v>2</v>
      </c>
      <c r="J25">
        <v>0.46</v>
      </c>
    </row>
    <row r="26" spans="1:10">
      <c r="A26">
        <v>25</v>
      </c>
      <c r="B26" s="1">
        <v>40545</v>
      </c>
      <c r="C26">
        <v>1</v>
      </c>
      <c r="D26">
        <v>0</v>
      </c>
      <c r="E26">
        <v>1</v>
      </c>
      <c r="F26">
        <v>0</v>
      </c>
      <c r="G26" t="b">
        <v>0</v>
      </c>
      <c r="H26">
        <v>0</v>
      </c>
      <c r="I26">
        <v>2</v>
      </c>
      <c r="J26">
        <v>0.46</v>
      </c>
    </row>
    <row r="27" spans="1:10">
      <c r="A27">
        <v>26</v>
      </c>
      <c r="B27" s="1">
        <v>40545</v>
      </c>
      <c r="C27">
        <v>1</v>
      </c>
      <c r="D27">
        <v>0</v>
      </c>
      <c r="E27">
        <v>1</v>
      </c>
      <c r="F27">
        <v>1</v>
      </c>
      <c r="G27" t="b">
        <v>0</v>
      </c>
      <c r="H27">
        <v>0</v>
      </c>
      <c r="I27">
        <v>2</v>
      </c>
      <c r="J27">
        <v>0.44</v>
      </c>
    </row>
    <row r="28" spans="1:10">
      <c r="A28">
        <v>27</v>
      </c>
      <c r="B28" s="1">
        <v>40545</v>
      </c>
      <c r="C28">
        <v>1</v>
      </c>
      <c r="D28">
        <v>0</v>
      </c>
      <c r="E28">
        <v>1</v>
      </c>
      <c r="F28">
        <v>2</v>
      </c>
      <c r="G28" t="b">
        <v>0</v>
      </c>
      <c r="H28">
        <v>0</v>
      </c>
      <c r="I28">
        <v>2</v>
      </c>
      <c r="J28">
        <v>0.42</v>
      </c>
    </row>
    <row r="29" spans="1:10">
      <c r="A29">
        <v>28</v>
      </c>
      <c r="B29" s="1">
        <v>40545</v>
      </c>
      <c r="C29">
        <v>1</v>
      </c>
      <c r="D29">
        <v>0</v>
      </c>
      <c r="E29">
        <v>1</v>
      </c>
      <c r="F29">
        <v>3</v>
      </c>
      <c r="G29" t="b">
        <v>0</v>
      </c>
      <c r="H29">
        <v>0</v>
      </c>
      <c r="I29">
        <v>2</v>
      </c>
      <c r="J29">
        <v>0.46</v>
      </c>
    </row>
    <row r="30" spans="1:10">
      <c r="A30">
        <v>29</v>
      </c>
      <c r="B30" s="1">
        <v>40545</v>
      </c>
      <c r="C30">
        <v>1</v>
      </c>
      <c r="D30">
        <v>0</v>
      </c>
      <c r="E30">
        <v>1</v>
      </c>
      <c r="F30">
        <v>4</v>
      </c>
      <c r="G30" t="b">
        <v>0</v>
      </c>
      <c r="H30">
        <v>0</v>
      </c>
      <c r="I30">
        <v>2</v>
      </c>
      <c r="J30">
        <v>0.46</v>
      </c>
    </row>
    <row r="31" spans="1:10">
      <c r="A31">
        <v>30</v>
      </c>
      <c r="B31" s="1">
        <v>40545</v>
      </c>
      <c r="C31">
        <v>1</v>
      </c>
      <c r="D31">
        <v>0</v>
      </c>
      <c r="E31">
        <v>1</v>
      </c>
      <c r="F31">
        <v>6</v>
      </c>
      <c r="G31" t="b">
        <v>0</v>
      </c>
      <c r="H31">
        <v>0</v>
      </c>
      <c r="I31">
        <v>3</v>
      </c>
      <c r="J31">
        <v>0.42</v>
      </c>
    </row>
    <row r="32" spans="1:10">
      <c r="A32">
        <v>31</v>
      </c>
      <c r="B32" s="1">
        <v>40545</v>
      </c>
      <c r="C32">
        <v>1</v>
      </c>
      <c r="D32">
        <v>0</v>
      </c>
      <c r="E32">
        <v>1</v>
      </c>
      <c r="F32">
        <v>7</v>
      </c>
      <c r="G32" t="b">
        <v>0</v>
      </c>
      <c r="H32">
        <v>0</v>
      </c>
      <c r="I32">
        <v>2</v>
      </c>
      <c r="J32">
        <v>0.4</v>
      </c>
    </row>
    <row r="33" spans="1:10">
      <c r="A33">
        <v>32</v>
      </c>
      <c r="B33" s="1">
        <v>40545</v>
      </c>
      <c r="C33">
        <v>1</v>
      </c>
      <c r="D33">
        <v>0</v>
      </c>
      <c r="E33">
        <v>1</v>
      </c>
      <c r="F33">
        <v>8</v>
      </c>
      <c r="G33" t="b">
        <v>0</v>
      </c>
      <c r="H33">
        <v>0</v>
      </c>
      <c r="I33">
        <v>3</v>
      </c>
      <c r="J33">
        <v>0.4</v>
      </c>
    </row>
    <row r="34" spans="1:10">
      <c r="A34">
        <v>33</v>
      </c>
      <c r="B34" s="1">
        <v>40545</v>
      </c>
      <c r="C34">
        <v>1</v>
      </c>
      <c r="D34">
        <v>0</v>
      </c>
      <c r="E34">
        <v>1</v>
      </c>
      <c r="F34">
        <v>9</v>
      </c>
      <c r="G34" t="b">
        <v>0</v>
      </c>
      <c r="H34">
        <v>0</v>
      </c>
      <c r="I34">
        <v>2</v>
      </c>
      <c r="J34">
        <v>0.38</v>
      </c>
    </row>
    <row r="35" spans="1:10">
      <c r="A35">
        <v>34</v>
      </c>
      <c r="B35" s="1">
        <v>40545</v>
      </c>
      <c r="C35">
        <v>1</v>
      </c>
      <c r="D35">
        <v>0</v>
      </c>
      <c r="E35">
        <v>1</v>
      </c>
      <c r="F35">
        <v>10</v>
      </c>
      <c r="G35" t="b">
        <v>0</v>
      </c>
      <c r="H35">
        <v>0</v>
      </c>
      <c r="I35">
        <v>2</v>
      </c>
      <c r="J35">
        <v>0.36</v>
      </c>
    </row>
    <row r="36" spans="1:10">
      <c r="A36">
        <v>35</v>
      </c>
      <c r="B36" s="1">
        <v>40545</v>
      </c>
      <c r="C36">
        <v>1</v>
      </c>
      <c r="D36">
        <v>0</v>
      </c>
      <c r="E36">
        <v>1</v>
      </c>
      <c r="F36">
        <v>11</v>
      </c>
      <c r="G36" t="b">
        <v>0</v>
      </c>
      <c r="H36">
        <v>0</v>
      </c>
      <c r="I36">
        <v>2</v>
      </c>
      <c r="J36">
        <v>0.36</v>
      </c>
    </row>
    <row r="37" spans="1:10">
      <c r="A37">
        <v>36</v>
      </c>
      <c r="B37" s="1">
        <v>40545</v>
      </c>
      <c r="C37">
        <v>1</v>
      </c>
      <c r="D37">
        <v>0</v>
      </c>
      <c r="E37">
        <v>1</v>
      </c>
      <c r="F37">
        <v>12</v>
      </c>
      <c r="G37" t="b">
        <v>0</v>
      </c>
      <c r="H37">
        <v>0</v>
      </c>
      <c r="I37">
        <v>2</v>
      </c>
      <c r="J37">
        <v>0.36</v>
      </c>
    </row>
    <row r="38" spans="1:10">
      <c r="A38">
        <v>37</v>
      </c>
      <c r="B38" s="1">
        <v>40545</v>
      </c>
      <c r="C38">
        <v>1</v>
      </c>
      <c r="D38">
        <v>0</v>
      </c>
      <c r="E38">
        <v>1</v>
      </c>
      <c r="F38">
        <v>13</v>
      </c>
      <c r="G38" t="b">
        <v>0</v>
      </c>
      <c r="H38">
        <v>0</v>
      </c>
      <c r="I38">
        <v>2</v>
      </c>
      <c r="J38">
        <v>0.36</v>
      </c>
    </row>
    <row r="39" spans="1:10">
      <c r="A39">
        <v>38</v>
      </c>
      <c r="B39" s="1">
        <v>40545</v>
      </c>
      <c r="C39">
        <v>1</v>
      </c>
      <c r="D39">
        <v>0</v>
      </c>
      <c r="E39">
        <v>1</v>
      </c>
      <c r="F39">
        <v>14</v>
      </c>
      <c r="G39" t="b">
        <v>0</v>
      </c>
      <c r="H39">
        <v>0</v>
      </c>
      <c r="I39">
        <v>3</v>
      </c>
      <c r="J39">
        <v>0.36</v>
      </c>
    </row>
    <row r="40" spans="1:10">
      <c r="A40">
        <v>39</v>
      </c>
      <c r="B40" s="1">
        <v>40545</v>
      </c>
      <c r="C40">
        <v>1</v>
      </c>
      <c r="D40">
        <v>0</v>
      </c>
      <c r="E40">
        <v>1</v>
      </c>
      <c r="F40">
        <v>15</v>
      </c>
      <c r="G40" t="b">
        <v>0</v>
      </c>
      <c r="H40">
        <v>0</v>
      </c>
      <c r="I40">
        <v>3</v>
      </c>
      <c r="J40">
        <v>0.34</v>
      </c>
    </row>
    <row r="41" spans="1:10">
      <c r="A41">
        <v>40</v>
      </c>
      <c r="B41" s="1">
        <v>40545</v>
      </c>
      <c r="C41">
        <v>1</v>
      </c>
      <c r="D41">
        <v>0</v>
      </c>
      <c r="E41">
        <v>1</v>
      </c>
      <c r="F41">
        <v>16</v>
      </c>
      <c r="G41" t="b">
        <v>0</v>
      </c>
      <c r="H41">
        <v>0</v>
      </c>
      <c r="I41">
        <v>3</v>
      </c>
      <c r="J41">
        <v>0.34</v>
      </c>
    </row>
    <row r="42" spans="1:10">
      <c r="A42">
        <v>41</v>
      </c>
      <c r="B42" s="1">
        <v>40545</v>
      </c>
      <c r="C42">
        <v>1</v>
      </c>
      <c r="D42">
        <v>0</v>
      </c>
      <c r="E42">
        <v>1</v>
      </c>
      <c r="F42">
        <v>17</v>
      </c>
      <c r="G42" t="b">
        <v>0</v>
      </c>
      <c r="H42">
        <v>0</v>
      </c>
      <c r="I42">
        <v>1</v>
      </c>
      <c r="J42">
        <v>0.34</v>
      </c>
    </row>
    <row r="43" spans="1:10">
      <c r="A43">
        <v>42</v>
      </c>
      <c r="B43" s="1">
        <v>40545</v>
      </c>
      <c r="C43">
        <v>1</v>
      </c>
      <c r="D43">
        <v>0</v>
      </c>
      <c r="E43">
        <v>1</v>
      </c>
      <c r="F43">
        <v>18</v>
      </c>
      <c r="G43" t="b">
        <v>0</v>
      </c>
      <c r="H43">
        <v>0</v>
      </c>
      <c r="I43">
        <v>2</v>
      </c>
      <c r="J43">
        <v>0.36</v>
      </c>
    </row>
    <row r="44" spans="1:10">
      <c r="A44">
        <v>43</v>
      </c>
      <c r="B44" s="1">
        <v>40545</v>
      </c>
      <c r="C44">
        <v>1</v>
      </c>
      <c r="D44">
        <v>0</v>
      </c>
      <c r="E44">
        <v>1</v>
      </c>
      <c r="F44">
        <v>19</v>
      </c>
      <c r="G44" t="b">
        <v>0</v>
      </c>
      <c r="H44">
        <v>0</v>
      </c>
      <c r="I44">
        <v>1</v>
      </c>
      <c r="J44">
        <v>0.32</v>
      </c>
    </row>
    <row r="45" spans="1:10">
      <c r="A45">
        <v>44</v>
      </c>
      <c r="B45" s="1">
        <v>40545</v>
      </c>
      <c r="C45">
        <v>1</v>
      </c>
      <c r="D45">
        <v>0</v>
      </c>
      <c r="E45">
        <v>1</v>
      </c>
      <c r="F45">
        <v>20</v>
      </c>
      <c r="G45" t="b">
        <v>0</v>
      </c>
      <c r="H45">
        <v>0</v>
      </c>
      <c r="I45">
        <v>1</v>
      </c>
      <c r="J45">
        <v>0.3</v>
      </c>
    </row>
    <row r="46" spans="1:10">
      <c r="A46">
        <v>45</v>
      </c>
      <c r="B46" s="1">
        <v>40545</v>
      </c>
      <c r="C46">
        <v>1</v>
      </c>
      <c r="D46">
        <v>0</v>
      </c>
      <c r="E46">
        <v>1</v>
      </c>
      <c r="F46">
        <v>21</v>
      </c>
      <c r="G46" t="b">
        <v>0</v>
      </c>
      <c r="H46">
        <v>0</v>
      </c>
      <c r="I46">
        <v>1</v>
      </c>
      <c r="J46">
        <v>0.26</v>
      </c>
    </row>
    <row r="47" spans="1:10">
      <c r="A47">
        <v>46</v>
      </c>
      <c r="B47" s="1">
        <v>40545</v>
      </c>
      <c r="C47">
        <v>1</v>
      </c>
      <c r="D47">
        <v>0</v>
      </c>
      <c r="E47">
        <v>1</v>
      </c>
      <c r="F47">
        <v>22</v>
      </c>
      <c r="G47" t="b">
        <v>0</v>
      </c>
      <c r="H47">
        <v>0</v>
      </c>
      <c r="I47">
        <v>1</v>
      </c>
      <c r="J47">
        <v>0.24</v>
      </c>
    </row>
    <row r="48" spans="1:10">
      <c r="A48">
        <v>47</v>
      </c>
      <c r="B48" s="1">
        <v>40545</v>
      </c>
      <c r="C48">
        <v>1</v>
      </c>
      <c r="D48">
        <v>0</v>
      </c>
      <c r="E48">
        <v>1</v>
      </c>
      <c r="F48">
        <v>23</v>
      </c>
      <c r="G48" t="b">
        <v>0</v>
      </c>
      <c r="H48">
        <v>0</v>
      </c>
      <c r="I48">
        <v>1</v>
      </c>
      <c r="J48">
        <v>0.22</v>
      </c>
    </row>
    <row r="49" spans="1:10">
      <c r="A49">
        <v>48</v>
      </c>
      <c r="B49" s="1">
        <v>40546</v>
      </c>
      <c r="C49">
        <v>1</v>
      </c>
      <c r="D49">
        <v>0</v>
      </c>
      <c r="E49">
        <v>1</v>
      </c>
      <c r="F49">
        <v>0</v>
      </c>
      <c r="G49" t="b">
        <v>0</v>
      </c>
      <c r="H49">
        <v>1</v>
      </c>
      <c r="I49">
        <v>1</v>
      </c>
      <c r="J49">
        <v>0.22</v>
      </c>
    </row>
    <row r="50" spans="1:10">
      <c r="A50">
        <v>49</v>
      </c>
      <c r="B50" s="1">
        <v>40546</v>
      </c>
      <c r="C50">
        <v>1</v>
      </c>
      <c r="D50">
        <v>0</v>
      </c>
      <c r="E50">
        <v>1</v>
      </c>
      <c r="F50">
        <v>1</v>
      </c>
      <c r="G50" t="b">
        <v>0</v>
      </c>
      <c r="H50">
        <v>1</v>
      </c>
      <c r="I50">
        <v>1</v>
      </c>
      <c r="J50">
        <v>0.2</v>
      </c>
    </row>
    <row r="51" spans="1:10">
      <c r="A51">
        <v>50</v>
      </c>
      <c r="B51" s="1">
        <v>40546</v>
      </c>
      <c r="C51">
        <v>1</v>
      </c>
      <c r="D51">
        <v>0</v>
      </c>
      <c r="E51">
        <v>1</v>
      </c>
      <c r="F51">
        <v>4</v>
      </c>
      <c r="G51" t="b">
        <v>0</v>
      </c>
      <c r="H51">
        <v>1</v>
      </c>
      <c r="I51">
        <v>1</v>
      </c>
      <c r="J51">
        <v>0.16</v>
      </c>
    </row>
    <row r="52" spans="1:10">
      <c r="A52">
        <v>51</v>
      </c>
      <c r="B52" s="1">
        <v>40546</v>
      </c>
      <c r="C52">
        <v>1</v>
      </c>
      <c r="D52">
        <v>0</v>
      </c>
      <c r="E52">
        <v>1</v>
      </c>
      <c r="F52">
        <v>5</v>
      </c>
      <c r="G52" t="b">
        <v>0</v>
      </c>
      <c r="H52">
        <v>1</v>
      </c>
      <c r="I52">
        <v>1</v>
      </c>
      <c r="J52">
        <v>0.16</v>
      </c>
    </row>
    <row r="53" spans="1:10">
      <c r="A53">
        <v>52</v>
      </c>
      <c r="B53" s="1">
        <v>40546</v>
      </c>
      <c r="C53">
        <v>1</v>
      </c>
      <c r="D53">
        <v>0</v>
      </c>
      <c r="E53">
        <v>1</v>
      </c>
      <c r="F53">
        <v>6</v>
      </c>
      <c r="G53" t="b">
        <v>0</v>
      </c>
      <c r="H53">
        <v>1</v>
      </c>
      <c r="I53">
        <v>1</v>
      </c>
      <c r="J53">
        <v>0.14000000000000001</v>
      </c>
    </row>
    <row r="54" spans="1:10">
      <c r="A54">
        <v>53</v>
      </c>
      <c r="B54" s="1">
        <v>40546</v>
      </c>
      <c r="C54">
        <v>1</v>
      </c>
      <c r="D54">
        <v>0</v>
      </c>
      <c r="E54">
        <v>1</v>
      </c>
      <c r="F54">
        <v>7</v>
      </c>
      <c r="G54" t="b">
        <v>0</v>
      </c>
      <c r="H54">
        <v>1</v>
      </c>
      <c r="I54">
        <v>1</v>
      </c>
      <c r="J54">
        <v>0.14000000000000001</v>
      </c>
    </row>
    <row r="55" spans="1:10">
      <c r="A55">
        <v>54</v>
      </c>
      <c r="B55" s="1">
        <v>40546</v>
      </c>
      <c r="C55">
        <v>1</v>
      </c>
      <c r="D55">
        <v>0</v>
      </c>
      <c r="E55">
        <v>1</v>
      </c>
      <c r="F55">
        <v>8</v>
      </c>
      <c r="G55" t="b">
        <v>0</v>
      </c>
      <c r="H55">
        <v>1</v>
      </c>
      <c r="I55">
        <v>1</v>
      </c>
      <c r="J55">
        <v>0.14000000000000001</v>
      </c>
    </row>
    <row r="56" spans="1:10">
      <c r="A56">
        <v>55</v>
      </c>
      <c r="B56" s="1">
        <v>40546</v>
      </c>
      <c r="C56">
        <v>1</v>
      </c>
      <c r="D56">
        <v>0</v>
      </c>
      <c r="E56">
        <v>1</v>
      </c>
      <c r="F56">
        <v>9</v>
      </c>
      <c r="G56" t="b">
        <v>0</v>
      </c>
      <c r="H56">
        <v>1</v>
      </c>
      <c r="I56">
        <v>1</v>
      </c>
      <c r="J56">
        <v>0.16</v>
      </c>
    </row>
    <row r="57" spans="1:10">
      <c r="A57">
        <v>56</v>
      </c>
      <c r="B57" s="1">
        <v>40546</v>
      </c>
      <c r="C57">
        <v>1</v>
      </c>
      <c r="D57">
        <v>0</v>
      </c>
      <c r="E57">
        <v>1</v>
      </c>
      <c r="F57">
        <v>10</v>
      </c>
      <c r="G57" t="b">
        <v>0</v>
      </c>
      <c r="H57">
        <v>1</v>
      </c>
      <c r="I57">
        <v>1</v>
      </c>
      <c r="J57">
        <v>0.18</v>
      </c>
    </row>
    <row r="58" spans="1:10">
      <c r="A58">
        <v>57</v>
      </c>
      <c r="B58" s="1">
        <v>40546</v>
      </c>
      <c r="C58">
        <v>1</v>
      </c>
      <c r="D58">
        <v>0</v>
      </c>
      <c r="E58">
        <v>1</v>
      </c>
      <c r="F58">
        <v>11</v>
      </c>
      <c r="G58" t="b">
        <v>0</v>
      </c>
      <c r="H58">
        <v>1</v>
      </c>
      <c r="I58">
        <v>1</v>
      </c>
      <c r="J58">
        <v>0.2</v>
      </c>
    </row>
    <row r="59" spans="1:10">
      <c r="A59">
        <v>58</v>
      </c>
      <c r="B59" s="1">
        <v>40546</v>
      </c>
      <c r="C59">
        <v>1</v>
      </c>
      <c r="D59">
        <v>0</v>
      </c>
      <c r="E59">
        <v>1</v>
      </c>
      <c r="F59">
        <v>12</v>
      </c>
      <c r="G59" t="b">
        <v>0</v>
      </c>
      <c r="H59">
        <v>1</v>
      </c>
      <c r="I59">
        <v>1</v>
      </c>
      <c r="J59">
        <v>0.22</v>
      </c>
    </row>
    <row r="60" spans="1:10">
      <c r="A60">
        <v>59</v>
      </c>
      <c r="B60" s="1">
        <v>40546</v>
      </c>
      <c r="C60">
        <v>1</v>
      </c>
      <c r="D60">
        <v>0</v>
      </c>
      <c r="E60">
        <v>1</v>
      </c>
      <c r="F60">
        <v>13</v>
      </c>
      <c r="G60" t="b">
        <v>0</v>
      </c>
      <c r="H60">
        <v>1</v>
      </c>
      <c r="I60">
        <v>1</v>
      </c>
      <c r="J60">
        <v>0.24</v>
      </c>
    </row>
    <row r="61" spans="1:10">
      <c r="A61">
        <v>60</v>
      </c>
      <c r="B61" s="1">
        <v>40546</v>
      </c>
      <c r="C61">
        <v>1</v>
      </c>
      <c r="D61">
        <v>0</v>
      </c>
      <c r="E61">
        <v>1</v>
      </c>
      <c r="F61">
        <v>14</v>
      </c>
      <c r="G61" t="b">
        <v>0</v>
      </c>
      <c r="H61">
        <v>1</v>
      </c>
      <c r="I61">
        <v>1</v>
      </c>
      <c r="J61">
        <v>0.26</v>
      </c>
    </row>
    <row r="62" spans="1:10">
      <c r="A62">
        <v>61</v>
      </c>
      <c r="B62" s="1">
        <v>40546</v>
      </c>
      <c r="C62">
        <v>1</v>
      </c>
      <c r="D62">
        <v>0</v>
      </c>
      <c r="E62">
        <v>1</v>
      </c>
      <c r="F62">
        <v>15</v>
      </c>
      <c r="G62" t="b">
        <v>0</v>
      </c>
      <c r="H62">
        <v>1</v>
      </c>
      <c r="I62">
        <v>1</v>
      </c>
      <c r="J62">
        <v>0.26</v>
      </c>
    </row>
    <row r="63" spans="1:10">
      <c r="A63">
        <v>62</v>
      </c>
      <c r="B63" s="1">
        <v>40546</v>
      </c>
      <c r="C63">
        <v>1</v>
      </c>
      <c r="D63">
        <v>0</v>
      </c>
      <c r="E63">
        <v>1</v>
      </c>
      <c r="F63">
        <v>16</v>
      </c>
      <c r="G63" t="b">
        <v>0</v>
      </c>
      <c r="H63">
        <v>1</v>
      </c>
      <c r="I63">
        <v>1</v>
      </c>
      <c r="J63">
        <v>0.26</v>
      </c>
    </row>
    <row r="64" spans="1:10">
      <c r="A64">
        <v>63</v>
      </c>
      <c r="B64" s="1">
        <v>40546</v>
      </c>
      <c r="C64">
        <v>1</v>
      </c>
      <c r="D64">
        <v>0</v>
      </c>
      <c r="E64">
        <v>1</v>
      </c>
      <c r="F64">
        <v>17</v>
      </c>
      <c r="G64" t="b">
        <v>0</v>
      </c>
      <c r="H64">
        <v>1</v>
      </c>
      <c r="I64">
        <v>1</v>
      </c>
      <c r="J64">
        <v>0.24</v>
      </c>
    </row>
    <row r="65" spans="1:10">
      <c r="A65">
        <v>64</v>
      </c>
      <c r="B65" s="1">
        <v>40546</v>
      </c>
      <c r="C65">
        <v>1</v>
      </c>
      <c r="D65">
        <v>0</v>
      </c>
      <c r="E65">
        <v>1</v>
      </c>
      <c r="F65">
        <v>18</v>
      </c>
      <c r="G65" t="b">
        <v>0</v>
      </c>
      <c r="H65">
        <v>1</v>
      </c>
      <c r="I65">
        <v>1</v>
      </c>
      <c r="J65">
        <v>0.24</v>
      </c>
    </row>
    <row r="66" spans="1:10">
      <c r="A66">
        <v>65</v>
      </c>
      <c r="B66" s="1">
        <v>40546</v>
      </c>
      <c r="C66">
        <v>1</v>
      </c>
      <c r="D66">
        <v>0</v>
      </c>
      <c r="E66">
        <v>1</v>
      </c>
      <c r="F66">
        <v>19</v>
      </c>
      <c r="G66" t="b">
        <v>0</v>
      </c>
      <c r="H66">
        <v>1</v>
      </c>
      <c r="I66">
        <v>1</v>
      </c>
      <c r="J66">
        <v>0.2</v>
      </c>
    </row>
    <row r="67" spans="1:10">
      <c r="A67">
        <v>66</v>
      </c>
      <c r="B67" s="1">
        <v>40546</v>
      </c>
      <c r="C67">
        <v>1</v>
      </c>
      <c r="D67">
        <v>0</v>
      </c>
      <c r="E67">
        <v>1</v>
      </c>
      <c r="F67">
        <v>20</v>
      </c>
      <c r="G67" t="b">
        <v>0</v>
      </c>
      <c r="H67">
        <v>1</v>
      </c>
      <c r="I67">
        <v>1</v>
      </c>
      <c r="J67">
        <v>0.2</v>
      </c>
    </row>
    <row r="68" spans="1:10">
      <c r="A68">
        <v>67</v>
      </c>
      <c r="B68" s="1">
        <v>40546</v>
      </c>
      <c r="C68">
        <v>1</v>
      </c>
      <c r="D68">
        <v>0</v>
      </c>
      <c r="E68">
        <v>1</v>
      </c>
      <c r="F68">
        <v>21</v>
      </c>
      <c r="G68" t="b">
        <v>0</v>
      </c>
      <c r="H68">
        <v>1</v>
      </c>
      <c r="I68">
        <v>1</v>
      </c>
      <c r="J68">
        <v>0.18</v>
      </c>
    </row>
    <row r="69" spans="1:10">
      <c r="A69">
        <v>68</v>
      </c>
      <c r="B69" s="1">
        <v>40546</v>
      </c>
      <c r="C69">
        <v>1</v>
      </c>
      <c r="D69">
        <v>0</v>
      </c>
      <c r="E69">
        <v>1</v>
      </c>
      <c r="F69">
        <v>22</v>
      </c>
      <c r="G69" t="b">
        <v>0</v>
      </c>
      <c r="H69">
        <v>1</v>
      </c>
      <c r="I69">
        <v>1</v>
      </c>
      <c r="J69">
        <v>0.14000000000000001</v>
      </c>
    </row>
    <row r="70" spans="1:10">
      <c r="A70">
        <v>69</v>
      </c>
      <c r="B70" s="1">
        <v>40546</v>
      </c>
      <c r="C70">
        <v>1</v>
      </c>
      <c r="D70">
        <v>0</v>
      </c>
      <c r="E70">
        <v>1</v>
      </c>
      <c r="F70">
        <v>23</v>
      </c>
      <c r="G70" t="b">
        <v>0</v>
      </c>
      <c r="H70">
        <v>1</v>
      </c>
      <c r="I70">
        <v>1</v>
      </c>
      <c r="J70">
        <v>0.18</v>
      </c>
    </row>
    <row r="71" spans="1:10">
      <c r="A71">
        <v>70</v>
      </c>
      <c r="B71" s="1">
        <v>40547</v>
      </c>
      <c r="C71">
        <v>1</v>
      </c>
      <c r="D71">
        <v>0</v>
      </c>
      <c r="E71">
        <v>1</v>
      </c>
      <c r="F71">
        <v>0</v>
      </c>
      <c r="G71" t="b">
        <v>0</v>
      </c>
      <c r="H71">
        <v>2</v>
      </c>
      <c r="I71">
        <v>1</v>
      </c>
      <c r="J71">
        <v>0.16</v>
      </c>
    </row>
    <row r="72" spans="1:10">
      <c r="A72">
        <v>71</v>
      </c>
      <c r="B72" s="1">
        <v>40547</v>
      </c>
      <c r="C72">
        <v>1</v>
      </c>
      <c r="D72">
        <v>0</v>
      </c>
      <c r="E72">
        <v>1</v>
      </c>
      <c r="F72">
        <v>1</v>
      </c>
      <c r="G72" t="b">
        <v>0</v>
      </c>
      <c r="H72">
        <v>2</v>
      </c>
      <c r="I72">
        <v>1</v>
      </c>
      <c r="J72">
        <v>0.16</v>
      </c>
    </row>
    <row r="73" spans="1:10">
      <c r="A73">
        <v>72</v>
      </c>
      <c r="B73" s="1">
        <v>40547</v>
      </c>
      <c r="C73">
        <v>1</v>
      </c>
      <c r="D73">
        <v>0</v>
      </c>
      <c r="E73">
        <v>1</v>
      </c>
      <c r="F73">
        <v>2</v>
      </c>
      <c r="G73" t="b">
        <v>0</v>
      </c>
      <c r="H73">
        <v>2</v>
      </c>
      <c r="I73">
        <v>1</v>
      </c>
      <c r="J73">
        <v>0.14000000000000001</v>
      </c>
    </row>
    <row r="74" spans="1:10">
      <c r="A74">
        <v>73</v>
      </c>
      <c r="B74" s="1">
        <v>40547</v>
      </c>
      <c r="C74">
        <v>1</v>
      </c>
      <c r="D74">
        <v>0</v>
      </c>
      <c r="E74">
        <v>1</v>
      </c>
      <c r="F74">
        <v>4</v>
      </c>
      <c r="G74" t="b">
        <v>0</v>
      </c>
      <c r="H74">
        <v>2</v>
      </c>
      <c r="I74">
        <v>1</v>
      </c>
      <c r="J74">
        <v>0.14000000000000001</v>
      </c>
    </row>
    <row r="75" spans="1:10">
      <c r="A75">
        <v>74</v>
      </c>
      <c r="B75" s="1">
        <v>40547</v>
      </c>
      <c r="C75">
        <v>1</v>
      </c>
      <c r="D75">
        <v>0</v>
      </c>
      <c r="E75">
        <v>1</v>
      </c>
      <c r="F75">
        <v>5</v>
      </c>
      <c r="G75" t="b">
        <v>0</v>
      </c>
      <c r="H75">
        <v>2</v>
      </c>
      <c r="I75">
        <v>1</v>
      </c>
      <c r="J75">
        <v>0.12</v>
      </c>
    </row>
    <row r="76" spans="1:10">
      <c r="A76">
        <v>75</v>
      </c>
      <c r="B76" s="1">
        <v>40547</v>
      </c>
      <c r="C76">
        <v>1</v>
      </c>
      <c r="D76">
        <v>0</v>
      </c>
      <c r="E76">
        <v>1</v>
      </c>
      <c r="F76">
        <v>6</v>
      </c>
      <c r="G76" t="b">
        <v>0</v>
      </c>
      <c r="H76">
        <v>2</v>
      </c>
      <c r="I76">
        <v>1</v>
      </c>
      <c r="J76">
        <v>0.12</v>
      </c>
    </row>
    <row r="77" spans="1:10">
      <c r="A77">
        <v>76</v>
      </c>
      <c r="B77" s="1">
        <v>40547</v>
      </c>
      <c r="C77">
        <v>1</v>
      </c>
      <c r="D77">
        <v>0</v>
      </c>
      <c r="E77">
        <v>1</v>
      </c>
      <c r="F77">
        <v>7</v>
      </c>
      <c r="G77" t="b">
        <v>0</v>
      </c>
      <c r="H77">
        <v>2</v>
      </c>
      <c r="I77">
        <v>1</v>
      </c>
      <c r="J77">
        <v>0.12</v>
      </c>
    </row>
    <row r="78" spans="1:10">
      <c r="A78">
        <v>77</v>
      </c>
      <c r="B78" s="1">
        <v>40547</v>
      </c>
      <c r="C78">
        <v>1</v>
      </c>
      <c r="D78">
        <v>0</v>
      </c>
      <c r="E78">
        <v>1</v>
      </c>
      <c r="F78">
        <v>8</v>
      </c>
      <c r="G78" t="b">
        <v>0</v>
      </c>
      <c r="H78">
        <v>2</v>
      </c>
      <c r="I78">
        <v>1</v>
      </c>
      <c r="J78">
        <v>0.14000000000000001</v>
      </c>
    </row>
    <row r="79" spans="1:10">
      <c r="A79">
        <v>78</v>
      </c>
      <c r="B79" s="1">
        <v>40547</v>
      </c>
      <c r="C79">
        <v>1</v>
      </c>
      <c r="D79">
        <v>0</v>
      </c>
      <c r="E79">
        <v>1</v>
      </c>
      <c r="F79">
        <v>9</v>
      </c>
      <c r="G79" t="b">
        <v>0</v>
      </c>
      <c r="H79">
        <v>2</v>
      </c>
      <c r="I79">
        <v>1</v>
      </c>
      <c r="J79">
        <v>0.16</v>
      </c>
    </row>
    <row r="80" spans="1:10">
      <c r="A80">
        <v>79</v>
      </c>
      <c r="B80" s="1">
        <v>40547</v>
      </c>
      <c r="C80">
        <v>1</v>
      </c>
      <c r="D80">
        <v>0</v>
      </c>
      <c r="E80">
        <v>1</v>
      </c>
      <c r="F80">
        <v>10</v>
      </c>
      <c r="G80" t="b">
        <v>0</v>
      </c>
      <c r="H80">
        <v>2</v>
      </c>
      <c r="I80">
        <v>2</v>
      </c>
      <c r="J80">
        <v>0.16</v>
      </c>
    </row>
    <row r="81" spans="1:10">
      <c r="A81">
        <v>80</v>
      </c>
      <c r="B81" s="1">
        <v>40547</v>
      </c>
      <c r="C81">
        <v>1</v>
      </c>
      <c r="D81">
        <v>0</v>
      </c>
      <c r="E81">
        <v>1</v>
      </c>
      <c r="F81">
        <v>11</v>
      </c>
      <c r="G81" t="b">
        <v>0</v>
      </c>
      <c r="H81">
        <v>2</v>
      </c>
      <c r="I81">
        <v>1</v>
      </c>
      <c r="J81">
        <v>0.22</v>
      </c>
    </row>
    <row r="82" spans="1:10">
      <c r="A82">
        <v>81</v>
      </c>
      <c r="B82" s="1">
        <v>40547</v>
      </c>
      <c r="C82">
        <v>1</v>
      </c>
      <c r="D82">
        <v>0</v>
      </c>
      <c r="E82">
        <v>1</v>
      </c>
      <c r="F82">
        <v>12</v>
      </c>
      <c r="G82" t="b">
        <v>0</v>
      </c>
      <c r="H82">
        <v>2</v>
      </c>
      <c r="I82">
        <v>1</v>
      </c>
      <c r="J82">
        <v>0.22</v>
      </c>
    </row>
    <row r="83" spans="1:10">
      <c r="A83">
        <v>82</v>
      </c>
      <c r="B83" s="1">
        <v>40547</v>
      </c>
      <c r="C83">
        <v>1</v>
      </c>
      <c r="D83">
        <v>0</v>
      </c>
      <c r="E83">
        <v>1</v>
      </c>
      <c r="F83">
        <v>13</v>
      </c>
      <c r="G83" t="b">
        <v>0</v>
      </c>
      <c r="H83">
        <v>2</v>
      </c>
      <c r="I83">
        <v>1</v>
      </c>
      <c r="J83">
        <v>0.24</v>
      </c>
    </row>
    <row r="84" spans="1:10">
      <c r="A84">
        <v>83</v>
      </c>
      <c r="B84" s="1">
        <v>40547</v>
      </c>
      <c r="C84">
        <v>1</v>
      </c>
      <c r="D84">
        <v>0</v>
      </c>
      <c r="E84">
        <v>1</v>
      </c>
      <c r="F84">
        <v>14</v>
      </c>
      <c r="G84" t="b">
        <v>0</v>
      </c>
      <c r="H84">
        <v>2</v>
      </c>
      <c r="I84">
        <v>1</v>
      </c>
      <c r="J84">
        <v>0.26</v>
      </c>
    </row>
    <row r="85" spans="1:10">
      <c r="A85">
        <v>84</v>
      </c>
      <c r="B85" s="1">
        <v>40547</v>
      </c>
      <c r="C85">
        <v>1</v>
      </c>
      <c r="D85">
        <v>0</v>
      </c>
      <c r="E85">
        <v>1</v>
      </c>
      <c r="F85">
        <v>15</v>
      </c>
      <c r="G85" t="b">
        <v>0</v>
      </c>
      <c r="H85">
        <v>2</v>
      </c>
      <c r="I85">
        <v>1</v>
      </c>
      <c r="J85">
        <v>0.28000000000000003</v>
      </c>
    </row>
    <row r="86" spans="1:10">
      <c r="A86">
        <v>85</v>
      </c>
      <c r="B86" s="1">
        <v>40547</v>
      </c>
      <c r="C86">
        <v>1</v>
      </c>
      <c r="D86">
        <v>0</v>
      </c>
      <c r="E86">
        <v>1</v>
      </c>
      <c r="F86">
        <v>16</v>
      </c>
      <c r="G86" t="b">
        <v>0</v>
      </c>
      <c r="H86">
        <v>2</v>
      </c>
      <c r="I86">
        <v>1</v>
      </c>
      <c r="J86">
        <v>0.3</v>
      </c>
    </row>
    <row r="87" spans="1:10">
      <c r="A87">
        <v>86</v>
      </c>
      <c r="B87" s="1">
        <v>40547</v>
      </c>
      <c r="C87">
        <v>1</v>
      </c>
      <c r="D87">
        <v>0</v>
      </c>
      <c r="E87">
        <v>1</v>
      </c>
      <c r="F87">
        <v>17</v>
      </c>
      <c r="G87" t="b">
        <v>0</v>
      </c>
      <c r="H87">
        <v>2</v>
      </c>
      <c r="I87">
        <v>1</v>
      </c>
      <c r="J87">
        <v>0.28000000000000003</v>
      </c>
    </row>
    <row r="88" spans="1:10">
      <c r="A88">
        <v>87</v>
      </c>
      <c r="B88" s="1">
        <v>40547</v>
      </c>
      <c r="C88">
        <v>1</v>
      </c>
      <c r="D88">
        <v>0</v>
      </c>
      <c r="E88">
        <v>1</v>
      </c>
      <c r="F88">
        <v>18</v>
      </c>
      <c r="G88" t="b">
        <v>0</v>
      </c>
      <c r="H88">
        <v>2</v>
      </c>
      <c r="I88">
        <v>1</v>
      </c>
      <c r="J88">
        <v>0.26</v>
      </c>
    </row>
    <row r="89" spans="1:10">
      <c r="A89">
        <v>88</v>
      </c>
      <c r="B89" s="1">
        <v>40547</v>
      </c>
      <c r="C89">
        <v>1</v>
      </c>
      <c r="D89">
        <v>0</v>
      </c>
      <c r="E89">
        <v>1</v>
      </c>
      <c r="F89">
        <v>19</v>
      </c>
      <c r="G89" t="b">
        <v>0</v>
      </c>
      <c r="H89">
        <v>2</v>
      </c>
      <c r="I89">
        <v>1</v>
      </c>
      <c r="J89">
        <v>0.24</v>
      </c>
    </row>
    <row r="90" spans="1:10">
      <c r="A90">
        <v>89</v>
      </c>
      <c r="B90" s="1">
        <v>40547</v>
      </c>
      <c r="C90">
        <v>1</v>
      </c>
      <c r="D90">
        <v>0</v>
      </c>
      <c r="E90">
        <v>1</v>
      </c>
      <c r="F90">
        <v>20</v>
      </c>
      <c r="G90" t="b">
        <v>0</v>
      </c>
      <c r="H90">
        <v>2</v>
      </c>
      <c r="I90">
        <v>1</v>
      </c>
      <c r="J90">
        <v>0.24</v>
      </c>
    </row>
    <row r="91" spans="1:10">
      <c r="A91">
        <v>90</v>
      </c>
      <c r="B91" s="1">
        <v>40547</v>
      </c>
      <c r="C91">
        <v>1</v>
      </c>
      <c r="D91">
        <v>0</v>
      </c>
      <c r="E91">
        <v>1</v>
      </c>
      <c r="F91">
        <v>21</v>
      </c>
      <c r="G91" t="b">
        <v>0</v>
      </c>
      <c r="H91">
        <v>2</v>
      </c>
      <c r="I91">
        <v>1</v>
      </c>
      <c r="J91">
        <v>0.22</v>
      </c>
    </row>
    <row r="92" spans="1:10">
      <c r="A92">
        <v>91</v>
      </c>
      <c r="B92" s="1">
        <v>40547</v>
      </c>
      <c r="C92">
        <v>1</v>
      </c>
      <c r="D92">
        <v>0</v>
      </c>
      <c r="E92">
        <v>1</v>
      </c>
      <c r="F92">
        <v>22</v>
      </c>
      <c r="G92" t="b">
        <v>0</v>
      </c>
      <c r="H92">
        <v>2</v>
      </c>
      <c r="I92">
        <v>1</v>
      </c>
      <c r="J92">
        <v>0.22</v>
      </c>
    </row>
    <row r="93" spans="1:10">
      <c r="A93">
        <v>92</v>
      </c>
      <c r="B93" s="1">
        <v>40547</v>
      </c>
      <c r="C93">
        <v>1</v>
      </c>
      <c r="D93">
        <v>0</v>
      </c>
      <c r="E93">
        <v>1</v>
      </c>
      <c r="F93">
        <v>23</v>
      </c>
      <c r="G93" t="b">
        <v>0</v>
      </c>
      <c r="H93">
        <v>2</v>
      </c>
      <c r="I93">
        <v>1</v>
      </c>
      <c r="J93">
        <v>0.2</v>
      </c>
    </row>
    <row r="94" spans="1:10">
      <c r="A94">
        <v>93</v>
      </c>
      <c r="B94" s="1">
        <v>40548</v>
      </c>
      <c r="C94">
        <v>1</v>
      </c>
      <c r="D94">
        <v>0</v>
      </c>
      <c r="E94">
        <v>1</v>
      </c>
      <c r="F94">
        <v>0</v>
      </c>
      <c r="G94" t="b">
        <v>0</v>
      </c>
      <c r="H94">
        <v>3</v>
      </c>
      <c r="I94">
        <v>1</v>
      </c>
      <c r="J94">
        <v>0.2</v>
      </c>
    </row>
    <row r="95" spans="1:10">
      <c r="A95">
        <v>94</v>
      </c>
      <c r="B95" s="1">
        <v>40548</v>
      </c>
      <c r="C95">
        <v>1</v>
      </c>
      <c r="D95">
        <v>0</v>
      </c>
      <c r="E95">
        <v>1</v>
      </c>
      <c r="F95">
        <v>1</v>
      </c>
      <c r="G95" t="b">
        <v>0</v>
      </c>
      <c r="H95">
        <v>3</v>
      </c>
      <c r="I95">
        <v>1</v>
      </c>
      <c r="J95">
        <v>0.16</v>
      </c>
    </row>
    <row r="96" spans="1:10">
      <c r="A96">
        <v>95</v>
      </c>
      <c r="B96" s="1">
        <v>40548</v>
      </c>
      <c r="C96">
        <v>1</v>
      </c>
      <c r="D96">
        <v>0</v>
      </c>
      <c r="E96">
        <v>1</v>
      </c>
      <c r="F96">
        <v>2</v>
      </c>
      <c r="G96" t="b">
        <v>0</v>
      </c>
      <c r="H96">
        <v>3</v>
      </c>
      <c r="I96">
        <v>1</v>
      </c>
      <c r="J96">
        <v>0.16</v>
      </c>
    </row>
    <row r="97" spans="1:10">
      <c r="A97">
        <v>96</v>
      </c>
      <c r="B97" s="1">
        <v>40548</v>
      </c>
      <c r="C97">
        <v>1</v>
      </c>
      <c r="D97">
        <v>0</v>
      </c>
      <c r="E97">
        <v>1</v>
      </c>
      <c r="F97">
        <v>4</v>
      </c>
      <c r="G97" t="b">
        <v>0</v>
      </c>
      <c r="H97">
        <v>3</v>
      </c>
      <c r="I97">
        <v>1</v>
      </c>
      <c r="J97">
        <v>0.24</v>
      </c>
    </row>
    <row r="98" spans="1:10">
      <c r="A98">
        <v>97</v>
      </c>
      <c r="B98" s="1">
        <v>40548</v>
      </c>
      <c r="C98">
        <v>1</v>
      </c>
      <c r="D98">
        <v>0</v>
      </c>
      <c r="E98">
        <v>1</v>
      </c>
      <c r="F98">
        <v>5</v>
      </c>
      <c r="G98" t="b">
        <v>0</v>
      </c>
      <c r="H98">
        <v>3</v>
      </c>
      <c r="I98">
        <v>1</v>
      </c>
      <c r="J98">
        <v>0.22</v>
      </c>
    </row>
    <row r="99" spans="1:10">
      <c r="A99">
        <v>98</v>
      </c>
      <c r="B99" s="1">
        <v>40548</v>
      </c>
      <c r="C99">
        <v>1</v>
      </c>
      <c r="D99">
        <v>0</v>
      </c>
      <c r="E99">
        <v>1</v>
      </c>
      <c r="F99">
        <v>6</v>
      </c>
      <c r="G99" t="b">
        <v>0</v>
      </c>
      <c r="H99">
        <v>3</v>
      </c>
      <c r="I99">
        <v>1</v>
      </c>
      <c r="J99">
        <v>0.2</v>
      </c>
    </row>
    <row r="100" spans="1:10">
      <c r="A100">
        <v>99</v>
      </c>
      <c r="B100" s="1">
        <v>40548</v>
      </c>
      <c r="C100">
        <v>1</v>
      </c>
      <c r="D100">
        <v>0</v>
      </c>
      <c r="E100">
        <v>1</v>
      </c>
      <c r="F100">
        <v>7</v>
      </c>
      <c r="G100" t="b">
        <v>0</v>
      </c>
      <c r="H100">
        <v>3</v>
      </c>
      <c r="I100">
        <v>1</v>
      </c>
      <c r="J100">
        <v>0.18</v>
      </c>
    </row>
    <row r="101" spans="1:10">
      <c r="A101">
        <v>100</v>
      </c>
      <c r="B101" s="1">
        <v>40548</v>
      </c>
      <c r="C101">
        <v>1</v>
      </c>
      <c r="D101">
        <v>0</v>
      </c>
      <c r="E101">
        <v>1</v>
      </c>
      <c r="F101">
        <v>8</v>
      </c>
      <c r="G101" t="b">
        <v>0</v>
      </c>
      <c r="H101">
        <v>3</v>
      </c>
      <c r="I101">
        <v>1</v>
      </c>
      <c r="J101">
        <v>0.2</v>
      </c>
    </row>
    <row r="102" spans="1:10">
      <c r="A102">
        <v>101</v>
      </c>
      <c r="B102" s="1">
        <v>40548</v>
      </c>
      <c r="C102">
        <v>1</v>
      </c>
      <c r="D102">
        <v>0</v>
      </c>
      <c r="E102">
        <v>1</v>
      </c>
      <c r="F102">
        <v>9</v>
      </c>
      <c r="G102" t="b">
        <v>0</v>
      </c>
      <c r="H102">
        <v>3</v>
      </c>
      <c r="I102">
        <v>1</v>
      </c>
      <c r="J102">
        <v>0.22</v>
      </c>
    </row>
    <row r="103" spans="1:10">
      <c r="A103">
        <v>102</v>
      </c>
      <c r="B103" s="1">
        <v>40548</v>
      </c>
      <c r="C103">
        <v>1</v>
      </c>
      <c r="D103">
        <v>0</v>
      </c>
      <c r="E103">
        <v>1</v>
      </c>
      <c r="F103">
        <v>10</v>
      </c>
      <c r="G103" t="b">
        <v>0</v>
      </c>
      <c r="H103">
        <v>3</v>
      </c>
      <c r="I103">
        <v>1</v>
      </c>
      <c r="J103">
        <v>0.22</v>
      </c>
    </row>
    <row r="104" spans="1:10">
      <c r="A104">
        <v>103</v>
      </c>
      <c r="B104" s="1">
        <v>40548</v>
      </c>
      <c r="C104">
        <v>1</v>
      </c>
      <c r="D104">
        <v>0</v>
      </c>
      <c r="E104">
        <v>1</v>
      </c>
      <c r="F104">
        <v>11</v>
      </c>
      <c r="G104" t="b">
        <v>0</v>
      </c>
      <c r="H104">
        <v>3</v>
      </c>
      <c r="I104">
        <v>1</v>
      </c>
      <c r="J104">
        <v>0.26</v>
      </c>
    </row>
    <row r="105" spans="1:10">
      <c r="A105">
        <v>104</v>
      </c>
      <c r="B105" s="1">
        <v>40548</v>
      </c>
      <c r="C105">
        <v>1</v>
      </c>
      <c r="D105">
        <v>0</v>
      </c>
      <c r="E105">
        <v>1</v>
      </c>
      <c r="F105">
        <v>12</v>
      </c>
      <c r="G105" t="b">
        <v>0</v>
      </c>
      <c r="H105">
        <v>3</v>
      </c>
      <c r="I105">
        <v>1</v>
      </c>
      <c r="J105">
        <v>0.26</v>
      </c>
    </row>
    <row r="106" spans="1:10">
      <c r="A106">
        <v>105</v>
      </c>
      <c r="B106" s="1">
        <v>40548</v>
      </c>
      <c r="C106">
        <v>1</v>
      </c>
      <c r="D106">
        <v>0</v>
      </c>
      <c r="E106">
        <v>1</v>
      </c>
      <c r="F106">
        <v>13</v>
      </c>
      <c r="G106" t="b">
        <v>0</v>
      </c>
      <c r="H106">
        <v>3</v>
      </c>
      <c r="I106">
        <v>1</v>
      </c>
      <c r="J106">
        <v>0.28000000000000003</v>
      </c>
    </row>
    <row r="107" spans="1:10">
      <c r="A107">
        <v>106</v>
      </c>
      <c r="B107" s="1">
        <v>40548</v>
      </c>
      <c r="C107">
        <v>1</v>
      </c>
      <c r="D107">
        <v>0</v>
      </c>
      <c r="E107">
        <v>1</v>
      </c>
      <c r="F107">
        <v>14</v>
      </c>
      <c r="G107" t="b">
        <v>0</v>
      </c>
      <c r="H107">
        <v>3</v>
      </c>
      <c r="I107">
        <v>1</v>
      </c>
      <c r="J107">
        <v>0.3</v>
      </c>
    </row>
    <row r="108" spans="1:10">
      <c r="A108">
        <v>107</v>
      </c>
      <c r="B108" s="1">
        <v>40548</v>
      </c>
      <c r="C108">
        <v>1</v>
      </c>
      <c r="D108">
        <v>0</v>
      </c>
      <c r="E108">
        <v>1</v>
      </c>
      <c r="F108">
        <v>15</v>
      </c>
      <c r="G108" t="b">
        <v>0</v>
      </c>
      <c r="H108">
        <v>3</v>
      </c>
      <c r="I108">
        <v>1</v>
      </c>
      <c r="J108">
        <v>0.3</v>
      </c>
    </row>
    <row r="109" spans="1:10">
      <c r="A109">
        <v>108</v>
      </c>
      <c r="B109" s="1">
        <v>40548</v>
      </c>
      <c r="C109">
        <v>1</v>
      </c>
      <c r="D109">
        <v>0</v>
      </c>
      <c r="E109">
        <v>1</v>
      </c>
      <c r="F109">
        <v>16</v>
      </c>
      <c r="G109" t="b">
        <v>0</v>
      </c>
      <c r="H109">
        <v>3</v>
      </c>
      <c r="I109">
        <v>1</v>
      </c>
      <c r="J109">
        <v>0.3</v>
      </c>
    </row>
    <row r="110" spans="1:10">
      <c r="A110">
        <v>109</v>
      </c>
      <c r="B110" s="1">
        <v>40548</v>
      </c>
      <c r="C110">
        <v>1</v>
      </c>
      <c r="D110">
        <v>0</v>
      </c>
      <c r="E110">
        <v>1</v>
      </c>
      <c r="F110">
        <v>17</v>
      </c>
      <c r="G110" t="b">
        <v>0</v>
      </c>
      <c r="H110">
        <v>3</v>
      </c>
      <c r="I110">
        <v>1</v>
      </c>
      <c r="J110">
        <v>0.24</v>
      </c>
    </row>
    <row r="111" spans="1:10">
      <c r="A111">
        <v>110</v>
      </c>
      <c r="B111" s="1">
        <v>40548</v>
      </c>
      <c r="C111">
        <v>1</v>
      </c>
      <c r="D111">
        <v>0</v>
      </c>
      <c r="E111">
        <v>1</v>
      </c>
      <c r="F111">
        <v>18</v>
      </c>
      <c r="G111" t="b">
        <v>0</v>
      </c>
      <c r="H111">
        <v>3</v>
      </c>
      <c r="I111">
        <v>1</v>
      </c>
      <c r="J111">
        <v>0.24</v>
      </c>
    </row>
    <row r="112" spans="1:10">
      <c r="A112">
        <v>111</v>
      </c>
      <c r="B112" s="1">
        <v>40548</v>
      </c>
      <c r="C112">
        <v>1</v>
      </c>
      <c r="D112">
        <v>0</v>
      </c>
      <c r="E112">
        <v>1</v>
      </c>
      <c r="F112">
        <v>19</v>
      </c>
      <c r="G112" t="b">
        <v>0</v>
      </c>
      <c r="H112">
        <v>3</v>
      </c>
      <c r="I112">
        <v>1</v>
      </c>
      <c r="J112">
        <v>0.24</v>
      </c>
    </row>
    <row r="113" spans="1:10">
      <c r="A113">
        <v>112</v>
      </c>
      <c r="B113" s="1">
        <v>40548</v>
      </c>
      <c r="C113">
        <v>1</v>
      </c>
      <c r="D113">
        <v>0</v>
      </c>
      <c r="E113">
        <v>1</v>
      </c>
      <c r="F113">
        <v>20</v>
      </c>
      <c r="G113" t="b">
        <v>0</v>
      </c>
      <c r="H113">
        <v>3</v>
      </c>
      <c r="I113">
        <v>1</v>
      </c>
      <c r="J113">
        <v>0.22</v>
      </c>
    </row>
    <row r="114" spans="1:10">
      <c r="A114">
        <v>113</v>
      </c>
      <c r="B114" s="1">
        <v>40548</v>
      </c>
      <c r="C114">
        <v>1</v>
      </c>
      <c r="D114">
        <v>0</v>
      </c>
      <c r="E114">
        <v>1</v>
      </c>
      <c r="F114">
        <v>21</v>
      </c>
      <c r="G114" t="b">
        <v>0</v>
      </c>
      <c r="H114">
        <v>3</v>
      </c>
      <c r="I114">
        <v>1</v>
      </c>
      <c r="J114">
        <v>0.2</v>
      </c>
    </row>
    <row r="115" spans="1:10">
      <c r="A115">
        <v>114</v>
      </c>
      <c r="B115" s="1">
        <v>40548</v>
      </c>
      <c r="C115">
        <v>1</v>
      </c>
      <c r="D115">
        <v>0</v>
      </c>
      <c r="E115">
        <v>1</v>
      </c>
      <c r="F115">
        <v>22</v>
      </c>
      <c r="G115" t="b">
        <v>0</v>
      </c>
      <c r="H115">
        <v>3</v>
      </c>
      <c r="I115">
        <v>1</v>
      </c>
      <c r="J115">
        <v>0.18</v>
      </c>
    </row>
    <row r="116" spans="1:10">
      <c r="A116">
        <v>115</v>
      </c>
      <c r="B116" s="1">
        <v>40548</v>
      </c>
      <c r="C116">
        <v>1</v>
      </c>
      <c r="D116">
        <v>0</v>
      </c>
      <c r="E116">
        <v>1</v>
      </c>
      <c r="F116">
        <v>23</v>
      </c>
      <c r="G116" t="b">
        <v>0</v>
      </c>
      <c r="H116">
        <v>3</v>
      </c>
      <c r="I116">
        <v>1</v>
      </c>
      <c r="J116">
        <v>0.2</v>
      </c>
    </row>
    <row r="117" spans="1:10">
      <c r="A117">
        <v>116</v>
      </c>
      <c r="B117" s="1">
        <v>40549</v>
      </c>
      <c r="C117">
        <v>1</v>
      </c>
      <c r="D117">
        <v>0</v>
      </c>
      <c r="E117">
        <v>1</v>
      </c>
      <c r="F117">
        <v>0</v>
      </c>
      <c r="G117" t="b">
        <v>0</v>
      </c>
      <c r="H117">
        <v>4</v>
      </c>
      <c r="I117">
        <v>1</v>
      </c>
      <c r="J117">
        <v>0.18</v>
      </c>
    </row>
    <row r="118" spans="1:10">
      <c r="A118">
        <v>117</v>
      </c>
      <c r="B118" s="1">
        <v>40549</v>
      </c>
      <c r="C118">
        <v>1</v>
      </c>
      <c r="D118">
        <v>0</v>
      </c>
      <c r="E118">
        <v>1</v>
      </c>
      <c r="F118">
        <v>1</v>
      </c>
      <c r="G118" t="b">
        <v>0</v>
      </c>
      <c r="H118">
        <v>4</v>
      </c>
      <c r="I118">
        <v>1</v>
      </c>
      <c r="J118">
        <v>0.16</v>
      </c>
    </row>
    <row r="119" spans="1:10">
      <c r="A119">
        <v>118</v>
      </c>
      <c r="B119" s="1">
        <v>40549</v>
      </c>
      <c r="C119">
        <v>1</v>
      </c>
      <c r="D119">
        <v>0</v>
      </c>
      <c r="E119">
        <v>1</v>
      </c>
      <c r="F119">
        <v>2</v>
      </c>
      <c r="G119" t="b">
        <v>0</v>
      </c>
      <c r="H119">
        <v>4</v>
      </c>
      <c r="I119">
        <v>1</v>
      </c>
      <c r="J119">
        <v>0.16</v>
      </c>
    </row>
    <row r="120" spans="1:10">
      <c r="A120">
        <v>119</v>
      </c>
      <c r="B120" s="1">
        <v>40549</v>
      </c>
      <c r="C120">
        <v>1</v>
      </c>
      <c r="D120">
        <v>0</v>
      </c>
      <c r="E120">
        <v>1</v>
      </c>
      <c r="F120">
        <v>4</v>
      </c>
      <c r="G120" t="b">
        <v>0</v>
      </c>
      <c r="H120">
        <v>4</v>
      </c>
      <c r="I120">
        <v>2</v>
      </c>
      <c r="J120">
        <v>0.16</v>
      </c>
    </row>
    <row r="121" spans="1:10">
      <c r="A121">
        <v>120</v>
      </c>
      <c r="B121" s="1">
        <v>40549</v>
      </c>
      <c r="C121">
        <v>1</v>
      </c>
      <c r="D121">
        <v>0</v>
      </c>
      <c r="E121">
        <v>1</v>
      </c>
      <c r="F121">
        <v>5</v>
      </c>
      <c r="G121" t="b">
        <v>0</v>
      </c>
      <c r="H121">
        <v>4</v>
      </c>
      <c r="I121">
        <v>2</v>
      </c>
      <c r="J121">
        <v>0.14000000000000001</v>
      </c>
    </row>
    <row r="122" spans="1:10">
      <c r="A122">
        <v>121</v>
      </c>
      <c r="B122" s="1">
        <v>40549</v>
      </c>
      <c r="C122">
        <v>1</v>
      </c>
      <c r="D122">
        <v>0</v>
      </c>
      <c r="E122">
        <v>1</v>
      </c>
      <c r="F122">
        <v>6</v>
      </c>
      <c r="G122" t="b">
        <v>0</v>
      </c>
      <c r="H122">
        <v>4</v>
      </c>
      <c r="I122">
        <v>2</v>
      </c>
      <c r="J122">
        <v>0.14000000000000001</v>
      </c>
    </row>
    <row r="123" spans="1:10">
      <c r="A123">
        <v>122</v>
      </c>
      <c r="B123" s="1">
        <v>40549</v>
      </c>
      <c r="C123">
        <v>1</v>
      </c>
      <c r="D123">
        <v>0</v>
      </c>
      <c r="E123">
        <v>1</v>
      </c>
      <c r="F123">
        <v>7</v>
      </c>
      <c r="G123" t="b">
        <v>0</v>
      </c>
      <c r="H123">
        <v>4</v>
      </c>
      <c r="I123">
        <v>2</v>
      </c>
      <c r="J123">
        <v>0.16</v>
      </c>
    </row>
    <row r="124" spans="1:10">
      <c r="A124">
        <v>123</v>
      </c>
      <c r="B124" s="1">
        <v>40549</v>
      </c>
      <c r="C124">
        <v>1</v>
      </c>
      <c r="D124">
        <v>0</v>
      </c>
      <c r="E124">
        <v>1</v>
      </c>
      <c r="F124">
        <v>8</v>
      </c>
      <c r="G124" t="b">
        <v>0</v>
      </c>
      <c r="H124">
        <v>4</v>
      </c>
      <c r="I124">
        <v>1</v>
      </c>
      <c r="J124">
        <v>0.16</v>
      </c>
    </row>
    <row r="125" spans="1:10">
      <c r="A125">
        <v>124</v>
      </c>
      <c r="B125" s="1">
        <v>40549</v>
      </c>
      <c r="C125">
        <v>1</v>
      </c>
      <c r="D125">
        <v>0</v>
      </c>
      <c r="E125">
        <v>1</v>
      </c>
      <c r="F125">
        <v>9</v>
      </c>
      <c r="G125" t="b">
        <v>0</v>
      </c>
      <c r="H125">
        <v>4</v>
      </c>
      <c r="I125">
        <v>2</v>
      </c>
      <c r="J125">
        <v>0.18</v>
      </c>
    </row>
    <row r="126" spans="1:10">
      <c r="A126">
        <v>125</v>
      </c>
      <c r="B126" s="1">
        <v>40549</v>
      </c>
      <c r="C126">
        <v>1</v>
      </c>
      <c r="D126">
        <v>0</v>
      </c>
      <c r="E126">
        <v>1</v>
      </c>
      <c r="F126">
        <v>10</v>
      </c>
      <c r="G126" t="b">
        <v>0</v>
      </c>
      <c r="H126">
        <v>4</v>
      </c>
      <c r="I126">
        <v>1</v>
      </c>
      <c r="J126">
        <v>0.2</v>
      </c>
    </row>
    <row r="127" spans="1:10">
      <c r="A127">
        <v>126</v>
      </c>
      <c r="B127" s="1">
        <v>40549</v>
      </c>
      <c r="C127">
        <v>1</v>
      </c>
      <c r="D127">
        <v>0</v>
      </c>
      <c r="E127">
        <v>1</v>
      </c>
      <c r="F127">
        <v>11</v>
      </c>
      <c r="G127" t="b">
        <v>0</v>
      </c>
      <c r="H127">
        <v>4</v>
      </c>
      <c r="I127">
        <v>1</v>
      </c>
      <c r="J127">
        <v>0.22</v>
      </c>
    </row>
    <row r="128" spans="1:10">
      <c r="A128">
        <v>127</v>
      </c>
      <c r="B128" s="1">
        <v>40549</v>
      </c>
      <c r="C128">
        <v>1</v>
      </c>
      <c r="D128">
        <v>0</v>
      </c>
      <c r="E128">
        <v>1</v>
      </c>
      <c r="F128">
        <v>12</v>
      </c>
      <c r="G128" t="b">
        <v>0</v>
      </c>
      <c r="H128">
        <v>4</v>
      </c>
      <c r="I128">
        <v>1</v>
      </c>
      <c r="J128">
        <v>0.26</v>
      </c>
    </row>
    <row r="129" spans="1:10">
      <c r="A129">
        <v>128</v>
      </c>
      <c r="B129" s="1">
        <v>40549</v>
      </c>
      <c r="C129">
        <v>1</v>
      </c>
      <c r="D129">
        <v>0</v>
      </c>
      <c r="E129">
        <v>1</v>
      </c>
      <c r="F129">
        <v>13</v>
      </c>
      <c r="G129" t="b">
        <v>0</v>
      </c>
      <c r="H129">
        <v>4</v>
      </c>
      <c r="I129">
        <v>1</v>
      </c>
      <c r="J129">
        <v>0.26</v>
      </c>
    </row>
    <row r="130" spans="1:10">
      <c r="A130">
        <v>129</v>
      </c>
      <c r="B130" s="1">
        <v>40549</v>
      </c>
      <c r="C130">
        <v>1</v>
      </c>
      <c r="D130">
        <v>0</v>
      </c>
      <c r="E130">
        <v>1</v>
      </c>
      <c r="F130">
        <v>14</v>
      </c>
      <c r="G130" t="b">
        <v>0</v>
      </c>
      <c r="H130">
        <v>4</v>
      </c>
      <c r="I130">
        <v>1</v>
      </c>
      <c r="J130">
        <v>0.28000000000000003</v>
      </c>
    </row>
    <row r="131" spans="1:10">
      <c r="A131">
        <v>130</v>
      </c>
      <c r="B131" s="1">
        <v>40549</v>
      </c>
      <c r="C131">
        <v>1</v>
      </c>
      <c r="D131">
        <v>0</v>
      </c>
      <c r="E131">
        <v>1</v>
      </c>
      <c r="F131">
        <v>15</v>
      </c>
      <c r="G131" t="b">
        <v>0</v>
      </c>
      <c r="H131">
        <v>4</v>
      </c>
      <c r="I131">
        <v>1</v>
      </c>
      <c r="J131">
        <v>0.28000000000000003</v>
      </c>
    </row>
    <row r="132" spans="1:10">
      <c r="A132">
        <v>131</v>
      </c>
      <c r="B132" s="1">
        <v>40549</v>
      </c>
      <c r="C132">
        <v>1</v>
      </c>
      <c r="D132">
        <v>0</v>
      </c>
      <c r="E132">
        <v>1</v>
      </c>
      <c r="F132">
        <v>16</v>
      </c>
      <c r="G132" t="b">
        <v>0</v>
      </c>
      <c r="H132">
        <v>4</v>
      </c>
      <c r="I132">
        <v>1</v>
      </c>
      <c r="J132">
        <v>0.26</v>
      </c>
    </row>
    <row r="133" spans="1:10">
      <c r="A133">
        <v>132</v>
      </c>
      <c r="B133" s="1">
        <v>40549</v>
      </c>
      <c r="C133">
        <v>1</v>
      </c>
      <c r="D133">
        <v>0</v>
      </c>
      <c r="E133">
        <v>1</v>
      </c>
      <c r="F133">
        <v>17</v>
      </c>
      <c r="G133" t="b">
        <v>0</v>
      </c>
      <c r="H133">
        <v>4</v>
      </c>
      <c r="I133">
        <v>1</v>
      </c>
      <c r="J133">
        <v>0.22</v>
      </c>
    </row>
    <row r="134" spans="1:10">
      <c r="A134">
        <v>133</v>
      </c>
      <c r="B134" s="1">
        <v>40549</v>
      </c>
      <c r="C134">
        <v>1</v>
      </c>
      <c r="D134">
        <v>0</v>
      </c>
      <c r="E134">
        <v>1</v>
      </c>
      <c r="F134">
        <v>18</v>
      </c>
      <c r="G134" t="b">
        <v>0</v>
      </c>
      <c r="H134">
        <v>4</v>
      </c>
      <c r="I134">
        <v>1</v>
      </c>
      <c r="J134">
        <v>0.22</v>
      </c>
    </row>
    <row r="135" spans="1:10">
      <c r="A135">
        <v>134</v>
      </c>
      <c r="B135" s="1">
        <v>40549</v>
      </c>
      <c r="C135">
        <v>1</v>
      </c>
      <c r="D135">
        <v>0</v>
      </c>
      <c r="E135">
        <v>1</v>
      </c>
      <c r="F135">
        <v>19</v>
      </c>
      <c r="G135" t="b">
        <v>0</v>
      </c>
      <c r="H135">
        <v>4</v>
      </c>
      <c r="I135">
        <v>1</v>
      </c>
      <c r="J135">
        <v>0.22</v>
      </c>
    </row>
    <row r="136" spans="1:10">
      <c r="A136">
        <v>135</v>
      </c>
      <c r="B136" s="1">
        <v>40549</v>
      </c>
      <c r="C136">
        <v>1</v>
      </c>
      <c r="D136">
        <v>0</v>
      </c>
      <c r="E136">
        <v>1</v>
      </c>
      <c r="F136">
        <v>20</v>
      </c>
      <c r="G136" t="b">
        <v>0</v>
      </c>
      <c r="H136">
        <v>4</v>
      </c>
      <c r="I136">
        <v>1</v>
      </c>
      <c r="J136">
        <v>0.2</v>
      </c>
    </row>
    <row r="137" spans="1:10">
      <c r="A137">
        <v>136</v>
      </c>
      <c r="B137" s="1">
        <v>40549</v>
      </c>
      <c r="C137">
        <v>1</v>
      </c>
      <c r="D137">
        <v>0</v>
      </c>
      <c r="E137">
        <v>1</v>
      </c>
      <c r="F137">
        <v>21</v>
      </c>
      <c r="G137" t="b">
        <v>0</v>
      </c>
      <c r="H137">
        <v>4</v>
      </c>
      <c r="I137">
        <v>2</v>
      </c>
      <c r="J137">
        <v>0.22</v>
      </c>
    </row>
    <row r="138" spans="1:10">
      <c r="A138">
        <v>137</v>
      </c>
      <c r="B138" s="1">
        <v>40549</v>
      </c>
      <c r="C138">
        <v>1</v>
      </c>
      <c r="D138">
        <v>0</v>
      </c>
      <c r="E138">
        <v>1</v>
      </c>
      <c r="F138">
        <v>22</v>
      </c>
      <c r="G138" t="b">
        <v>0</v>
      </c>
      <c r="H138">
        <v>4</v>
      </c>
      <c r="I138">
        <v>2</v>
      </c>
      <c r="J138">
        <v>0.22</v>
      </c>
    </row>
    <row r="139" spans="1:10">
      <c r="A139">
        <v>138</v>
      </c>
      <c r="B139" s="1">
        <v>40549</v>
      </c>
      <c r="C139">
        <v>1</v>
      </c>
      <c r="D139">
        <v>0</v>
      </c>
      <c r="E139">
        <v>1</v>
      </c>
      <c r="F139">
        <v>23</v>
      </c>
      <c r="G139" t="b">
        <v>0</v>
      </c>
      <c r="H139">
        <v>4</v>
      </c>
      <c r="I139">
        <v>2</v>
      </c>
      <c r="J139">
        <v>0.2</v>
      </c>
    </row>
    <row r="140" spans="1:10">
      <c r="A140">
        <v>139</v>
      </c>
      <c r="B140" s="1">
        <v>40550</v>
      </c>
      <c r="C140">
        <v>1</v>
      </c>
      <c r="D140">
        <v>0</v>
      </c>
      <c r="E140">
        <v>1</v>
      </c>
      <c r="F140">
        <v>0</v>
      </c>
      <c r="G140" t="b">
        <v>0</v>
      </c>
      <c r="H140">
        <v>5</v>
      </c>
      <c r="I140">
        <v>2</v>
      </c>
      <c r="J140">
        <v>0.2</v>
      </c>
    </row>
    <row r="141" spans="1:10">
      <c r="A141">
        <v>140</v>
      </c>
      <c r="B141" s="1">
        <v>40550</v>
      </c>
      <c r="C141">
        <v>1</v>
      </c>
      <c r="D141">
        <v>0</v>
      </c>
      <c r="E141">
        <v>1</v>
      </c>
      <c r="F141">
        <v>1</v>
      </c>
      <c r="G141" t="b">
        <v>0</v>
      </c>
      <c r="H141">
        <v>5</v>
      </c>
      <c r="I141">
        <v>2</v>
      </c>
      <c r="J141">
        <v>0.2</v>
      </c>
    </row>
    <row r="142" spans="1:10">
      <c r="A142">
        <v>141</v>
      </c>
      <c r="B142" s="1">
        <v>40550</v>
      </c>
      <c r="C142">
        <v>1</v>
      </c>
      <c r="D142">
        <v>0</v>
      </c>
      <c r="E142">
        <v>1</v>
      </c>
      <c r="F142">
        <v>2</v>
      </c>
      <c r="G142" t="b">
        <v>0</v>
      </c>
      <c r="H142">
        <v>5</v>
      </c>
      <c r="I142">
        <v>2</v>
      </c>
      <c r="J142">
        <v>0.2</v>
      </c>
    </row>
    <row r="143" spans="1:10">
      <c r="A143">
        <v>142</v>
      </c>
      <c r="B143" s="1">
        <v>40550</v>
      </c>
      <c r="C143">
        <v>1</v>
      </c>
      <c r="D143">
        <v>0</v>
      </c>
      <c r="E143">
        <v>1</v>
      </c>
      <c r="F143">
        <v>4</v>
      </c>
      <c r="G143" t="b">
        <v>0</v>
      </c>
      <c r="H143">
        <v>5</v>
      </c>
      <c r="I143">
        <v>2</v>
      </c>
      <c r="J143">
        <v>0.2</v>
      </c>
    </row>
    <row r="144" spans="1:10">
      <c r="A144">
        <v>143</v>
      </c>
      <c r="B144" s="1">
        <v>40550</v>
      </c>
      <c r="C144">
        <v>1</v>
      </c>
      <c r="D144">
        <v>0</v>
      </c>
      <c r="E144">
        <v>1</v>
      </c>
      <c r="F144">
        <v>5</v>
      </c>
      <c r="G144" t="b">
        <v>0</v>
      </c>
      <c r="H144">
        <v>5</v>
      </c>
      <c r="I144">
        <v>3</v>
      </c>
      <c r="J144">
        <v>0.22</v>
      </c>
    </row>
    <row r="145" spans="1:10">
      <c r="A145">
        <v>144</v>
      </c>
      <c r="B145" s="1">
        <v>40550</v>
      </c>
      <c r="C145">
        <v>1</v>
      </c>
      <c r="D145">
        <v>0</v>
      </c>
      <c r="E145">
        <v>1</v>
      </c>
      <c r="F145">
        <v>6</v>
      </c>
      <c r="G145" t="b">
        <v>0</v>
      </c>
      <c r="H145">
        <v>5</v>
      </c>
      <c r="I145">
        <v>2</v>
      </c>
      <c r="J145">
        <v>0.2</v>
      </c>
    </row>
    <row r="146" spans="1:10">
      <c r="A146">
        <v>145</v>
      </c>
      <c r="B146" s="1">
        <v>40550</v>
      </c>
      <c r="C146">
        <v>1</v>
      </c>
      <c r="D146">
        <v>0</v>
      </c>
      <c r="E146">
        <v>1</v>
      </c>
      <c r="F146">
        <v>7</v>
      </c>
      <c r="G146" t="b">
        <v>0</v>
      </c>
      <c r="H146">
        <v>5</v>
      </c>
      <c r="I146">
        <v>1</v>
      </c>
      <c r="J146">
        <v>0.2</v>
      </c>
    </row>
    <row r="147" spans="1:10">
      <c r="A147">
        <v>146</v>
      </c>
      <c r="B147" s="1">
        <v>40550</v>
      </c>
      <c r="C147">
        <v>1</v>
      </c>
      <c r="D147">
        <v>0</v>
      </c>
      <c r="E147">
        <v>1</v>
      </c>
      <c r="F147">
        <v>8</v>
      </c>
      <c r="G147" t="b">
        <v>0</v>
      </c>
      <c r="H147">
        <v>5</v>
      </c>
      <c r="I147">
        <v>1</v>
      </c>
      <c r="J147">
        <v>0.2</v>
      </c>
    </row>
    <row r="148" spans="1:10">
      <c r="A148">
        <v>147</v>
      </c>
      <c r="B148" s="1">
        <v>40550</v>
      </c>
      <c r="C148">
        <v>1</v>
      </c>
      <c r="D148">
        <v>0</v>
      </c>
      <c r="E148">
        <v>1</v>
      </c>
      <c r="F148">
        <v>9</v>
      </c>
      <c r="G148" t="b">
        <v>0</v>
      </c>
      <c r="H148">
        <v>5</v>
      </c>
      <c r="I148">
        <v>1</v>
      </c>
      <c r="J148">
        <v>0.2</v>
      </c>
    </row>
    <row r="149" spans="1:10">
      <c r="A149">
        <v>148</v>
      </c>
      <c r="B149" s="1">
        <v>40550</v>
      </c>
      <c r="C149">
        <v>1</v>
      </c>
      <c r="D149">
        <v>0</v>
      </c>
      <c r="E149">
        <v>1</v>
      </c>
      <c r="F149">
        <v>10</v>
      </c>
      <c r="G149" t="b">
        <v>0</v>
      </c>
      <c r="H149">
        <v>5</v>
      </c>
      <c r="I149">
        <v>1</v>
      </c>
      <c r="J149">
        <v>0.22</v>
      </c>
    </row>
    <row r="150" spans="1:10">
      <c r="A150">
        <v>149</v>
      </c>
      <c r="B150" s="1">
        <v>40550</v>
      </c>
      <c r="C150">
        <v>1</v>
      </c>
      <c r="D150">
        <v>0</v>
      </c>
      <c r="E150">
        <v>1</v>
      </c>
      <c r="F150">
        <v>11</v>
      </c>
      <c r="G150" t="b">
        <v>0</v>
      </c>
      <c r="H150">
        <v>5</v>
      </c>
      <c r="I150">
        <v>2</v>
      </c>
      <c r="J150">
        <v>0.2</v>
      </c>
    </row>
    <row r="151" spans="1:10">
      <c r="A151">
        <v>150</v>
      </c>
      <c r="B151" s="1">
        <v>40550</v>
      </c>
      <c r="C151">
        <v>1</v>
      </c>
      <c r="D151">
        <v>0</v>
      </c>
      <c r="E151">
        <v>1</v>
      </c>
      <c r="F151">
        <v>12</v>
      </c>
      <c r="G151" t="b">
        <v>0</v>
      </c>
      <c r="H151">
        <v>5</v>
      </c>
      <c r="I151">
        <v>2</v>
      </c>
      <c r="J151">
        <v>0.2</v>
      </c>
    </row>
    <row r="152" spans="1:10">
      <c r="A152">
        <v>151</v>
      </c>
      <c r="B152" s="1">
        <v>40550</v>
      </c>
      <c r="C152">
        <v>1</v>
      </c>
      <c r="D152">
        <v>0</v>
      </c>
      <c r="E152">
        <v>1</v>
      </c>
      <c r="F152">
        <v>13</v>
      </c>
      <c r="G152" t="b">
        <v>0</v>
      </c>
      <c r="H152">
        <v>5</v>
      </c>
      <c r="I152">
        <v>2</v>
      </c>
      <c r="J152">
        <v>0.2</v>
      </c>
    </row>
    <row r="153" spans="1:10">
      <c r="A153">
        <v>152</v>
      </c>
      <c r="B153" s="1">
        <v>40550</v>
      </c>
      <c r="C153">
        <v>1</v>
      </c>
      <c r="D153">
        <v>0</v>
      </c>
      <c r="E153">
        <v>1</v>
      </c>
      <c r="F153">
        <v>14</v>
      </c>
      <c r="G153" t="b">
        <v>0</v>
      </c>
      <c r="H153">
        <v>5</v>
      </c>
      <c r="I153">
        <v>2</v>
      </c>
      <c r="J153">
        <v>0.2</v>
      </c>
    </row>
    <row r="154" spans="1:10">
      <c r="A154">
        <v>153</v>
      </c>
      <c r="B154" s="1">
        <v>40550</v>
      </c>
      <c r="C154">
        <v>1</v>
      </c>
      <c r="D154">
        <v>0</v>
      </c>
      <c r="E154">
        <v>1</v>
      </c>
      <c r="F154">
        <v>15</v>
      </c>
      <c r="G154" t="b">
        <v>0</v>
      </c>
      <c r="H154">
        <v>5</v>
      </c>
      <c r="I154">
        <v>2</v>
      </c>
      <c r="J154">
        <v>0.2</v>
      </c>
    </row>
    <row r="155" spans="1:10">
      <c r="A155">
        <v>154</v>
      </c>
      <c r="B155" s="1">
        <v>40550</v>
      </c>
      <c r="C155">
        <v>1</v>
      </c>
      <c r="D155">
        <v>0</v>
      </c>
      <c r="E155">
        <v>1</v>
      </c>
      <c r="F155">
        <v>16</v>
      </c>
      <c r="G155" t="b">
        <v>0</v>
      </c>
      <c r="H155">
        <v>5</v>
      </c>
      <c r="I155">
        <v>2</v>
      </c>
      <c r="J155">
        <v>0.2</v>
      </c>
    </row>
    <row r="156" spans="1:10">
      <c r="A156">
        <v>155</v>
      </c>
      <c r="B156" s="1">
        <v>40550</v>
      </c>
      <c r="C156">
        <v>1</v>
      </c>
      <c r="D156">
        <v>0</v>
      </c>
      <c r="E156">
        <v>1</v>
      </c>
      <c r="F156">
        <v>17</v>
      </c>
      <c r="G156" t="b">
        <v>0</v>
      </c>
      <c r="H156">
        <v>5</v>
      </c>
      <c r="I156">
        <v>2</v>
      </c>
      <c r="J156">
        <v>0.2</v>
      </c>
    </row>
    <row r="157" spans="1:10">
      <c r="A157">
        <v>156</v>
      </c>
      <c r="B157" s="1">
        <v>40550</v>
      </c>
      <c r="C157">
        <v>1</v>
      </c>
      <c r="D157">
        <v>0</v>
      </c>
      <c r="E157">
        <v>1</v>
      </c>
      <c r="F157">
        <v>18</v>
      </c>
      <c r="G157" t="b">
        <v>0</v>
      </c>
      <c r="H157">
        <v>5</v>
      </c>
      <c r="I157">
        <v>1</v>
      </c>
      <c r="J157">
        <v>0.2</v>
      </c>
    </row>
    <row r="158" spans="1:10">
      <c r="A158">
        <v>157</v>
      </c>
      <c r="B158" s="1">
        <v>40550</v>
      </c>
      <c r="C158">
        <v>1</v>
      </c>
      <c r="D158">
        <v>0</v>
      </c>
      <c r="E158">
        <v>1</v>
      </c>
      <c r="F158">
        <v>19</v>
      </c>
      <c r="G158" t="b">
        <v>0</v>
      </c>
      <c r="H158">
        <v>5</v>
      </c>
      <c r="I158">
        <v>1</v>
      </c>
      <c r="J158">
        <v>0.16</v>
      </c>
    </row>
    <row r="159" spans="1:10">
      <c r="A159">
        <v>158</v>
      </c>
      <c r="B159" s="1">
        <v>40550</v>
      </c>
      <c r="C159">
        <v>1</v>
      </c>
      <c r="D159">
        <v>0</v>
      </c>
      <c r="E159">
        <v>1</v>
      </c>
      <c r="F159">
        <v>20</v>
      </c>
      <c r="G159" t="b">
        <v>0</v>
      </c>
      <c r="H159">
        <v>5</v>
      </c>
      <c r="I159">
        <v>1</v>
      </c>
      <c r="J159">
        <v>0.18</v>
      </c>
    </row>
    <row r="160" spans="1:10">
      <c r="A160">
        <v>159</v>
      </c>
      <c r="B160" s="1">
        <v>40550</v>
      </c>
      <c r="C160">
        <v>1</v>
      </c>
      <c r="D160">
        <v>0</v>
      </c>
      <c r="E160">
        <v>1</v>
      </c>
      <c r="F160">
        <v>21</v>
      </c>
      <c r="G160" t="b">
        <v>0</v>
      </c>
      <c r="H160">
        <v>5</v>
      </c>
      <c r="I160">
        <v>1</v>
      </c>
      <c r="J160">
        <v>0.18</v>
      </c>
    </row>
    <row r="161" spans="1:10">
      <c r="A161">
        <v>160</v>
      </c>
      <c r="B161" s="1">
        <v>40550</v>
      </c>
      <c r="C161">
        <v>1</v>
      </c>
      <c r="D161">
        <v>0</v>
      </c>
      <c r="E161">
        <v>1</v>
      </c>
      <c r="F161">
        <v>22</v>
      </c>
      <c r="G161" t="b">
        <v>0</v>
      </c>
      <c r="H161">
        <v>5</v>
      </c>
      <c r="I161">
        <v>2</v>
      </c>
      <c r="J161">
        <v>0.18</v>
      </c>
    </row>
    <row r="162" spans="1:10">
      <c r="A162">
        <v>161</v>
      </c>
      <c r="B162" s="1">
        <v>40550</v>
      </c>
      <c r="C162">
        <v>1</v>
      </c>
      <c r="D162">
        <v>0</v>
      </c>
      <c r="E162">
        <v>1</v>
      </c>
      <c r="F162">
        <v>23</v>
      </c>
      <c r="G162" t="b">
        <v>0</v>
      </c>
      <c r="H162">
        <v>5</v>
      </c>
      <c r="I162">
        <v>2</v>
      </c>
      <c r="J162">
        <v>0.18</v>
      </c>
    </row>
    <row r="163" spans="1:10">
      <c r="A163">
        <v>162</v>
      </c>
      <c r="B163" s="1">
        <v>40551</v>
      </c>
      <c r="C163">
        <v>1</v>
      </c>
      <c r="D163">
        <v>0</v>
      </c>
      <c r="E163">
        <v>1</v>
      </c>
      <c r="F163">
        <v>0</v>
      </c>
      <c r="G163" t="b">
        <v>0</v>
      </c>
      <c r="H163">
        <v>6</v>
      </c>
      <c r="I163">
        <v>2</v>
      </c>
      <c r="J163">
        <v>0.18</v>
      </c>
    </row>
    <row r="164" spans="1:10">
      <c r="A164">
        <v>163</v>
      </c>
      <c r="B164" s="1">
        <v>40551</v>
      </c>
      <c r="C164">
        <v>1</v>
      </c>
      <c r="D164">
        <v>0</v>
      </c>
      <c r="E164">
        <v>1</v>
      </c>
      <c r="F164">
        <v>1</v>
      </c>
      <c r="G164" t="b">
        <v>0</v>
      </c>
      <c r="H164">
        <v>6</v>
      </c>
      <c r="I164">
        <v>2</v>
      </c>
      <c r="J164">
        <v>0.18</v>
      </c>
    </row>
    <row r="165" spans="1:10">
      <c r="A165">
        <v>164</v>
      </c>
      <c r="B165" s="1">
        <v>40551</v>
      </c>
      <c r="C165">
        <v>1</v>
      </c>
      <c r="D165">
        <v>0</v>
      </c>
      <c r="E165">
        <v>1</v>
      </c>
      <c r="F165">
        <v>2</v>
      </c>
      <c r="G165" t="b">
        <v>0</v>
      </c>
      <c r="H165">
        <v>6</v>
      </c>
      <c r="I165">
        <v>2</v>
      </c>
      <c r="J165">
        <v>0.18</v>
      </c>
    </row>
    <row r="166" spans="1:10">
      <c r="A166">
        <v>165</v>
      </c>
      <c r="B166" s="1">
        <v>40551</v>
      </c>
      <c r="C166">
        <v>1</v>
      </c>
      <c r="D166">
        <v>0</v>
      </c>
      <c r="E166">
        <v>1</v>
      </c>
      <c r="F166">
        <v>3</v>
      </c>
      <c r="G166" t="b">
        <v>0</v>
      </c>
      <c r="H166">
        <v>6</v>
      </c>
      <c r="I166">
        <v>3</v>
      </c>
      <c r="J166">
        <v>0.18</v>
      </c>
    </row>
    <row r="167" spans="1:10">
      <c r="A167">
        <v>166</v>
      </c>
      <c r="B167" s="1">
        <v>40551</v>
      </c>
      <c r="C167">
        <v>1</v>
      </c>
      <c r="D167">
        <v>0</v>
      </c>
      <c r="E167">
        <v>1</v>
      </c>
      <c r="F167">
        <v>4</v>
      </c>
      <c r="G167" t="b">
        <v>0</v>
      </c>
      <c r="H167">
        <v>6</v>
      </c>
      <c r="I167">
        <v>3</v>
      </c>
      <c r="J167">
        <v>0.18</v>
      </c>
    </row>
    <row r="168" spans="1:10">
      <c r="A168">
        <v>167</v>
      </c>
      <c r="B168" s="1">
        <v>40551</v>
      </c>
      <c r="C168">
        <v>1</v>
      </c>
      <c r="D168">
        <v>0</v>
      </c>
      <c r="E168">
        <v>1</v>
      </c>
      <c r="F168">
        <v>5</v>
      </c>
      <c r="G168" t="b">
        <v>0</v>
      </c>
      <c r="H168">
        <v>6</v>
      </c>
      <c r="I168">
        <v>2</v>
      </c>
      <c r="J168">
        <v>0.16</v>
      </c>
    </row>
    <row r="169" spans="1:10">
      <c r="A169">
        <v>168</v>
      </c>
      <c r="B169" s="1">
        <v>40551</v>
      </c>
      <c r="C169">
        <v>1</v>
      </c>
      <c r="D169">
        <v>0</v>
      </c>
      <c r="E169">
        <v>1</v>
      </c>
      <c r="F169">
        <v>6</v>
      </c>
      <c r="G169" t="b">
        <v>0</v>
      </c>
      <c r="H169">
        <v>6</v>
      </c>
      <c r="I169">
        <v>2</v>
      </c>
      <c r="J169">
        <v>0.16</v>
      </c>
    </row>
    <row r="170" spans="1:10">
      <c r="A170">
        <v>169</v>
      </c>
      <c r="B170" s="1">
        <v>40551</v>
      </c>
      <c r="C170">
        <v>1</v>
      </c>
      <c r="D170">
        <v>0</v>
      </c>
      <c r="E170">
        <v>1</v>
      </c>
      <c r="F170">
        <v>7</v>
      </c>
      <c r="G170" t="b">
        <v>0</v>
      </c>
      <c r="H170">
        <v>6</v>
      </c>
      <c r="I170">
        <v>2</v>
      </c>
      <c r="J170">
        <v>0.16</v>
      </c>
    </row>
    <row r="171" spans="1:10">
      <c r="A171">
        <v>170</v>
      </c>
      <c r="B171" s="1">
        <v>40551</v>
      </c>
      <c r="C171">
        <v>1</v>
      </c>
      <c r="D171">
        <v>0</v>
      </c>
      <c r="E171">
        <v>1</v>
      </c>
      <c r="F171">
        <v>8</v>
      </c>
      <c r="G171" t="b">
        <v>0</v>
      </c>
      <c r="H171">
        <v>6</v>
      </c>
      <c r="I171">
        <v>3</v>
      </c>
      <c r="J171">
        <v>0.16</v>
      </c>
    </row>
    <row r="172" spans="1:10">
      <c r="A172">
        <v>171</v>
      </c>
      <c r="B172" s="1">
        <v>40551</v>
      </c>
      <c r="C172">
        <v>1</v>
      </c>
      <c r="D172">
        <v>0</v>
      </c>
      <c r="E172">
        <v>1</v>
      </c>
      <c r="F172">
        <v>9</v>
      </c>
      <c r="G172" t="b">
        <v>0</v>
      </c>
      <c r="H172">
        <v>6</v>
      </c>
      <c r="I172">
        <v>3</v>
      </c>
      <c r="J172">
        <v>0.16</v>
      </c>
    </row>
    <row r="173" spans="1:10">
      <c r="A173">
        <v>172</v>
      </c>
      <c r="B173" s="1">
        <v>40551</v>
      </c>
      <c r="C173">
        <v>1</v>
      </c>
      <c r="D173">
        <v>0</v>
      </c>
      <c r="E173">
        <v>1</v>
      </c>
      <c r="F173">
        <v>10</v>
      </c>
      <c r="G173" t="b">
        <v>0</v>
      </c>
      <c r="H173">
        <v>6</v>
      </c>
      <c r="I173">
        <v>2</v>
      </c>
      <c r="J173">
        <v>0.18</v>
      </c>
    </row>
    <row r="174" spans="1:10">
      <c r="A174">
        <v>173</v>
      </c>
      <c r="B174" s="1">
        <v>40551</v>
      </c>
      <c r="C174">
        <v>1</v>
      </c>
      <c r="D174">
        <v>0</v>
      </c>
      <c r="E174">
        <v>1</v>
      </c>
      <c r="F174">
        <v>11</v>
      </c>
      <c r="G174" t="b">
        <v>0</v>
      </c>
      <c r="H174">
        <v>6</v>
      </c>
      <c r="I174">
        <v>2</v>
      </c>
      <c r="J174">
        <v>0.2</v>
      </c>
    </row>
    <row r="175" spans="1:10">
      <c r="A175">
        <v>174</v>
      </c>
      <c r="B175" s="1">
        <v>40551</v>
      </c>
      <c r="C175">
        <v>1</v>
      </c>
      <c r="D175">
        <v>0</v>
      </c>
      <c r="E175">
        <v>1</v>
      </c>
      <c r="F175">
        <v>12</v>
      </c>
      <c r="G175" t="b">
        <v>0</v>
      </c>
      <c r="H175">
        <v>6</v>
      </c>
      <c r="I175">
        <v>2</v>
      </c>
      <c r="J175">
        <v>0.2</v>
      </c>
    </row>
    <row r="176" spans="1:10">
      <c r="A176">
        <v>175</v>
      </c>
      <c r="B176" s="1">
        <v>40551</v>
      </c>
      <c r="C176">
        <v>1</v>
      </c>
      <c r="D176">
        <v>0</v>
      </c>
      <c r="E176">
        <v>1</v>
      </c>
      <c r="F176">
        <v>13</v>
      </c>
      <c r="G176" t="b">
        <v>0</v>
      </c>
      <c r="H176">
        <v>6</v>
      </c>
      <c r="I176">
        <v>1</v>
      </c>
      <c r="J176">
        <v>0.2</v>
      </c>
    </row>
    <row r="177" spans="1:10">
      <c r="A177">
        <v>176</v>
      </c>
      <c r="B177" s="1">
        <v>40551</v>
      </c>
      <c r="C177">
        <v>1</v>
      </c>
      <c r="D177">
        <v>0</v>
      </c>
      <c r="E177">
        <v>1</v>
      </c>
      <c r="F177">
        <v>14</v>
      </c>
      <c r="G177" t="b">
        <v>0</v>
      </c>
      <c r="H177">
        <v>6</v>
      </c>
      <c r="I177">
        <v>1</v>
      </c>
      <c r="J177">
        <v>0.2</v>
      </c>
    </row>
    <row r="178" spans="1:10">
      <c r="A178">
        <v>177</v>
      </c>
      <c r="B178" s="1">
        <v>40551</v>
      </c>
      <c r="C178">
        <v>1</v>
      </c>
      <c r="D178">
        <v>0</v>
      </c>
      <c r="E178">
        <v>1</v>
      </c>
      <c r="F178">
        <v>15</v>
      </c>
      <c r="G178" t="b">
        <v>0</v>
      </c>
      <c r="H178">
        <v>6</v>
      </c>
      <c r="I178">
        <v>1</v>
      </c>
      <c r="J178">
        <v>0.2</v>
      </c>
    </row>
    <row r="179" spans="1:10">
      <c r="A179">
        <v>178</v>
      </c>
      <c r="B179" s="1">
        <v>40551</v>
      </c>
      <c r="C179">
        <v>1</v>
      </c>
      <c r="D179">
        <v>0</v>
      </c>
      <c r="E179">
        <v>1</v>
      </c>
      <c r="F179">
        <v>16</v>
      </c>
      <c r="G179" t="b">
        <v>0</v>
      </c>
      <c r="H179">
        <v>6</v>
      </c>
      <c r="I179">
        <v>1</v>
      </c>
      <c r="J179">
        <v>0.18</v>
      </c>
    </row>
    <row r="180" spans="1:10">
      <c r="A180">
        <v>179</v>
      </c>
      <c r="B180" s="1">
        <v>40551</v>
      </c>
      <c r="C180">
        <v>1</v>
      </c>
      <c r="D180">
        <v>0</v>
      </c>
      <c r="E180">
        <v>1</v>
      </c>
      <c r="F180">
        <v>17</v>
      </c>
      <c r="G180" t="b">
        <v>0</v>
      </c>
      <c r="H180">
        <v>6</v>
      </c>
      <c r="I180">
        <v>1</v>
      </c>
      <c r="J180">
        <v>0.16</v>
      </c>
    </row>
    <row r="181" spans="1:10">
      <c r="A181">
        <v>180</v>
      </c>
      <c r="B181" s="1">
        <v>40551</v>
      </c>
      <c r="C181">
        <v>1</v>
      </c>
      <c r="D181">
        <v>0</v>
      </c>
      <c r="E181">
        <v>1</v>
      </c>
      <c r="F181">
        <v>18</v>
      </c>
      <c r="G181" t="b">
        <v>0</v>
      </c>
      <c r="H181">
        <v>6</v>
      </c>
      <c r="I181">
        <v>1</v>
      </c>
      <c r="J181">
        <v>0.14000000000000001</v>
      </c>
    </row>
    <row r="182" spans="1:10">
      <c r="A182">
        <v>181</v>
      </c>
      <c r="B182" s="1">
        <v>40551</v>
      </c>
      <c r="C182">
        <v>1</v>
      </c>
      <c r="D182">
        <v>0</v>
      </c>
      <c r="E182">
        <v>1</v>
      </c>
      <c r="F182">
        <v>19</v>
      </c>
      <c r="G182" t="b">
        <v>0</v>
      </c>
      <c r="H182">
        <v>6</v>
      </c>
      <c r="I182">
        <v>1</v>
      </c>
      <c r="J182">
        <v>0.14000000000000001</v>
      </c>
    </row>
    <row r="183" spans="1:10">
      <c r="A183">
        <v>182</v>
      </c>
      <c r="B183" s="1">
        <v>40551</v>
      </c>
      <c r="C183">
        <v>1</v>
      </c>
      <c r="D183">
        <v>0</v>
      </c>
      <c r="E183">
        <v>1</v>
      </c>
      <c r="F183">
        <v>20</v>
      </c>
      <c r="G183" t="b">
        <v>0</v>
      </c>
      <c r="H183">
        <v>6</v>
      </c>
      <c r="I183">
        <v>1</v>
      </c>
      <c r="J183">
        <v>0.12</v>
      </c>
    </row>
    <row r="184" spans="1:10">
      <c r="A184">
        <v>183</v>
      </c>
      <c r="B184" s="1">
        <v>40551</v>
      </c>
      <c r="C184">
        <v>1</v>
      </c>
      <c r="D184">
        <v>0</v>
      </c>
      <c r="E184">
        <v>1</v>
      </c>
      <c r="F184">
        <v>21</v>
      </c>
      <c r="G184" t="b">
        <v>0</v>
      </c>
      <c r="H184">
        <v>6</v>
      </c>
      <c r="I184">
        <v>1</v>
      </c>
      <c r="J184">
        <v>0.12</v>
      </c>
    </row>
    <row r="185" spans="1:10">
      <c r="A185">
        <v>184</v>
      </c>
      <c r="B185" s="1">
        <v>40551</v>
      </c>
      <c r="C185">
        <v>1</v>
      </c>
      <c r="D185">
        <v>0</v>
      </c>
      <c r="E185">
        <v>1</v>
      </c>
      <c r="F185">
        <v>22</v>
      </c>
      <c r="G185" t="b">
        <v>0</v>
      </c>
      <c r="H185">
        <v>6</v>
      </c>
      <c r="I185">
        <v>1</v>
      </c>
      <c r="J185">
        <v>0.12</v>
      </c>
    </row>
    <row r="186" spans="1:10">
      <c r="A186">
        <v>185</v>
      </c>
      <c r="B186" s="1">
        <v>40551</v>
      </c>
      <c r="C186">
        <v>1</v>
      </c>
      <c r="D186">
        <v>0</v>
      </c>
      <c r="E186">
        <v>1</v>
      </c>
      <c r="F186">
        <v>23</v>
      </c>
      <c r="G186" t="b">
        <v>0</v>
      </c>
      <c r="H186">
        <v>6</v>
      </c>
      <c r="I186">
        <v>1</v>
      </c>
      <c r="J186">
        <v>0.1</v>
      </c>
    </row>
    <row r="187" spans="1:10">
      <c r="A187">
        <v>186</v>
      </c>
      <c r="B187" s="1">
        <v>40552</v>
      </c>
      <c r="C187">
        <v>1</v>
      </c>
      <c r="D187">
        <v>0</v>
      </c>
      <c r="E187">
        <v>1</v>
      </c>
      <c r="F187">
        <v>0</v>
      </c>
      <c r="G187" t="b">
        <v>0</v>
      </c>
      <c r="H187">
        <v>0</v>
      </c>
      <c r="I187">
        <v>1</v>
      </c>
      <c r="J187">
        <v>0.1</v>
      </c>
    </row>
    <row r="188" spans="1:10">
      <c r="A188">
        <v>187</v>
      </c>
      <c r="B188" s="1">
        <v>40552</v>
      </c>
      <c r="C188">
        <v>1</v>
      </c>
      <c r="D188">
        <v>0</v>
      </c>
      <c r="E188">
        <v>1</v>
      </c>
      <c r="F188">
        <v>1</v>
      </c>
      <c r="G188" t="b">
        <v>0</v>
      </c>
      <c r="H188">
        <v>0</v>
      </c>
      <c r="I188">
        <v>1</v>
      </c>
      <c r="J188">
        <v>0.1</v>
      </c>
    </row>
    <row r="189" spans="1:10">
      <c r="A189">
        <v>188</v>
      </c>
      <c r="B189" s="1">
        <v>40552</v>
      </c>
      <c r="C189">
        <v>1</v>
      </c>
      <c r="D189">
        <v>0</v>
      </c>
      <c r="E189">
        <v>1</v>
      </c>
      <c r="F189">
        <v>2</v>
      </c>
      <c r="G189" t="b">
        <v>0</v>
      </c>
      <c r="H189">
        <v>0</v>
      </c>
      <c r="I189">
        <v>1</v>
      </c>
      <c r="J189">
        <v>0.1</v>
      </c>
    </row>
    <row r="190" spans="1:10">
      <c r="A190">
        <v>189</v>
      </c>
      <c r="B190" s="1">
        <v>40552</v>
      </c>
      <c r="C190">
        <v>1</v>
      </c>
      <c r="D190">
        <v>0</v>
      </c>
      <c r="E190">
        <v>1</v>
      </c>
      <c r="F190">
        <v>3</v>
      </c>
      <c r="G190" t="b">
        <v>0</v>
      </c>
      <c r="H190">
        <v>0</v>
      </c>
      <c r="I190">
        <v>1</v>
      </c>
      <c r="J190">
        <v>0.1</v>
      </c>
    </row>
    <row r="191" spans="1:10">
      <c r="A191">
        <v>190</v>
      </c>
      <c r="B191" s="1">
        <v>40552</v>
      </c>
      <c r="C191">
        <v>1</v>
      </c>
      <c r="D191">
        <v>0</v>
      </c>
      <c r="E191">
        <v>1</v>
      </c>
      <c r="F191">
        <v>4</v>
      </c>
      <c r="G191" t="b">
        <v>0</v>
      </c>
      <c r="H191">
        <v>0</v>
      </c>
      <c r="I191">
        <v>1</v>
      </c>
      <c r="J191">
        <v>0.08</v>
      </c>
    </row>
    <row r="192" spans="1:10">
      <c r="A192">
        <v>191</v>
      </c>
      <c r="B192" s="1">
        <v>40552</v>
      </c>
      <c r="C192">
        <v>1</v>
      </c>
      <c r="D192">
        <v>0</v>
      </c>
      <c r="E192">
        <v>1</v>
      </c>
      <c r="F192">
        <v>5</v>
      </c>
      <c r="G192" t="b">
        <v>0</v>
      </c>
      <c r="H192">
        <v>0</v>
      </c>
      <c r="I192">
        <v>1</v>
      </c>
      <c r="J192">
        <v>0.08</v>
      </c>
    </row>
    <row r="193" spans="1:10">
      <c r="A193">
        <v>192</v>
      </c>
      <c r="B193" s="1">
        <v>40552</v>
      </c>
      <c r="C193">
        <v>1</v>
      </c>
      <c r="D193">
        <v>0</v>
      </c>
      <c r="E193">
        <v>1</v>
      </c>
      <c r="F193">
        <v>6</v>
      </c>
      <c r="G193" t="b">
        <v>0</v>
      </c>
      <c r="H193">
        <v>0</v>
      </c>
      <c r="I193">
        <v>1</v>
      </c>
      <c r="J193">
        <v>0.1</v>
      </c>
    </row>
    <row r="194" spans="1:10">
      <c r="A194">
        <v>193</v>
      </c>
      <c r="B194" s="1">
        <v>40552</v>
      </c>
      <c r="C194">
        <v>1</v>
      </c>
      <c r="D194">
        <v>0</v>
      </c>
      <c r="E194">
        <v>1</v>
      </c>
      <c r="F194">
        <v>7</v>
      </c>
      <c r="G194" t="b">
        <v>0</v>
      </c>
      <c r="H194">
        <v>0</v>
      </c>
      <c r="I194">
        <v>1</v>
      </c>
      <c r="J194">
        <v>0.08</v>
      </c>
    </row>
    <row r="195" spans="1:10">
      <c r="A195">
        <v>194</v>
      </c>
      <c r="B195" s="1">
        <v>40552</v>
      </c>
      <c r="C195">
        <v>1</v>
      </c>
      <c r="D195">
        <v>0</v>
      </c>
      <c r="E195">
        <v>1</v>
      </c>
      <c r="F195">
        <v>8</v>
      </c>
      <c r="G195" t="b">
        <v>0</v>
      </c>
      <c r="H195">
        <v>0</v>
      </c>
      <c r="I195">
        <v>1</v>
      </c>
      <c r="J195">
        <v>0.1</v>
      </c>
    </row>
    <row r="196" spans="1:10">
      <c r="A196">
        <v>195</v>
      </c>
      <c r="B196" s="1">
        <v>40552</v>
      </c>
      <c r="C196">
        <v>1</v>
      </c>
      <c r="D196">
        <v>0</v>
      </c>
      <c r="E196">
        <v>1</v>
      </c>
      <c r="F196">
        <v>9</v>
      </c>
      <c r="G196" t="b">
        <v>0</v>
      </c>
      <c r="H196">
        <v>0</v>
      </c>
      <c r="I196">
        <v>1</v>
      </c>
      <c r="J196">
        <v>0.12</v>
      </c>
    </row>
    <row r="197" spans="1:10">
      <c r="A197">
        <v>196</v>
      </c>
      <c r="B197" s="1">
        <v>40552</v>
      </c>
      <c r="C197">
        <v>1</v>
      </c>
      <c r="D197">
        <v>0</v>
      </c>
      <c r="E197">
        <v>1</v>
      </c>
      <c r="F197">
        <v>10</v>
      </c>
      <c r="G197" t="b">
        <v>0</v>
      </c>
      <c r="H197">
        <v>0</v>
      </c>
      <c r="I197">
        <v>1</v>
      </c>
      <c r="J197">
        <v>0.14000000000000001</v>
      </c>
    </row>
    <row r="198" spans="1:10">
      <c r="A198">
        <v>197</v>
      </c>
      <c r="B198" s="1">
        <v>40552</v>
      </c>
      <c r="C198">
        <v>1</v>
      </c>
      <c r="D198">
        <v>0</v>
      </c>
      <c r="E198">
        <v>1</v>
      </c>
      <c r="F198">
        <v>11</v>
      </c>
      <c r="G198" t="b">
        <v>0</v>
      </c>
      <c r="H198">
        <v>0</v>
      </c>
      <c r="I198">
        <v>1</v>
      </c>
      <c r="J198">
        <v>0.16</v>
      </c>
    </row>
    <row r="199" spans="1:10">
      <c r="A199">
        <v>198</v>
      </c>
      <c r="B199" s="1">
        <v>40552</v>
      </c>
      <c r="C199">
        <v>1</v>
      </c>
      <c r="D199">
        <v>0</v>
      </c>
      <c r="E199">
        <v>1</v>
      </c>
      <c r="F199">
        <v>12</v>
      </c>
      <c r="G199" t="b">
        <v>0</v>
      </c>
      <c r="H199">
        <v>0</v>
      </c>
      <c r="I199">
        <v>1</v>
      </c>
      <c r="J199">
        <v>0.18</v>
      </c>
    </row>
    <row r="200" spans="1:10">
      <c r="A200">
        <v>199</v>
      </c>
      <c r="B200" s="1">
        <v>40552</v>
      </c>
      <c r="C200">
        <v>1</v>
      </c>
      <c r="D200">
        <v>0</v>
      </c>
      <c r="E200">
        <v>1</v>
      </c>
      <c r="F200">
        <v>13</v>
      </c>
      <c r="G200" t="b">
        <v>0</v>
      </c>
      <c r="H200">
        <v>0</v>
      </c>
      <c r="I200">
        <v>1</v>
      </c>
      <c r="J200">
        <v>0.2</v>
      </c>
    </row>
    <row r="201" spans="1:10">
      <c r="A201">
        <v>200</v>
      </c>
      <c r="B201" s="1">
        <v>40552</v>
      </c>
      <c r="C201">
        <v>1</v>
      </c>
      <c r="D201">
        <v>0</v>
      </c>
      <c r="E201">
        <v>1</v>
      </c>
      <c r="F201">
        <v>14</v>
      </c>
      <c r="G201" t="b">
        <v>0</v>
      </c>
      <c r="H201">
        <v>0</v>
      </c>
      <c r="I201">
        <v>1</v>
      </c>
      <c r="J201">
        <v>0.22</v>
      </c>
    </row>
    <row r="202" spans="1:10">
      <c r="A202">
        <v>201</v>
      </c>
      <c r="B202" s="1">
        <v>40552</v>
      </c>
      <c r="C202">
        <v>1</v>
      </c>
      <c r="D202">
        <v>0</v>
      </c>
      <c r="E202">
        <v>1</v>
      </c>
      <c r="F202">
        <v>15</v>
      </c>
      <c r="G202" t="b">
        <v>0</v>
      </c>
      <c r="H202">
        <v>0</v>
      </c>
      <c r="I202">
        <v>1</v>
      </c>
      <c r="J202">
        <v>0.22</v>
      </c>
    </row>
    <row r="203" spans="1:10">
      <c r="A203">
        <v>202</v>
      </c>
      <c r="B203" s="1">
        <v>40552</v>
      </c>
      <c r="C203">
        <v>1</v>
      </c>
      <c r="D203">
        <v>0</v>
      </c>
      <c r="E203">
        <v>1</v>
      </c>
      <c r="F203">
        <v>16</v>
      </c>
      <c r="G203" t="b">
        <v>0</v>
      </c>
      <c r="H203">
        <v>0</v>
      </c>
      <c r="I203">
        <v>1</v>
      </c>
      <c r="J203">
        <v>0.2</v>
      </c>
    </row>
    <row r="204" spans="1:10">
      <c r="A204">
        <v>203</v>
      </c>
      <c r="B204" s="1">
        <v>40552</v>
      </c>
      <c r="C204">
        <v>1</v>
      </c>
      <c r="D204">
        <v>0</v>
      </c>
      <c r="E204">
        <v>1</v>
      </c>
      <c r="F204">
        <v>17</v>
      </c>
      <c r="G204" t="b">
        <v>0</v>
      </c>
      <c r="H204">
        <v>0</v>
      </c>
      <c r="I204">
        <v>1</v>
      </c>
      <c r="J204">
        <v>0.18</v>
      </c>
    </row>
    <row r="205" spans="1:10">
      <c r="A205">
        <v>204</v>
      </c>
      <c r="B205" s="1">
        <v>40552</v>
      </c>
      <c r="C205">
        <v>1</v>
      </c>
      <c r="D205">
        <v>0</v>
      </c>
      <c r="E205">
        <v>1</v>
      </c>
      <c r="F205">
        <v>18</v>
      </c>
      <c r="G205" t="b">
        <v>0</v>
      </c>
      <c r="H205">
        <v>0</v>
      </c>
      <c r="I205">
        <v>1</v>
      </c>
      <c r="J205">
        <v>0.16</v>
      </c>
    </row>
    <row r="206" spans="1:10">
      <c r="A206">
        <v>205</v>
      </c>
      <c r="B206" s="1">
        <v>40552</v>
      </c>
      <c r="C206">
        <v>1</v>
      </c>
      <c r="D206">
        <v>0</v>
      </c>
      <c r="E206">
        <v>1</v>
      </c>
      <c r="F206">
        <v>19</v>
      </c>
      <c r="G206" t="b">
        <v>0</v>
      </c>
      <c r="H206">
        <v>0</v>
      </c>
      <c r="I206">
        <v>1</v>
      </c>
      <c r="J206">
        <v>0.16</v>
      </c>
    </row>
    <row r="207" spans="1:10">
      <c r="A207">
        <v>206</v>
      </c>
      <c r="B207" s="1">
        <v>40552</v>
      </c>
      <c r="C207">
        <v>1</v>
      </c>
      <c r="D207">
        <v>0</v>
      </c>
      <c r="E207">
        <v>1</v>
      </c>
      <c r="F207">
        <v>20</v>
      </c>
      <c r="G207" t="b">
        <v>0</v>
      </c>
      <c r="H207">
        <v>0</v>
      </c>
      <c r="I207">
        <v>1</v>
      </c>
      <c r="J207">
        <v>0.14000000000000001</v>
      </c>
    </row>
    <row r="208" spans="1:10">
      <c r="A208">
        <v>207</v>
      </c>
      <c r="B208" s="1">
        <v>40552</v>
      </c>
      <c r="C208">
        <v>1</v>
      </c>
      <c r="D208">
        <v>0</v>
      </c>
      <c r="E208">
        <v>1</v>
      </c>
      <c r="F208">
        <v>21</v>
      </c>
      <c r="G208" t="b">
        <v>0</v>
      </c>
      <c r="H208">
        <v>0</v>
      </c>
      <c r="I208">
        <v>1</v>
      </c>
      <c r="J208">
        <v>0.14000000000000001</v>
      </c>
    </row>
    <row r="209" spans="1:10">
      <c r="A209">
        <v>208</v>
      </c>
      <c r="B209" s="1">
        <v>40552</v>
      </c>
      <c r="C209">
        <v>1</v>
      </c>
      <c r="D209">
        <v>0</v>
      </c>
      <c r="E209">
        <v>1</v>
      </c>
      <c r="F209">
        <v>22</v>
      </c>
      <c r="G209" t="b">
        <v>0</v>
      </c>
      <c r="H209">
        <v>0</v>
      </c>
      <c r="I209">
        <v>1</v>
      </c>
      <c r="J209">
        <v>0.14000000000000001</v>
      </c>
    </row>
    <row r="210" spans="1:10">
      <c r="A210">
        <v>209</v>
      </c>
      <c r="B210" s="1">
        <v>40552</v>
      </c>
      <c r="C210">
        <v>1</v>
      </c>
      <c r="D210">
        <v>0</v>
      </c>
      <c r="E210">
        <v>1</v>
      </c>
      <c r="F210">
        <v>23</v>
      </c>
      <c r="G210" t="b">
        <v>0</v>
      </c>
      <c r="H210">
        <v>0</v>
      </c>
      <c r="I210">
        <v>1</v>
      </c>
      <c r="J210">
        <v>0.12</v>
      </c>
    </row>
    <row r="211" spans="1:10">
      <c r="A211">
        <v>210</v>
      </c>
      <c r="B211" s="1">
        <v>40553</v>
      </c>
      <c r="C211">
        <v>1</v>
      </c>
      <c r="D211">
        <v>0</v>
      </c>
      <c r="E211">
        <v>1</v>
      </c>
      <c r="F211">
        <v>0</v>
      </c>
      <c r="G211" t="b">
        <v>0</v>
      </c>
      <c r="H211">
        <v>1</v>
      </c>
      <c r="I211">
        <v>1</v>
      </c>
      <c r="J211">
        <v>0.12</v>
      </c>
    </row>
    <row r="212" spans="1:10">
      <c r="A212">
        <v>211</v>
      </c>
      <c r="B212" s="1">
        <v>40553</v>
      </c>
      <c r="C212">
        <v>1</v>
      </c>
      <c r="D212">
        <v>0</v>
      </c>
      <c r="E212">
        <v>1</v>
      </c>
      <c r="F212">
        <v>1</v>
      </c>
      <c r="G212" t="b">
        <v>0</v>
      </c>
      <c r="H212">
        <v>1</v>
      </c>
      <c r="I212">
        <v>1</v>
      </c>
      <c r="J212">
        <v>0.12</v>
      </c>
    </row>
    <row r="213" spans="1:10">
      <c r="A213">
        <v>212</v>
      </c>
      <c r="B213" s="1">
        <v>40553</v>
      </c>
      <c r="C213">
        <v>1</v>
      </c>
      <c r="D213">
        <v>0</v>
      </c>
      <c r="E213">
        <v>1</v>
      </c>
      <c r="F213">
        <v>2</v>
      </c>
      <c r="G213" t="b">
        <v>0</v>
      </c>
      <c r="H213">
        <v>1</v>
      </c>
      <c r="I213">
        <v>1</v>
      </c>
      <c r="J213">
        <v>0.12</v>
      </c>
    </row>
    <row r="214" spans="1:10">
      <c r="A214">
        <v>213</v>
      </c>
      <c r="B214" s="1">
        <v>40553</v>
      </c>
      <c r="C214">
        <v>1</v>
      </c>
      <c r="D214">
        <v>0</v>
      </c>
      <c r="E214">
        <v>1</v>
      </c>
      <c r="F214">
        <v>3</v>
      </c>
      <c r="G214" t="b">
        <v>0</v>
      </c>
      <c r="H214">
        <v>1</v>
      </c>
      <c r="I214">
        <v>1</v>
      </c>
      <c r="J214">
        <v>0.12</v>
      </c>
    </row>
    <row r="215" spans="1:10">
      <c r="A215">
        <v>214</v>
      </c>
      <c r="B215" s="1">
        <v>40553</v>
      </c>
      <c r="C215">
        <v>1</v>
      </c>
      <c r="D215">
        <v>0</v>
      </c>
      <c r="E215">
        <v>1</v>
      </c>
      <c r="F215">
        <v>4</v>
      </c>
      <c r="G215" t="b">
        <v>0</v>
      </c>
      <c r="H215">
        <v>1</v>
      </c>
      <c r="I215">
        <v>1</v>
      </c>
      <c r="J215">
        <v>0.1</v>
      </c>
    </row>
    <row r="216" spans="1:10">
      <c r="A216">
        <v>215</v>
      </c>
      <c r="B216" s="1">
        <v>40553</v>
      </c>
      <c r="C216">
        <v>1</v>
      </c>
      <c r="D216">
        <v>0</v>
      </c>
      <c r="E216">
        <v>1</v>
      </c>
      <c r="F216">
        <v>5</v>
      </c>
      <c r="G216" t="b">
        <v>0</v>
      </c>
      <c r="H216">
        <v>1</v>
      </c>
      <c r="I216">
        <v>1</v>
      </c>
      <c r="J216">
        <v>0.1</v>
      </c>
    </row>
    <row r="217" spans="1:10">
      <c r="A217">
        <v>216</v>
      </c>
      <c r="B217" s="1">
        <v>40553</v>
      </c>
      <c r="C217">
        <v>1</v>
      </c>
      <c r="D217">
        <v>0</v>
      </c>
      <c r="E217">
        <v>1</v>
      </c>
      <c r="F217">
        <v>6</v>
      </c>
      <c r="G217" t="b">
        <v>0</v>
      </c>
      <c r="H217">
        <v>1</v>
      </c>
      <c r="I217">
        <v>1</v>
      </c>
      <c r="J217">
        <v>0.12</v>
      </c>
    </row>
    <row r="218" spans="1:10">
      <c r="A218">
        <v>217</v>
      </c>
      <c r="B218" s="1">
        <v>40553</v>
      </c>
      <c r="C218">
        <v>1</v>
      </c>
      <c r="D218">
        <v>0</v>
      </c>
      <c r="E218">
        <v>1</v>
      </c>
      <c r="F218">
        <v>7</v>
      </c>
      <c r="G218" t="b">
        <v>0</v>
      </c>
      <c r="H218">
        <v>1</v>
      </c>
      <c r="I218">
        <v>1</v>
      </c>
      <c r="J218">
        <v>0.12</v>
      </c>
    </row>
    <row r="219" spans="1:10">
      <c r="A219">
        <v>218</v>
      </c>
      <c r="B219" s="1">
        <v>40553</v>
      </c>
      <c r="C219">
        <v>1</v>
      </c>
      <c r="D219">
        <v>0</v>
      </c>
      <c r="E219">
        <v>1</v>
      </c>
      <c r="F219">
        <v>8</v>
      </c>
      <c r="G219" t="b">
        <v>0</v>
      </c>
      <c r="H219">
        <v>1</v>
      </c>
      <c r="I219">
        <v>2</v>
      </c>
      <c r="J219">
        <v>0.12</v>
      </c>
    </row>
    <row r="220" spans="1:10">
      <c r="A220">
        <v>219</v>
      </c>
      <c r="B220" s="1">
        <v>40553</v>
      </c>
      <c r="C220">
        <v>1</v>
      </c>
      <c r="D220">
        <v>0</v>
      </c>
      <c r="E220">
        <v>1</v>
      </c>
      <c r="F220">
        <v>9</v>
      </c>
      <c r="G220" t="b">
        <v>0</v>
      </c>
      <c r="H220">
        <v>1</v>
      </c>
      <c r="I220">
        <v>2</v>
      </c>
      <c r="J220">
        <v>0.14000000000000001</v>
      </c>
    </row>
    <row r="221" spans="1:10">
      <c r="A221">
        <v>220</v>
      </c>
      <c r="B221" s="1">
        <v>40553</v>
      </c>
      <c r="C221">
        <v>1</v>
      </c>
      <c r="D221">
        <v>0</v>
      </c>
      <c r="E221">
        <v>1</v>
      </c>
      <c r="F221">
        <v>10</v>
      </c>
      <c r="G221" t="b">
        <v>0</v>
      </c>
      <c r="H221">
        <v>1</v>
      </c>
      <c r="I221">
        <v>2</v>
      </c>
      <c r="J221">
        <v>0.14000000000000001</v>
      </c>
    </row>
    <row r="222" spans="1:10">
      <c r="A222">
        <v>221</v>
      </c>
      <c r="B222" s="1">
        <v>40553</v>
      </c>
      <c r="C222">
        <v>1</v>
      </c>
      <c r="D222">
        <v>0</v>
      </c>
      <c r="E222">
        <v>1</v>
      </c>
      <c r="F222">
        <v>11</v>
      </c>
      <c r="G222" t="b">
        <v>0</v>
      </c>
      <c r="H222">
        <v>1</v>
      </c>
      <c r="I222">
        <v>2</v>
      </c>
      <c r="J222">
        <v>0.16</v>
      </c>
    </row>
    <row r="223" spans="1:10">
      <c r="A223">
        <v>222</v>
      </c>
      <c r="B223" s="1">
        <v>40553</v>
      </c>
      <c r="C223">
        <v>1</v>
      </c>
      <c r="D223">
        <v>0</v>
      </c>
      <c r="E223">
        <v>1</v>
      </c>
      <c r="F223">
        <v>12</v>
      </c>
      <c r="G223" t="b">
        <v>0</v>
      </c>
      <c r="H223">
        <v>1</v>
      </c>
      <c r="I223">
        <v>2</v>
      </c>
      <c r="J223">
        <v>0.2</v>
      </c>
    </row>
    <row r="224" spans="1:10">
      <c r="A224">
        <v>223</v>
      </c>
      <c r="B224" s="1">
        <v>40553</v>
      </c>
      <c r="C224">
        <v>1</v>
      </c>
      <c r="D224">
        <v>0</v>
      </c>
      <c r="E224">
        <v>1</v>
      </c>
      <c r="F224">
        <v>13</v>
      </c>
      <c r="G224" t="b">
        <v>0</v>
      </c>
      <c r="H224">
        <v>1</v>
      </c>
      <c r="I224">
        <v>2</v>
      </c>
      <c r="J224">
        <v>0.2</v>
      </c>
    </row>
    <row r="225" spans="1:10">
      <c r="A225">
        <v>224</v>
      </c>
      <c r="B225" s="1">
        <v>40553</v>
      </c>
      <c r="C225">
        <v>1</v>
      </c>
      <c r="D225">
        <v>0</v>
      </c>
      <c r="E225">
        <v>1</v>
      </c>
      <c r="F225">
        <v>14</v>
      </c>
      <c r="G225" t="b">
        <v>0</v>
      </c>
      <c r="H225">
        <v>1</v>
      </c>
      <c r="I225">
        <v>2</v>
      </c>
      <c r="J225">
        <v>0.2</v>
      </c>
    </row>
    <row r="226" spans="1:10">
      <c r="A226">
        <v>225</v>
      </c>
      <c r="B226" s="1">
        <v>40553</v>
      </c>
      <c r="C226">
        <v>1</v>
      </c>
      <c r="D226">
        <v>0</v>
      </c>
      <c r="E226">
        <v>1</v>
      </c>
      <c r="F226">
        <v>15</v>
      </c>
      <c r="G226" t="b">
        <v>0</v>
      </c>
      <c r="H226">
        <v>1</v>
      </c>
      <c r="I226">
        <v>2</v>
      </c>
      <c r="J226">
        <v>0.2</v>
      </c>
    </row>
    <row r="227" spans="1:10">
      <c r="A227">
        <v>226</v>
      </c>
      <c r="B227" s="1">
        <v>40553</v>
      </c>
      <c r="C227">
        <v>1</v>
      </c>
      <c r="D227">
        <v>0</v>
      </c>
      <c r="E227">
        <v>1</v>
      </c>
      <c r="F227">
        <v>16</v>
      </c>
      <c r="G227" t="b">
        <v>0</v>
      </c>
      <c r="H227">
        <v>1</v>
      </c>
      <c r="I227">
        <v>1</v>
      </c>
      <c r="J227">
        <v>0.2</v>
      </c>
    </row>
    <row r="228" spans="1:10">
      <c r="A228">
        <v>227</v>
      </c>
      <c r="B228" s="1">
        <v>40553</v>
      </c>
      <c r="C228">
        <v>1</v>
      </c>
      <c r="D228">
        <v>0</v>
      </c>
      <c r="E228">
        <v>1</v>
      </c>
      <c r="F228">
        <v>17</v>
      </c>
      <c r="G228" t="b">
        <v>0</v>
      </c>
      <c r="H228">
        <v>1</v>
      </c>
      <c r="I228">
        <v>1</v>
      </c>
      <c r="J228">
        <v>0.2</v>
      </c>
    </row>
    <row r="229" spans="1:10">
      <c r="A229">
        <v>228</v>
      </c>
      <c r="B229" s="1">
        <v>40553</v>
      </c>
      <c r="C229">
        <v>1</v>
      </c>
      <c r="D229">
        <v>0</v>
      </c>
      <c r="E229">
        <v>1</v>
      </c>
      <c r="F229">
        <v>18</v>
      </c>
      <c r="G229" t="b">
        <v>0</v>
      </c>
      <c r="H229">
        <v>1</v>
      </c>
      <c r="I229">
        <v>1</v>
      </c>
      <c r="J229">
        <v>0.2</v>
      </c>
    </row>
    <row r="230" spans="1:10">
      <c r="A230">
        <v>229</v>
      </c>
      <c r="B230" s="1">
        <v>40553</v>
      </c>
      <c r="C230">
        <v>1</v>
      </c>
      <c r="D230">
        <v>0</v>
      </c>
      <c r="E230">
        <v>1</v>
      </c>
      <c r="F230">
        <v>19</v>
      </c>
      <c r="G230" t="b">
        <v>0</v>
      </c>
      <c r="H230">
        <v>1</v>
      </c>
      <c r="I230">
        <v>1</v>
      </c>
      <c r="J230">
        <v>0.16</v>
      </c>
    </row>
    <row r="231" spans="1:10">
      <c r="A231">
        <v>230</v>
      </c>
      <c r="B231" s="1">
        <v>40553</v>
      </c>
      <c r="C231">
        <v>1</v>
      </c>
      <c r="D231">
        <v>0</v>
      </c>
      <c r="E231">
        <v>1</v>
      </c>
      <c r="F231">
        <v>20</v>
      </c>
      <c r="G231" t="b">
        <v>0</v>
      </c>
      <c r="H231">
        <v>1</v>
      </c>
      <c r="I231">
        <v>1</v>
      </c>
      <c r="J231">
        <v>0.16</v>
      </c>
    </row>
    <row r="232" spans="1:10">
      <c r="A232">
        <v>231</v>
      </c>
      <c r="B232" s="1">
        <v>40553</v>
      </c>
      <c r="C232">
        <v>1</v>
      </c>
      <c r="D232">
        <v>0</v>
      </c>
      <c r="E232">
        <v>1</v>
      </c>
      <c r="F232">
        <v>21</v>
      </c>
      <c r="G232" t="b">
        <v>0</v>
      </c>
      <c r="H232">
        <v>1</v>
      </c>
      <c r="I232">
        <v>1</v>
      </c>
      <c r="J232">
        <v>0.14000000000000001</v>
      </c>
    </row>
    <row r="233" spans="1:10">
      <c r="A233">
        <v>232</v>
      </c>
      <c r="B233" s="1">
        <v>40553</v>
      </c>
      <c r="C233">
        <v>1</v>
      </c>
      <c r="D233">
        <v>0</v>
      </c>
      <c r="E233">
        <v>1</v>
      </c>
      <c r="F233">
        <v>22</v>
      </c>
      <c r="G233" t="b">
        <v>0</v>
      </c>
      <c r="H233">
        <v>1</v>
      </c>
      <c r="I233">
        <v>1</v>
      </c>
      <c r="J233">
        <v>0.14000000000000001</v>
      </c>
    </row>
    <row r="234" spans="1:10">
      <c r="A234">
        <v>233</v>
      </c>
      <c r="B234" s="1">
        <v>40553</v>
      </c>
      <c r="C234">
        <v>1</v>
      </c>
      <c r="D234">
        <v>0</v>
      </c>
      <c r="E234">
        <v>1</v>
      </c>
      <c r="F234">
        <v>23</v>
      </c>
      <c r="G234" t="b">
        <v>0</v>
      </c>
      <c r="H234">
        <v>1</v>
      </c>
      <c r="I234">
        <v>1</v>
      </c>
      <c r="J234">
        <v>0.14000000000000001</v>
      </c>
    </row>
    <row r="235" spans="1:10">
      <c r="A235">
        <v>234</v>
      </c>
      <c r="B235" s="1">
        <v>40554</v>
      </c>
      <c r="C235">
        <v>1</v>
      </c>
      <c r="D235">
        <v>0</v>
      </c>
      <c r="E235">
        <v>1</v>
      </c>
      <c r="F235">
        <v>0</v>
      </c>
      <c r="G235" t="b">
        <v>0</v>
      </c>
      <c r="H235">
        <v>2</v>
      </c>
      <c r="I235">
        <v>1</v>
      </c>
      <c r="J235">
        <v>0.14000000000000001</v>
      </c>
    </row>
    <row r="236" spans="1:10">
      <c r="A236">
        <v>235</v>
      </c>
      <c r="B236" s="1">
        <v>40554</v>
      </c>
      <c r="C236">
        <v>1</v>
      </c>
      <c r="D236">
        <v>0</v>
      </c>
      <c r="E236">
        <v>1</v>
      </c>
      <c r="F236">
        <v>1</v>
      </c>
      <c r="G236" t="b">
        <v>0</v>
      </c>
      <c r="H236">
        <v>2</v>
      </c>
      <c r="I236">
        <v>1</v>
      </c>
      <c r="J236">
        <v>0.14000000000000001</v>
      </c>
    </row>
    <row r="237" spans="1:10">
      <c r="A237">
        <v>236</v>
      </c>
      <c r="B237" s="1">
        <v>40554</v>
      </c>
      <c r="C237">
        <v>1</v>
      </c>
      <c r="D237">
        <v>0</v>
      </c>
      <c r="E237">
        <v>1</v>
      </c>
      <c r="F237">
        <v>2</v>
      </c>
      <c r="G237" t="b">
        <v>0</v>
      </c>
      <c r="H237">
        <v>2</v>
      </c>
      <c r="I237">
        <v>2</v>
      </c>
      <c r="J237">
        <v>0.16</v>
      </c>
    </row>
    <row r="238" spans="1:10">
      <c r="A238">
        <v>237</v>
      </c>
      <c r="B238" s="1">
        <v>40554</v>
      </c>
      <c r="C238">
        <v>1</v>
      </c>
      <c r="D238">
        <v>0</v>
      </c>
      <c r="E238">
        <v>1</v>
      </c>
      <c r="F238">
        <v>5</v>
      </c>
      <c r="G238" t="b">
        <v>0</v>
      </c>
      <c r="H238">
        <v>2</v>
      </c>
      <c r="I238">
        <v>2</v>
      </c>
      <c r="J238">
        <v>0.16</v>
      </c>
    </row>
    <row r="239" spans="1:10">
      <c r="A239">
        <v>238</v>
      </c>
      <c r="B239" s="1">
        <v>40554</v>
      </c>
      <c r="C239">
        <v>1</v>
      </c>
      <c r="D239">
        <v>0</v>
      </c>
      <c r="E239">
        <v>1</v>
      </c>
      <c r="F239">
        <v>6</v>
      </c>
      <c r="G239" t="b">
        <v>0</v>
      </c>
      <c r="H239">
        <v>2</v>
      </c>
      <c r="I239">
        <v>2</v>
      </c>
      <c r="J239">
        <v>0.16</v>
      </c>
    </row>
    <row r="240" spans="1:10">
      <c r="A240">
        <v>239</v>
      </c>
      <c r="B240" s="1">
        <v>40554</v>
      </c>
      <c r="C240">
        <v>1</v>
      </c>
      <c r="D240">
        <v>0</v>
      </c>
      <c r="E240">
        <v>1</v>
      </c>
      <c r="F240">
        <v>7</v>
      </c>
      <c r="G240" t="b">
        <v>0</v>
      </c>
      <c r="H240">
        <v>2</v>
      </c>
      <c r="I240">
        <v>2</v>
      </c>
      <c r="J240">
        <v>0.16</v>
      </c>
    </row>
    <row r="241" spans="1:10">
      <c r="A241">
        <v>240</v>
      </c>
      <c r="B241" s="1">
        <v>40554</v>
      </c>
      <c r="C241">
        <v>1</v>
      </c>
      <c r="D241">
        <v>0</v>
      </c>
      <c r="E241">
        <v>1</v>
      </c>
      <c r="F241">
        <v>8</v>
      </c>
      <c r="G241" t="b">
        <v>0</v>
      </c>
      <c r="H241">
        <v>2</v>
      </c>
      <c r="I241">
        <v>2</v>
      </c>
      <c r="J241">
        <v>0.18</v>
      </c>
    </row>
    <row r="242" spans="1:10">
      <c r="A242">
        <v>241</v>
      </c>
      <c r="B242" s="1">
        <v>40554</v>
      </c>
      <c r="C242">
        <v>1</v>
      </c>
      <c r="D242">
        <v>0</v>
      </c>
      <c r="E242">
        <v>1</v>
      </c>
      <c r="F242">
        <v>9</v>
      </c>
      <c r="G242" t="b">
        <v>0</v>
      </c>
      <c r="H242">
        <v>2</v>
      </c>
      <c r="I242">
        <v>2</v>
      </c>
      <c r="J242">
        <v>0.18</v>
      </c>
    </row>
    <row r="243" spans="1:10">
      <c r="A243">
        <v>242</v>
      </c>
      <c r="B243" s="1">
        <v>40554</v>
      </c>
      <c r="C243">
        <v>1</v>
      </c>
      <c r="D243">
        <v>0</v>
      </c>
      <c r="E243">
        <v>1</v>
      </c>
      <c r="F243">
        <v>10</v>
      </c>
      <c r="G243" t="b">
        <v>0</v>
      </c>
      <c r="H243">
        <v>2</v>
      </c>
      <c r="I243">
        <v>2</v>
      </c>
      <c r="J243">
        <v>0.2</v>
      </c>
    </row>
    <row r="244" spans="1:10">
      <c r="A244">
        <v>243</v>
      </c>
      <c r="B244" s="1">
        <v>40554</v>
      </c>
      <c r="C244">
        <v>1</v>
      </c>
      <c r="D244">
        <v>0</v>
      </c>
      <c r="E244">
        <v>1</v>
      </c>
      <c r="F244">
        <v>11</v>
      </c>
      <c r="G244" t="b">
        <v>0</v>
      </c>
      <c r="H244">
        <v>2</v>
      </c>
      <c r="I244">
        <v>2</v>
      </c>
      <c r="J244">
        <v>0.2</v>
      </c>
    </row>
    <row r="245" spans="1:10">
      <c r="A245">
        <v>244</v>
      </c>
      <c r="B245" s="1">
        <v>40554</v>
      </c>
      <c r="C245">
        <v>1</v>
      </c>
      <c r="D245">
        <v>0</v>
      </c>
      <c r="E245">
        <v>1</v>
      </c>
      <c r="F245">
        <v>12</v>
      </c>
      <c r="G245" t="b">
        <v>0</v>
      </c>
      <c r="H245">
        <v>2</v>
      </c>
      <c r="I245">
        <v>2</v>
      </c>
      <c r="J245">
        <v>0.2</v>
      </c>
    </row>
    <row r="246" spans="1:10">
      <c r="A246">
        <v>245</v>
      </c>
      <c r="B246" s="1">
        <v>40554</v>
      </c>
      <c r="C246">
        <v>1</v>
      </c>
      <c r="D246">
        <v>0</v>
      </c>
      <c r="E246">
        <v>1</v>
      </c>
      <c r="F246">
        <v>13</v>
      </c>
      <c r="G246" t="b">
        <v>0</v>
      </c>
      <c r="H246">
        <v>2</v>
      </c>
      <c r="I246">
        <v>2</v>
      </c>
      <c r="J246">
        <v>0.2</v>
      </c>
    </row>
    <row r="247" spans="1:10">
      <c r="A247">
        <v>246</v>
      </c>
      <c r="B247" s="1">
        <v>40554</v>
      </c>
      <c r="C247">
        <v>1</v>
      </c>
      <c r="D247">
        <v>0</v>
      </c>
      <c r="E247">
        <v>1</v>
      </c>
      <c r="F247">
        <v>14</v>
      </c>
      <c r="G247" t="b">
        <v>0</v>
      </c>
      <c r="H247">
        <v>2</v>
      </c>
      <c r="I247">
        <v>2</v>
      </c>
      <c r="J247">
        <v>0.2</v>
      </c>
    </row>
    <row r="248" spans="1:10">
      <c r="A248">
        <v>247</v>
      </c>
      <c r="B248" s="1">
        <v>40554</v>
      </c>
      <c r="C248">
        <v>1</v>
      </c>
      <c r="D248">
        <v>0</v>
      </c>
      <c r="E248">
        <v>1</v>
      </c>
      <c r="F248">
        <v>15</v>
      </c>
      <c r="G248" t="b">
        <v>0</v>
      </c>
      <c r="H248">
        <v>2</v>
      </c>
      <c r="I248">
        <v>2</v>
      </c>
      <c r="J248">
        <v>0.16</v>
      </c>
    </row>
    <row r="249" spans="1:10">
      <c r="A249">
        <v>248</v>
      </c>
      <c r="B249" s="1">
        <v>40554</v>
      </c>
      <c r="C249">
        <v>1</v>
      </c>
      <c r="D249">
        <v>0</v>
      </c>
      <c r="E249">
        <v>1</v>
      </c>
      <c r="F249">
        <v>16</v>
      </c>
      <c r="G249" t="b">
        <v>0</v>
      </c>
      <c r="H249">
        <v>2</v>
      </c>
      <c r="I249">
        <v>2</v>
      </c>
      <c r="J249">
        <v>0.16</v>
      </c>
    </row>
    <row r="250" spans="1:10">
      <c r="A250">
        <v>249</v>
      </c>
      <c r="B250" s="1">
        <v>40554</v>
      </c>
      <c r="C250">
        <v>1</v>
      </c>
      <c r="D250">
        <v>0</v>
      </c>
      <c r="E250">
        <v>1</v>
      </c>
      <c r="F250">
        <v>17</v>
      </c>
      <c r="G250" t="b">
        <v>0</v>
      </c>
      <c r="H250">
        <v>2</v>
      </c>
      <c r="I250">
        <v>2</v>
      </c>
      <c r="J250">
        <v>0.16</v>
      </c>
    </row>
    <row r="251" spans="1:10">
      <c r="A251">
        <v>250</v>
      </c>
      <c r="B251" s="1">
        <v>40554</v>
      </c>
      <c r="C251">
        <v>1</v>
      </c>
      <c r="D251">
        <v>0</v>
      </c>
      <c r="E251">
        <v>1</v>
      </c>
      <c r="F251">
        <v>18</v>
      </c>
      <c r="G251" t="b">
        <v>0</v>
      </c>
      <c r="H251">
        <v>2</v>
      </c>
      <c r="I251">
        <v>3</v>
      </c>
      <c r="J251">
        <v>0.16</v>
      </c>
    </row>
    <row r="252" spans="1:10">
      <c r="A252">
        <v>251</v>
      </c>
      <c r="B252" s="1">
        <v>40554</v>
      </c>
      <c r="C252">
        <v>1</v>
      </c>
      <c r="D252">
        <v>0</v>
      </c>
      <c r="E252">
        <v>1</v>
      </c>
      <c r="F252">
        <v>19</v>
      </c>
      <c r="G252" t="b">
        <v>0</v>
      </c>
      <c r="H252">
        <v>2</v>
      </c>
      <c r="I252">
        <v>3</v>
      </c>
      <c r="J252">
        <v>0.16</v>
      </c>
    </row>
    <row r="253" spans="1:10">
      <c r="A253">
        <v>252</v>
      </c>
      <c r="B253" s="1">
        <v>40554</v>
      </c>
      <c r="C253">
        <v>1</v>
      </c>
      <c r="D253">
        <v>0</v>
      </c>
      <c r="E253">
        <v>1</v>
      </c>
      <c r="F253">
        <v>20</v>
      </c>
      <c r="G253" t="b">
        <v>0</v>
      </c>
      <c r="H253">
        <v>2</v>
      </c>
      <c r="I253">
        <v>3</v>
      </c>
      <c r="J253">
        <v>0.16</v>
      </c>
    </row>
    <row r="254" spans="1:10">
      <c r="A254">
        <v>253</v>
      </c>
      <c r="B254" s="1">
        <v>40554</v>
      </c>
      <c r="C254">
        <v>1</v>
      </c>
      <c r="D254">
        <v>0</v>
      </c>
      <c r="E254">
        <v>1</v>
      </c>
      <c r="F254">
        <v>21</v>
      </c>
      <c r="G254" t="b">
        <v>0</v>
      </c>
      <c r="H254">
        <v>2</v>
      </c>
      <c r="I254">
        <v>3</v>
      </c>
      <c r="J254">
        <v>0.16</v>
      </c>
    </row>
    <row r="255" spans="1:10">
      <c r="A255">
        <v>254</v>
      </c>
      <c r="B255" s="1">
        <v>40554</v>
      </c>
      <c r="C255">
        <v>1</v>
      </c>
      <c r="D255">
        <v>0</v>
      </c>
      <c r="E255">
        <v>1</v>
      </c>
      <c r="F255">
        <v>22</v>
      </c>
      <c r="G255" t="b">
        <v>0</v>
      </c>
      <c r="H255">
        <v>2</v>
      </c>
      <c r="I255">
        <v>3</v>
      </c>
      <c r="J255">
        <v>0.16</v>
      </c>
    </row>
    <row r="256" spans="1:10">
      <c r="A256">
        <v>255</v>
      </c>
      <c r="B256" s="1">
        <v>40554</v>
      </c>
      <c r="C256">
        <v>1</v>
      </c>
      <c r="D256">
        <v>0</v>
      </c>
      <c r="E256">
        <v>1</v>
      </c>
      <c r="F256">
        <v>23</v>
      </c>
      <c r="G256" t="b">
        <v>0</v>
      </c>
      <c r="H256">
        <v>2</v>
      </c>
      <c r="I256">
        <v>3</v>
      </c>
      <c r="J256">
        <v>0.16</v>
      </c>
    </row>
    <row r="257" spans="1:10">
      <c r="A257">
        <v>256</v>
      </c>
      <c r="B257" s="1">
        <v>40555</v>
      </c>
      <c r="C257">
        <v>1</v>
      </c>
      <c r="D257">
        <v>0</v>
      </c>
      <c r="E257">
        <v>1</v>
      </c>
      <c r="F257">
        <v>0</v>
      </c>
      <c r="G257" t="b">
        <v>0</v>
      </c>
      <c r="H257">
        <v>3</v>
      </c>
      <c r="I257">
        <v>2</v>
      </c>
      <c r="J257">
        <v>0.16</v>
      </c>
    </row>
    <row r="258" spans="1:10">
      <c r="A258">
        <v>257</v>
      </c>
      <c r="B258" s="1">
        <v>40555</v>
      </c>
      <c r="C258">
        <v>1</v>
      </c>
      <c r="D258">
        <v>0</v>
      </c>
      <c r="E258">
        <v>1</v>
      </c>
      <c r="F258">
        <v>1</v>
      </c>
      <c r="G258" t="b">
        <v>0</v>
      </c>
      <c r="H258">
        <v>3</v>
      </c>
      <c r="I258">
        <v>2</v>
      </c>
      <c r="J258">
        <v>0.16</v>
      </c>
    </row>
    <row r="259" spans="1:10">
      <c r="A259">
        <v>258</v>
      </c>
      <c r="B259" s="1">
        <v>40555</v>
      </c>
      <c r="C259">
        <v>1</v>
      </c>
      <c r="D259">
        <v>0</v>
      </c>
      <c r="E259">
        <v>1</v>
      </c>
      <c r="F259">
        <v>2</v>
      </c>
      <c r="G259" t="b">
        <v>0</v>
      </c>
      <c r="H259">
        <v>3</v>
      </c>
      <c r="I259">
        <v>1</v>
      </c>
      <c r="J259">
        <v>0.14000000000000001</v>
      </c>
    </row>
    <row r="260" spans="1:10">
      <c r="A260">
        <v>259</v>
      </c>
      <c r="B260" s="1">
        <v>40555</v>
      </c>
      <c r="C260">
        <v>1</v>
      </c>
      <c r="D260">
        <v>0</v>
      </c>
      <c r="E260">
        <v>1</v>
      </c>
      <c r="F260">
        <v>5</v>
      </c>
      <c r="G260" t="b">
        <v>0</v>
      </c>
      <c r="H260">
        <v>3</v>
      </c>
      <c r="I260">
        <v>1</v>
      </c>
      <c r="J260">
        <v>0.14000000000000001</v>
      </c>
    </row>
    <row r="261" spans="1:10">
      <c r="A261">
        <v>260</v>
      </c>
      <c r="B261" s="1">
        <v>40555</v>
      </c>
      <c r="C261">
        <v>1</v>
      </c>
      <c r="D261">
        <v>0</v>
      </c>
      <c r="E261">
        <v>1</v>
      </c>
      <c r="F261">
        <v>6</v>
      </c>
      <c r="G261" t="b">
        <v>0</v>
      </c>
      <c r="H261">
        <v>3</v>
      </c>
      <c r="I261">
        <v>1</v>
      </c>
      <c r="J261">
        <v>0.12</v>
      </c>
    </row>
    <row r="262" spans="1:10">
      <c r="A262">
        <v>261</v>
      </c>
      <c r="B262" s="1">
        <v>40555</v>
      </c>
      <c r="C262">
        <v>1</v>
      </c>
      <c r="D262">
        <v>0</v>
      </c>
      <c r="E262">
        <v>1</v>
      </c>
      <c r="F262">
        <v>7</v>
      </c>
      <c r="G262" t="b">
        <v>0</v>
      </c>
      <c r="H262">
        <v>3</v>
      </c>
      <c r="I262">
        <v>1</v>
      </c>
      <c r="J262">
        <v>0.14000000000000001</v>
      </c>
    </row>
    <row r="263" spans="1:10">
      <c r="A263">
        <v>262</v>
      </c>
      <c r="B263" s="1">
        <v>40555</v>
      </c>
      <c r="C263">
        <v>1</v>
      </c>
      <c r="D263">
        <v>0</v>
      </c>
      <c r="E263">
        <v>1</v>
      </c>
      <c r="F263">
        <v>8</v>
      </c>
      <c r="G263" t="b">
        <v>0</v>
      </c>
      <c r="H263">
        <v>3</v>
      </c>
      <c r="I263">
        <v>1</v>
      </c>
      <c r="J263">
        <v>0.16</v>
      </c>
    </row>
    <row r="264" spans="1:10">
      <c r="A264">
        <v>263</v>
      </c>
      <c r="B264" s="1">
        <v>40555</v>
      </c>
      <c r="C264">
        <v>1</v>
      </c>
      <c r="D264">
        <v>0</v>
      </c>
      <c r="E264">
        <v>1</v>
      </c>
      <c r="F264">
        <v>9</v>
      </c>
      <c r="G264" t="b">
        <v>0</v>
      </c>
      <c r="H264">
        <v>3</v>
      </c>
      <c r="I264">
        <v>1</v>
      </c>
      <c r="J264">
        <v>0.16</v>
      </c>
    </row>
    <row r="265" spans="1:10">
      <c r="A265">
        <v>264</v>
      </c>
      <c r="B265" s="1">
        <v>40555</v>
      </c>
      <c r="C265">
        <v>1</v>
      </c>
      <c r="D265">
        <v>0</v>
      </c>
      <c r="E265">
        <v>1</v>
      </c>
      <c r="F265">
        <v>10</v>
      </c>
      <c r="G265" t="b">
        <v>0</v>
      </c>
      <c r="H265">
        <v>3</v>
      </c>
      <c r="I265">
        <v>1</v>
      </c>
      <c r="J265">
        <v>0.18</v>
      </c>
    </row>
    <row r="266" spans="1:10">
      <c r="A266">
        <v>265</v>
      </c>
      <c r="B266" s="1">
        <v>40555</v>
      </c>
      <c r="C266">
        <v>1</v>
      </c>
      <c r="D266">
        <v>0</v>
      </c>
      <c r="E266">
        <v>1</v>
      </c>
      <c r="F266">
        <v>11</v>
      </c>
      <c r="G266" t="b">
        <v>0</v>
      </c>
      <c r="H266">
        <v>3</v>
      </c>
      <c r="I266">
        <v>1</v>
      </c>
      <c r="J266">
        <v>0.2</v>
      </c>
    </row>
    <row r="267" spans="1:10">
      <c r="A267">
        <v>266</v>
      </c>
      <c r="B267" s="1">
        <v>40555</v>
      </c>
      <c r="C267">
        <v>1</v>
      </c>
      <c r="D267">
        <v>0</v>
      </c>
      <c r="E267">
        <v>1</v>
      </c>
      <c r="F267">
        <v>12</v>
      </c>
      <c r="G267" t="b">
        <v>0</v>
      </c>
      <c r="H267">
        <v>3</v>
      </c>
      <c r="I267">
        <v>1</v>
      </c>
      <c r="J267">
        <v>0.2</v>
      </c>
    </row>
    <row r="268" spans="1:10">
      <c r="A268">
        <v>267</v>
      </c>
      <c r="B268" s="1">
        <v>40555</v>
      </c>
      <c r="C268">
        <v>1</v>
      </c>
      <c r="D268">
        <v>0</v>
      </c>
      <c r="E268">
        <v>1</v>
      </c>
      <c r="F268">
        <v>13</v>
      </c>
      <c r="G268" t="b">
        <v>0</v>
      </c>
      <c r="H268">
        <v>3</v>
      </c>
      <c r="I268">
        <v>1</v>
      </c>
      <c r="J268">
        <v>0.22</v>
      </c>
    </row>
    <row r="269" spans="1:10">
      <c r="A269">
        <v>268</v>
      </c>
      <c r="B269" s="1">
        <v>40555</v>
      </c>
      <c r="C269">
        <v>1</v>
      </c>
      <c r="D269">
        <v>0</v>
      </c>
      <c r="E269">
        <v>1</v>
      </c>
      <c r="F269">
        <v>14</v>
      </c>
      <c r="G269" t="b">
        <v>0</v>
      </c>
      <c r="H269">
        <v>3</v>
      </c>
      <c r="I269">
        <v>1</v>
      </c>
      <c r="J269">
        <v>0.2</v>
      </c>
    </row>
    <row r="270" spans="1:10">
      <c r="A270">
        <v>269</v>
      </c>
      <c r="B270" s="1">
        <v>40555</v>
      </c>
      <c r="C270">
        <v>1</v>
      </c>
      <c r="D270">
        <v>0</v>
      </c>
      <c r="E270">
        <v>1</v>
      </c>
      <c r="F270">
        <v>15</v>
      </c>
      <c r="G270" t="b">
        <v>0</v>
      </c>
      <c r="H270">
        <v>3</v>
      </c>
      <c r="I270">
        <v>1</v>
      </c>
      <c r="J270">
        <v>0.2</v>
      </c>
    </row>
    <row r="271" spans="1:10">
      <c r="A271">
        <v>270</v>
      </c>
      <c r="B271" s="1">
        <v>40555</v>
      </c>
      <c r="C271">
        <v>1</v>
      </c>
      <c r="D271">
        <v>0</v>
      </c>
      <c r="E271">
        <v>1</v>
      </c>
      <c r="F271">
        <v>16</v>
      </c>
      <c r="G271" t="b">
        <v>0</v>
      </c>
      <c r="H271">
        <v>3</v>
      </c>
      <c r="I271">
        <v>1</v>
      </c>
      <c r="J271">
        <v>0.22</v>
      </c>
    </row>
    <row r="272" spans="1:10">
      <c r="A272">
        <v>271</v>
      </c>
      <c r="B272" s="1">
        <v>40555</v>
      </c>
      <c r="C272">
        <v>1</v>
      </c>
      <c r="D272">
        <v>0</v>
      </c>
      <c r="E272">
        <v>1</v>
      </c>
      <c r="F272">
        <v>17</v>
      </c>
      <c r="G272" t="b">
        <v>0</v>
      </c>
      <c r="H272">
        <v>3</v>
      </c>
      <c r="I272">
        <v>1</v>
      </c>
      <c r="J272">
        <v>0.2</v>
      </c>
    </row>
    <row r="273" spans="1:10">
      <c r="A273">
        <v>272</v>
      </c>
      <c r="B273" s="1">
        <v>40555</v>
      </c>
      <c r="C273">
        <v>1</v>
      </c>
      <c r="D273">
        <v>0</v>
      </c>
      <c r="E273">
        <v>1</v>
      </c>
      <c r="F273">
        <v>18</v>
      </c>
      <c r="G273" t="b">
        <v>0</v>
      </c>
      <c r="H273">
        <v>3</v>
      </c>
      <c r="I273">
        <v>1</v>
      </c>
      <c r="J273">
        <v>0.2</v>
      </c>
    </row>
    <row r="274" spans="1:10">
      <c r="A274">
        <v>273</v>
      </c>
      <c r="B274" s="1">
        <v>40555</v>
      </c>
      <c r="C274">
        <v>1</v>
      </c>
      <c r="D274">
        <v>0</v>
      </c>
      <c r="E274">
        <v>1</v>
      </c>
      <c r="F274">
        <v>19</v>
      </c>
      <c r="G274" t="b">
        <v>0</v>
      </c>
      <c r="H274">
        <v>3</v>
      </c>
      <c r="I274">
        <v>1</v>
      </c>
      <c r="J274">
        <v>0.18</v>
      </c>
    </row>
    <row r="275" spans="1:10">
      <c r="A275">
        <v>274</v>
      </c>
      <c r="B275" s="1">
        <v>40555</v>
      </c>
      <c r="C275">
        <v>1</v>
      </c>
      <c r="D275">
        <v>0</v>
      </c>
      <c r="E275">
        <v>1</v>
      </c>
      <c r="F275">
        <v>20</v>
      </c>
      <c r="G275" t="b">
        <v>0</v>
      </c>
      <c r="H275">
        <v>3</v>
      </c>
      <c r="I275">
        <v>1</v>
      </c>
      <c r="J275">
        <v>0.16</v>
      </c>
    </row>
    <row r="276" spans="1:10">
      <c r="A276">
        <v>275</v>
      </c>
      <c r="B276" s="1">
        <v>40555</v>
      </c>
      <c r="C276">
        <v>1</v>
      </c>
      <c r="D276">
        <v>0</v>
      </c>
      <c r="E276">
        <v>1</v>
      </c>
      <c r="F276">
        <v>21</v>
      </c>
      <c r="G276" t="b">
        <v>0</v>
      </c>
      <c r="H276">
        <v>3</v>
      </c>
      <c r="I276">
        <v>1</v>
      </c>
      <c r="J276">
        <v>0.16</v>
      </c>
    </row>
    <row r="277" spans="1:10">
      <c r="A277">
        <v>276</v>
      </c>
      <c r="B277" s="1">
        <v>40555</v>
      </c>
      <c r="C277">
        <v>1</v>
      </c>
      <c r="D277">
        <v>0</v>
      </c>
      <c r="E277">
        <v>1</v>
      </c>
      <c r="F277">
        <v>22</v>
      </c>
      <c r="G277" t="b">
        <v>0</v>
      </c>
      <c r="H277">
        <v>3</v>
      </c>
      <c r="I277">
        <v>1</v>
      </c>
      <c r="J277">
        <v>0.16</v>
      </c>
    </row>
    <row r="278" spans="1:10">
      <c r="A278">
        <v>277</v>
      </c>
      <c r="B278" s="1">
        <v>40555</v>
      </c>
      <c r="C278">
        <v>1</v>
      </c>
      <c r="D278">
        <v>0</v>
      </c>
      <c r="E278">
        <v>1</v>
      </c>
      <c r="F278">
        <v>23</v>
      </c>
      <c r="G278" t="b">
        <v>0</v>
      </c>
      <c r="H278">
        <v>3</v>
      </c>
      <c r="I278">
        <v>1</v>
      </c>
      <c r="J278">
        <v>0.14000000000000001</v>
      </c>
    </row>
    <row r="279" spans="1:10">
      <c r="A279">
        <v>278</v>
      </c>
      <c r="B279" s="1">
        <v>40556</v>
      </c>
      <c r="C279">
        <v>1</v>
      </c>
      <c r="D279">
        <v>0</v>
      </c>
      <c r="E279">
        <v>1</v>
      </c>
      <c r="F279">
        <v>0</v>
      </c>
      <c r="G279" t="b">
        <v>0</v>
      </c>
      <c r="H279">
        <v>4</v>
      </c>
      <c r="I279">
        <v>1</v>
      </c>
      <c r="J279">
        <v>0.14000000000000001</v>
      </c>
    </row>
    <row r="280" spans="1:10">
      <c r="A280">
        <v>279</v>
      </c>
      <c r="B280" s="1">
        <v>40556</v>
      </c>
      <c r="C280">
        <v>1</v>
      </c>
      <c r="D280">
        <v>0</v>
      </c>
      <c r="E280">
        <v>1</v>
      </c>
      <c r="F280">
        <v>1</v>
      </c>
      <c r="G280" t="b">
        <v>0</v>
      </c>
      <c r="H280">
        <v>4</v>
      </c>
      <c r="I280">
        <v>1</v>
      </c>
      <c r="J280">
        <v>0.14000000000000001</v>
      </c>
    </row>
    <row r="281" spans="1:10">
      <c r="A281">
        <v>280</v>
      </c>
      <c r="B281" s="1">
        <v>40556</v>
      </c>
      <c r="C281">
        <v>1</v>
      </c>
      <c r="D281">
        <v>0</v>
      </c>
      <c r="E281">
        <v>1</v>
      </c>
      <c r="F281">
        <v>2</v>
      </c>
      <c r="G281" t="b">
        <v>0</v>
      </c>
      <c r="H281">
        <v>4</v>
      </c>
      <c r="I281">
        <v>1</v>
      </c>
      <c r="J281">
        <v>0.14000000000000001</v>
      </c>
    </row>
    <row r="282" spans="1:10">
      <c r="A282">
        <v>281</v>
      </c>
      <c r="B282" s="1">
        <v>40556</v>
      </c>
      <c r="C282">
        <v>1</v>
      </c>
      <c r="D282">
        <v>0</v>
      </c>
      <c r="E282">
        <v>1</v>
      </c>
      <c r="F282">
        <v>3</v>
      </c>
      <c r="G282" t="b">
        <v>0</v>
      </c>
      <c r="H282">
        <v>4</v>
      </c>
      <c r="I282">
        <v>1</v>
      </c>
      <c r="J282">
        <v>0.14000000000000001</v>
      </c>
    </row>
    <row r="283" spans="1:10">
      <c r="A283">
        <v>282</v>
      </c>
      <c r="B283" s="1">
        <v>40556</v>
      </c>
      <c r="C283">
        <v>1</v>
      </c>
      <c r="D283">
        <v>0</v>
      </c>
      <c r="E283">
        <v>1</v>
      </c>
      <c r="F283">
        <v>4</v>
      </c>
      <c r="G283" t="b">
        <v>0</v>
      </c>
      <c r="H283">
        <v>4</v>
      </c>
      <c r="I283">
        <v>1</v>
      </c>
      <c r="J283">
        <v>0.14000000000000001</v>
      </c>
    </row>
    <row r="284" spans="1:10">
      <c r="A284">
        <v>283</v>
      </c>
      <c r="B284" s="1">
        <v>40556</v>
      </c>
      <c r="C284">
        <v>1</v>
      </c>
      <c r="D284">
        <v>0</v>
      </c>
      <c r="E284">
        <v>1</v>
      </c>
      <c r="F284">
        <v>5</v>
      </c>
      <c r="G284" t="b">
        <v>0</v>
      </c>
      <c r="H284">
        <v>4</v>
      </c>
      <c r="I284">
        <v>1</v>
      </c>
      <c r="J284">
        <v>0.14000000000000001</v>
      </c>
    </row>
    <row r="285" spans="1:10">
      <c r="A285">
        <v>284</v>
      </c>
      <c r="B285" s="1">
        <v>40556</v>
      </c>
      <c r="C285">
        <v>1</v>
      </c>
      <c r="D285">
        <v>0</v>
      </c>
      <c r="E285">
        <v>1</v>
      </c>
      <c r="F285">
        <v>6</v>
      </c>
      <c r="G285" t="b">
        <v>0</v>
      </c>
      <c r="H285">
        <v>4</v>
      </c>
      <c r="I285">
        <v>1</v>
      </c>
      <c r="J285">
        <v>0.12</v>
      </c>
    </row>
    <row r="286" spans="1:10">
      <c r="A286">
        <v>285</v>
      </c>
      <c r="B286" s="1">
        <v>40556</v>
      </c>
      <c r="C286">
        <v>1</v>
      </c>
      <c r="D286">
        <v>0</v>
      </c>
      <c r="E286">
        <v>1</v>
      </c>
      <c r="F286">
        <v>7</v>
      </c>
      <c r="G286" t="b">
        <v>0</v>
      </c>
      <c r="H286">
        <v>4</v>
      </c>
      <c r="I286">
        <v>1</v>
      </c>
      <c r="J286">
        <v>0.12</v>
      </c>
    </row>
    <row r="287" spans="1:10">
      <c r="A287">
        <v>286</v>
      </c>
      <c r="B287" s="1">
        <v>40556</v>
      </c>
      <c r="C287">
        <v>1</v>
      </c>
      <c r="D287">
        <v>0</v>
      </c>
      <c r="E287">
        <v>1</v>
      </c>
      <c r="F287">
        <v>8</v>
      </c>
      <c r="G287" t="b">
        <v>0</v>
      </c>
      <c r="H287">
        <v>4</v>
      </c>
      <c r="I287">
        <v>1</v>
      </c>
      <c r="J287">
        <v>0.14000000000000001</v>
      </c>
    </row>
    <row r="288" spans="1:10">
      <c r="A288">
        <v>287</v>
      </c>
      <c r="B288" s="1">
        <v>40556</v>
      </c>
      <c r="C288">
        <v>1</v>
      </c>
      <c r="D288">
        <v>0</v>
      </c>
      <c r="E288">
        <v>1</v>
      </c>
      <c r="F288">
        <v>9</v>
      </c>
      <c r="G288" t="b">
        <v>0</v>
      </c>
      <c r="H288">
        <v>4</v>
      </c>
      <c r="I288">
        <v>1</v>
      </c>
      <c r="J288">
        <v>0.14000000000000001</v>
      </c>
    </row>
    <row r="289" spans="1:10">
      <c r="A289">
        <v>288</v>
      </c>
      <c r="B289" s="1">
        <v>40556</v>
      </c>
      <c r="C289">
        <v>1</v>
      </c>
      <c r="D289">
        <v>0</v>
      </c>
      <c r="E289">
        <v>1</v>
      </c>
      <c r="F289">
        <v>10</v>
      </c>
      <c r="G289" t="b">
        <v>0</v>
      </c>
      <c r="H289">
        <v>4</v>
      </c>
      <c r="I289">
        <v>2</v>
      </c>
      <c r="J289">
        <v>0.16</v>
      </c>
    </row>
    <row r="290" spans="1:10">
      <c r="A290">
        <v>289</v>
      </c>
      <c r="B290" s="1">
        <v>40556</v>
      </c>
      <c r="C290">
        <v>1</v>
      </c>
      <c r="D290">
        <v>0</v>
      </c>
      <c r="E290">
        <v>1</v>
      </c>
      <c r="F290">
        <v>11</v>
      </c>
      <c r="G290" t="b">
        <v>0</v>
      </c>
      <c r="H290">
        <v>4</v>
      </c>
      <c r="I290">
        <v>2</v>
      </c>
      <c r="J290">
        <v>0.2</v>
      </c>
    </row>
    <row r="291" spans="1:10">
      <c r="A291">
        <v>290</v>
      </c>
      <c r="B291" s="1">
        <v>40556</v>
      </c>
      <c r="C291">
        <v>1</v>
      </c>
      <c r="D291">
        <v>0</v>
      </c>
      <c r="E291">
        <v>1</v>
      </c>
      <c r="F291">
        <v>12</v>
      </c>
      <c r="G291" t="b">
        <v>0</v>
      </c>
      <c r="H291">
        <v>4</v>
      </c>
      <c r="I291">
        <v>1</v>
      </c>
      <c r="J291">
        <v>0.2</v>
      </c>
    </row>
    <row r="292" spans="1:10">
      <c r="A292">
        <v>291</v>
      </c>
      <c r="B292" s="1">
        <v>40556</v>
      </c>
      <c r="C292">
        <v>1</v>
      </c>
      <c r="D292">
        <v>0</v>
      </c>
      <c r="E292">
        <v>1</v>
      </c>
      <c r="F292">
        <v>13</v>
      </c>
      <c r="G292" t="b">
        <v>0</v>
      </c>
      <c r="H292">
        <v>4</v>
      </c>
      <c r="I292">
        <v>1</v>
      </c>
      <c r="J292">
        <v>0.22</v>
      </c>
    </row>
    <row r="293" spans="1:10">
      <c r="A293">
        <v>292</v>
      </c>
      <c r="B293" s="1">
        <v>40556</v>
      </c>
      <c r="C293">
        <v>1</v>
      </c>
      <c r="D293">
        <v>0</v>
      </c>
      <c r="E293">
        <v>1</v>
      </c>
      <c r="F293">
        <v>14</v>
      </c>
      <c r="G293" t="b">
        <v>0</v>
      </c>
      <c r="H293">
        <v>4</v>
      </c>
      <c r="I293">
        <v>1</v>
      </c>
      <c r="J293">
        <v>0.22</v>
      </c>
    </row>
    <row r="294" spans="1:10">
      <c r="A294">
        <v>293</v>
      </c>
      <c r="B294" s="1">
        <v>40556</v>
      </c>
      <c r="C294">
        <v>1</v>
      </c>
      <c r="D294">
        <v>0</v>
      </c>
      <c r="E294">
        <v>1</v>
      </c>
      <c r="F294">
        <v>15</v>
      </c>
      <c r="G294" t="b">
        <v>0</v>
      </c>
      <c r="H294">
        <v>4</v>
      </c>
      <c r="I294">
        <v>1</v>
      </c>
      <c r="J294">
        <v>0.24</v>
      </c>
    </row>
    <row r="295" spans="1:10">
      <c r="A295">
        <v>294</v>
      </c>
      <c r="B295" s="1">
        <v>40556</v>
      </c>
      <c r="C295">
        <v>1</v>
      </c>
      <c r="D295">
        <v>0</v>
      </c>
      <c r="E295">
        <v>1</v>
      </c>
      <c r="F295">
        <v>16</v>
      </c>
      <c r="G295" t="b">
        <v>0</v>
      </c>
      <c r="H295">
        <v>4</v>
      </c>
      <c r="I295">
        <v>1</v>
      </c>
      <c r="J295">
        <v>0.24</v>
      </c>
    </row>
    <row r="296" spans="1:10">
      <c r="A296">
        <v>295</v>
      </c>
      <c r="B296" s="1">
        <v>40556</v>
      </c>
      <c r="C296">
        <v>1</v>
      </c>
      <c r="D296">
        <v>0</v>
      </c>
      <c r="E296">
        <v>1</v>
      </c>
      <c r="F296">
        <v>17</v>
      </c>
      <c r="G296" t="b">
        <v>0</v>
      </c>
      <c r="H296">
        <v>4</v>
      </c>
      <c r="I296">
        <v>1</v>
      </c>
      <c r="J296">
        <v>0.2</v>
      </c>
    </row>
    <row r="297" spans="1:10">
      <c r="A297">
        <v>296</v>
      </c>
      <c r="B297" s="1">
        <v>40556</v>
      </c>
      <c r="C297">
        <v>1</v>
      </c>
      <c r="D297">
        <v>0</v>
      </c>
      <c r="E297">
        <v>1</v>
      </c>
      <c r="F297">
        <v>18</v>
      </c>
      <c r="G297" t="b">
        <v>0</v>
      </c>
      <c r="H297">
        <v>4</v>
      </c>
      <c r="I297">
        <v>1</v>
      </c>
      <c r="J297">
        <v>0.2</v>
      </c>
    </row>
    <row r="298" spans="1:10">
      <c r="A298">
        <v>297</v>
      </c>
      <c r="B298" s="1">
        <v>40556</v>
      </c>
      <c r="C298">
        <v>1</v>
      </c>
      <c r="D298">
        <v>0</v>
      </c>
      <c r="E298">
        <v>1</v>
      </c>
      <c r="F298">
        <v>19</v>
      </c>
      <c r="G298" t="b">
        <v>0</v>
      </c>
      <c r="H298">
        <v>4</v>
      </c>
      <c r="I298">
        <v>1</v>
      </c>
      <c r="J298">
        <v>0.16</v>
      </c>
    </row>
    <row r="299" spans="1:10">
      <c r="A299">
        <v>298</v>
      </c>
      <c r="B299" s="1">
        <v>40556</v>
      </c>
      <c r="C299">
        <v>1</v>
      </c>
      <c r="D299">
        <v>0</v>
      </c>
      <c r="E299">
        <v>1</v>
      </c>
      <c r="F299">
        <v>20</v>
      </c>
      <c r="G299" t="b">
        <v>0</v>
      </c>
      <c r="H299">
        <v>4</v>
      </c>
      <c r="I299">
        <v>1</v>
      </c>
      <c r="J299">
        <v>0.16</v>
      </c>
    </row>
    <row r="300" spans="1:10">
      <c r="A300">
        <v>299</v>
      </c>
      <c r="B300" s="1">
        <v>40556</v>
      </c>
      <c r="C300">
        <v>1</v>
      </c>
      <c r="D300">
        <v>0</v>
      </c>
      <c r="E300">
        <v>1</v>
      </c>
      <c r="F300">
        <v>21</v>
      </c>
      <c r="G300" t="b">
        <v>0</v>
      </c>
      <c r="H300">
        <v>4</v>
      </c>
      <c r="I300">
        <v>1</v>
      </c>
      <c r="J300">
        <v>0.14000000000000001</v>
      </c>
    </row>
    <row r="301" spans="1:10">
      <c r="A301">
        <v>300</v>
      </c>
      <c r="B301" s="1">
        <v>40556</v>
      </c>
      <c r="C301">
        <v>1</v>
      </c>
      <c r="D301">
        <v>0</v>
      </c>
      <c r="E301">
        <v>1</v>
      </c>
      <c r="F301">
        <v>22</v>
      </c>
      <c r="G301" t="b">
        <v>0</v>
      </c>
      <c r="H301">
        <v>4</v>
      </c>
      <c r="I301">
        <v>1</v>
      </c>
      <c r="J301">
        <v>0.14000000000000001</v>
      </c>
    </row>
    <row r="302" spans="1:10">
      <c r="A302">
        <v>301</v>
      </c>
      <c r="B302" s="1">
        <v>40556</v>
      </c>
      <c r="C302">
        <v>1</v>
      </c>
      <c r="D302">
        <v>0</v>
      </c>
      <c r="E302">
        <v>1</v>
      </c>
      <c r="F302">
        <v>23</v>
      </c>
      <c r="G302" t="b">
        <v>0</v>
      </c>
      <c r="H302">
        <v>4</v>
      </c>
      <c r="I302">
        <v>1</v>
      </c>
      <c r="J302">
        <v>0.12</v>
      </c>
    </row>
    <row r="303" spans="1:10">
      <c r="A303">
        <v>302</v>
      </c>
      <c r="B303" s="1">
        <v>40557</v>
      </c>
      <c r="C303">
        <v>1</v>
      </c>
      <c r="D303">
        <v>0</v>
      </c>
      <c r="E303">
        <v>1</v>
      </c>
      <c r="F303">
        <v>0</v>
      </c>
      <c r="G303" t="b">
        <v>0</v>
      </c>
      <c r="H303">
        <v>5</v>
      </c>
      <c r="I303">
        <v>1</v>
      </c>
      <c r="J303">
        <v>0.12</v>
      </c>
    </row>
    <row r="304" spans="1:10">
      <c r="A304">
        <v>303</v>
      </c>
      <c r="B304" s="1">
        <v>40557</v>
      </c>
      <c r="C304">
        <v>1</v>
      </c>
      <c r="D304">
        <v>0</v>
      </c>
      <c r="E304">
        <v>1</v>
      </c>
      <c r="F304">
        <v>1</v>
      </c>
      <c r="G304" t="b">
        <v>0</v>
      </c>
      <c r="H304">
        <v>5</v>
      </c>
      <c r="I304">
        <v>1</v>
      </c>
      <c r="J304">
        <v>0.1</v>
      </c>
    </row>
    <row r="305" spans="1:10">
      <c r="A305">
        <v>304</v>
      </c>
      <c r="B305" s="1">
        <v>40557</v>
      </c>
      <c r="C305">
        <v>1</v>
      </c>
      <c r="D305">
        <v>0</v>
      </c>
      <c r="E305">
        <v>1</v>
      </c>
      <c r="F305">
        <v>2</v>
      </c>
      <c r="G305" t="b">
        <v>0</v>
      </c>
      <c r="H305">
        <v>5</v>
      </c>
      <c r="I305">
        <v>1</v>
      </c>
      <c r="J305">
        <v>0.1</v>
      </c>
    </row>
    <row r="306" spans="1:10">
      <c r="A306">
        <v>305</v>
      </c>
      <c r="B306" s="1">
        <v>40557</v>
      </c>
      <c r="C306">
        <v>1</v>
      </c>
      <c r="D306">
        <v>0</v>
      </c>
      <c r="E306">
        <v>1</v>
      </c>
      <c r="F306">
        <v>3</v>
      </c>
      <c r="G306" t="b">
        <v>0</v>
      </c>
      <c r="H306">
        <v>5</v>
      </c>
      <c r="I306">
        <v>1</v>
      </c>
      <c r="J306">
        <v>0.1</v>
      </c>
    </row>
    <row r="307" spans="1:10">
      <c r="A307">
        <v>306</v>
      </c>
      <c r="B307" s="1">
        <v>40557</v>
      </c>
      <c r="C307">
        <v>1</v>
      </c>
      <c r="D307">
        <v>0</v>
      </c>
      <c r="E307">
        <v>1</v>
      </c>
      <c r="F307">
        <v>5</v>
      </c>
      <c r="G307" t="b">
        <v>0</v>
      </c>
      <c r="H307">
        <v>5</v>
      </c>
      <c r="I307">
        <v>1</v>
      </c>
      <c r="J307">
        <v>0.1</v>
      </c>
    </row>
    <row r="308" spans="1:10">
      <c r="A308">
        <v>307</v>
      </c>
      <c r="B308" s="1">
        <v>40557</v>
      </c>
      <c r="C308">
        <v>1</v>
      </c>
      <c r="D308">
        <v>0</v>
      </c>
      <c r="E308">
        <v>1</v>
      </c>
      <c r="F308">
        <v>6</v>
      </c>
      <c r="G308" t="b">
        <v>0</v>
      </c>
      <c r="H308">
        <v>5</v>
      </c>
      <c r="I308">
        <v>1</v>
      </c>
      <c r="J308">
        <v>0.1</v>
      </c>
    </row>
    <row r="309" spans="1:10">
      <c r="A309">
        <v>308</v>
      </c>
      <c r="B309" s="1">
        <v>40557</v>
      </c>
      <c r="C309">
        <v>1</v>
      </c>
      <c r="D309">
        <v>0</v>
      </c>
      <c r="E309">
        <v>1</v>
      </c>
      <c r="F309">
        <v>7</v>
      </c>
      <c r="G309" t="b">
        <v>0</v>
      </c>
      <c r="H309">
        <v>5</v>
      </c>
      <c r="I309">
        <v>1</v>
      </c>
      <c r="J309">
        <v>0.1</v>
      </c>
    </row>
    <row r="310" spans="1:10">
      <c r="A310">
        <v>309</v>
      </c>
      <c r="B310" s="1">
        <v>40557</v>
      </c>
      <c r="C310">
        <v>1</v>
      </c>
      <c r="D310">
        <v>0</v>
      </c>
      <c r="E310">
        <v>1</v>
      </c>
      <c r="F310">
        <v>8</v>
      </c>
      <c r="G310" t="b">
        <v>0</v>
      </c>
      <c r="H310">
        <v>5</v>
      </c>
      <c r="I310">
        <v>1</v>
      </c>
      <c r="J310">
        <v>0.12</v>
      </c>
    </row>
    <row r="311" spans="1:10">
      <c r="A311">
        <v>310</v>
      </c>
      <c r="B311" s="1">
        <v>40557</v>
      </c>
      <c r="C311">
        <v>1</v>
      </c>
      <c r="D311">
        <v>0</v>
      </c>
      <c r="E311">
        <v>1</v>
      </c>
      <c r="F311">
        <v>9</v>
      </c>
      <c r="G311" t="b">
        <v>0</v>
      </c>
      <c r="H311">
        <v>5</v>
      </c>
      <c r="I311">
        <v>1</v>
      </c>
      <c r="J311">
        <v>0.14000000000000001</v>
      </c>
    </row>
    <row r="312" spans="1:10">
      <c r="A312">
        <v>311</v>
      </c>
      <c r="B312" s="1">
        <v>40557</v>
      </c>
      <c r="C312">
        <v>1</v>
      </c>
      <c r="D312">
        <v>0</v>
      </c>
      <c r="E312">
        <v>1</v>
      </c>
      <c r="F312">
        <v>10</v>
      </c>
      <c r="G312" t="b">
        <v>0</v>
      </c>
      <c r="H312">
        <v>5</v>
      </c>
      <c r="I312">
        <v>1</v>
      </c>
      <c r="J312">
        <v>0.18</v>
      </c>
    </row>
    <row r="313" spans="1:10">
      <c r="A313">
        <v>312</v>
      </c>
      <c r="B313" s="1">
        <v>40557</v>
      </c>
      <c r="C313">
        <v>1</v>
      </c>
      <c r="D313">
        <v>0</v>
      </c>
      <c r="E313">
        <v>1</v>
      </c>
      <c r="F313">
        <v>11</v>
      </c>
      <c r="G313" t="b">
        <v>0</v>
      </c>
      <c r="H313">
        <v>5</v>
      </c>
      <c r="I313">
        <v>1</v>
      </c>
      <c r="J313">
        <v>0.18</v>
      </c>
    </row>
    <row r="314" spans="1:10">
      <c r="A314">
        <v>313</v>
      </c>
      <c r="B314" s="1">
        <v>40557</v>
      </c>
      <c r="C314">
        <v>1</v>
      </c>
      <c r="D314">
        <v>0</v>
      </c>
      <c r="E314">
        <v>1</v>
      </c>
      <c r="F314">
        <v>12</v>
      </c>
      <c r="G314" t="b">
        <v>0</v>
      </c>
      <c r="H314">
        <v>5</v>
      </c>
      <c r="I314">
        <v>1</v>
      </c>
      <c r="J314">
        <v>0.2</v>
      </c>
    </row>
    <row r="315" spans="1:10">
      <c r="A315">
        <v>314</v>
      </c>
      <c r="B315" s="1">
        <v>40557</v>
      </c>
      <c r="C315">
        <v>1</v>
      </c>
      <c r="D315">
        <v>0</v>
      </c>
      <c r="E315">
        <v>1</v>
      </c>
      <c r="F315">
        <v>13</v>
      </c>
      <c r="G315" t="b">
        <v>0</v>
      </c>
      <c r="H315">
        <v>5</v>
      </c>
      <c r="I315">
        <v>1</v>
      </c>
      <c r="J315">
        <v>0.22</v>
      </c>
    </row>
    <row r="316" spans="1:10">
      <c r="A316">
        <v>315</v>
      </c>
      <c r="B316" s="1">
        <v>40557</v>
      </c>
      <c r="C316">
        <v>1</v>
      </c>
      <c r="D316">
        <v>0</v>
      </c>
      <c r="E316">
        <v>1</v>
      </c>
      <c r="F316">
        <v>14</v>
      </c>
      <c r="G316" t="b">
        <v>0</v>
      </c>
      <c r="H316">
        <v>5</v>
      </c>
      <c r="I316">
        <v>1</v>
      </c>
      <c r="J316">
        <v>0.22</v>
      </c>
    </row>
    <row r="317" spans="1:10">
      <c r="A317">
        <v>316</v>
      </c>
      <c r="B317" s="1">
        <v>40557</v>
      </c>
      <c r="C317">
        <v>1</v>
      </c>
      <c r="D317">
        <v>0</v>
      </c>
      <c r="E317">
        <v>1</v>
      </c>
      <c r="F317">
        <v>15</v>
      </c>
      <c r="G317" t="b">
        <v>0</v>
      </c>
      <c r="H317">
        <v>5</v>
      </c>
      <c r="I317">
        <v>1</v>
      </c>
      <c r="J317">
        <v>0.24</v>
      </c>
    </row>
    <row r="318" spans="1:10">
      <c r="A318">
        <v>317</v>
      </c>
      <c r="B318" s="1">
        <v>40557</v>
      </c>
      <c r="C318">
        <v>1</v>
      </c>
      <c r="D318">
        <v>0</v>
      </c>
      <c r="E318">
        <v>1</v>
      </c>
      <c r="F318">
        <v>16</v>
      </c>
      <c r="G318" t="b">
        <v>0</v>
      </c>
      <c r="H318">
        <v>5</v>
      </c>
      <c r="I318">
        <v>1</v>
      </c>
      <c r="J318">
        <v>0.22</v>
      </c>
    </row>
    <row r="319" spans="1:10">
      <c r="A319">
        <v>318</v>
      </c>
      <c r="B319" s="1">
        <v>40557</v>
      </c>
      <c r="C319">
        <v>1</v>
      </c>
      <c r="D319">
        <v>0</v>
      </c>
      <c r="E319">
        <v>1</v>
      </c>
      <c r="F319">
        <v>17</v>
      </c>
      <c r="G319" t="b">
        <v>0</v>
      </c>
      <c r="H319">
        <v>5</v>
      </c>
      <c r="I319">
        <v>1</v>
      </c>
      <c r="J319">
        <v>0.22</v>
      </c>
    </row>
    <row r="320" spans="1:10">
      <c r="A320">
        <v>319</v>
      </c>
      <c r="B320" s="1">
        <v>40557</v>
      </c>
      <c r="C320">
        <v>1</v>
      </c>
      <c r="D320">
        <v>0</v>
      </c>
      <c r="E320">
        <v>1</v>
      </c>
      <c r="F320">
        <v>18</v>
      </c>
      <c r="G320" t="b">
        <v>0</v>
      </c>
      <c r="H320">
        <v>5</v>
      </c>
      <c r="I320">
        <v>1</v>
      </c>
      <c r="J320">
        <v>0.2</v>
      </c>
    </row>
    <row r="321" spans="1:10">
      <c r="A321">
        <v>320</v>
      </c>
      <c r="B321" s="1">
        <v>40557</v>
      </c>
      <c r="C321">
        <v>1</v>
      </c>
      <c r="D321">
        <v>0</v>
      </c>
      <c r="E321">
        <v>1</v>
      </c>
      <c r="F321">
        <v>19</v>
      </c>
      <c r="G321" t="b">
        <v>0</v>
      </c>
      <c r="H321">
        <v>5</v>
      </c>
      <c r="I321">
        <v>1</v>
      </c>
      <c r="J321">
        <v>0.16</v>
      </c>
    </row>
    <row r="322" spans="1:10">
      <c r="A322">
        <v>321</v>
      </c>
      <c r="B322" s="1">
        <v>40557</v>
      </c>
      <c r="C322">
        <v>1</v>
      </c>
      <c r="D322">
        <v>0</v>
      </c>
      <c r="E322">
        <v>1</v>
      </c>
      <c r="F322">
        <v>20</v>
      </c>
      <c r="G322" t="b">
        <v>0</v>
      </c>
      <c r="H322">
        <v>5</v>
      </c>
      <c r="I322">
        <v>1</v>
      </c>
      <c r="J322">
        <v>0.18</v>
      </c>
    </row>
    <row r="323" spans="1:10">
      <c r="A323">
        <v>322</v>
      </c>
      <c r="B323" s="1">
        <v>40557</v>
      </c>
      <c r="C323">
        <v>1</v>
      </c>
      <c r="D323">
        <v>0</v>
      </c>
      <c r="E323">
        <v>1</v>
      </c>
      <c r="F323">
        <v>21</v>
      </c>
      <c r="G323" t="b">
        <v>0</v>
      </c>
      <c r="H323">
        <v>5</v>
      </c>
      <c r="I323">
        <v>1</v>
      </c>
      <c r="J323">
        <v>0.16</v>
      </c>
    </row>
    <row r="324" spans="1:10">
      <c r="A324">
        <v>323</v>
      </c>
      <c r="B324" s="1">
        <v>40557</v>
      </c>
      <c r="C324">
        <v>1</v>
      </c>
      <c r="D324">
        <v>0</v>
      </c>
      <c r="E324">
        <v>1</v>
      </c>
      <c r="F324">
        <v>22</v>
      </c>
      <c r="G324" t="b">
        <v>0</v>
      </c>
      <c r="H324">
        <v>5</v>
      </c>
      <c r="I324">
        <v>2</v>
      </c>
      <c r="J324">
        <v>0.16</v>
      </c>
    </row>
    <row r="325" spans="1:10">
      <c r="A325">
        <v>324</v>
      </c>
      <c r="B325" s="1">
        <v>40557</v>
      </c>
      <c r="C325">
        <v>1</v>
      </c>
      <c r="D325">
        <v>0</v>
      </c>
      <c r="E325">
        <v>1</v>
      </c>
      <c r="F325">
        <v>23</v>
      </c>
      <c r="G325" t="b">
        <v>0</v>
      </c>
      <c r="H325">
        <v>5</v>
      </c>
      <c r="I325">
        <v>2</v>
      </c>
      <c r="J325">
        <v>0.18</v>
      </c>
    </row>
    <row r="326" spans="1:10">
      <c r="A326">
        <v>325</v>
      </c>
      <c r="B326" s="1">
        <v>40558</v>
      </c>
      <c r="C326">
        <v>1</v>
      </c>
      <c r="D326">
        <v>0</v>
      </c>
      <c r="E326">
        <v>1</v>
      </c>
      <c r="F326">
        <v>0</v>
      </c>
      <c r="G326" t="b">
        <v>0</v>
      </c>
      <c r="H326">
        <v>6</v>
      </c>
      <c r="I326">
        <v>1</v>
      </c>
      <c r="J326">
        <v>0.18</v>
      </c>
    </row>
    <row r="327" spans="1:10">
      <c r="A327">
        <v>326</v>
      </c>
      <c r="B327" s="1">
        <v>40558</v>
      </c>
      <c r="C327">
        <v>1</v>
      </c>
      <c r="D327">
        <v>0</v>
      </c>
      <c r="E327">
        <v>1</v>
      </c>
      <c r="F327">
        <v>1</v>
      </c>
      <c r="G327" t="b">
        <v>0</v>
      </c>
      <c r="H327">
        <v>6</v>
      </c>
      <c r="I327">
        <v>2</v>
      </c>
      <c r="J327">
        <v>0.16</v>
      </c>
    </row>
    <row r="328" spans="1:10">
      <c r="A328">
        <v>327</v>
      </c>
      <c r="B328" s="1">
        <v>40558</v>
      </c>
      <c r="C328">
        <v>1</v>
      </c>
      <c r="D328">
        <v>0</v>
      </c>
      <c r="E328">
        <v>1</v>
      </c>
      <c r="F328">
        <v>2</v>
      </c>
      <c r="G328" t="b">
        <v>0</v>
      </c>
      <c r="H328">
        <v>6</v>
      </c>
      <c r="I328">
        <v>2</v>
      </c>
      <c r="J328">
        <v>0.16</v>
      </c>
    </row>
    <row r="329" spans="1:10">
      <c r="A329">
        <v>328</v>
      </c>
      <c r="B329" s="1">
        <v>40558</v>
      </c>
      <c r="C329">
        <v>1</v>
      </c>
      <c r="D329">
        <v>0</v>
      </c>
      <c r="E329">
        <v>1</v>
      </c>
      <c r="F329">
        <v>3</v>
      </c>
      <c r="G329" t="b">
        <v>0</v>
      </c>
      <c r="H329">
        <v>6</v>
      </c>
      <c r="I329">
        <v>2</v>
      </c>
      <c r="J329">
        <v>0.16</v>
      </c>
    </row>
    <row r="330" spans="1:10">
      <c r="A330">
        <v>329</v>
      </c>
      <c r="B330" s="1">
        <v>40558</v>
      </c>
      <c r="C330">
        <v>1</v>
      </c>
      <c r="D330">
        <v>0</v>
      </c>
      <c r="E330">
        <v>1</v>
      </c>
      <c r="F330">
        <v>4</v>
      </c>
      <c r="G330" t="b">
        <v>0</v>
      </c>
      <c r="H330">
        <v>6</v>
      </c>
      <c r="I330">
        <v>2</v>
      </c>
      <c r="J330">
        <v>0.16</v>
      </c>
    </row>
    <row r="331" spans="1:10">
      <c r="A331">
        <v>330</v>
      </c>
      <c r="B331" s="1">
        <v>40558</v>
      </c>
      <c r="C331">
        <v>1</v>
      </c>
      <c r="D331">
        <v>0</v>
      </c>
      <c r="E331">
        <v>1</v>
      </c>
      <c r="F331">
        <v>5</v>
      </c>
      <c r="G331" t="b">
        <v>0</v>
      </c>
      <c r="H331">
        <v>6</v>
      </c>
      <c r="I331">
        <v>1</v>
      </c>
      <c r="J331">
        <v>0.16</v>
      </c>
    </row>
    <row r="332" spans="1:10">
      <c r="A332">
        <v>331</v>
      </c>
      <c r="B332" s="1">
        <v>40558</v>
      </c>
      <c r="C332">
        <v>1</v>
      </c>
      <c r="D332">
        <v>0</v>
      </c>
      <c r="E332">
        <v>1</v>
      </c>
      <c r="F332">
        <v>6</v>
      </c>
      <c r="G332" t="b">
        <v>0</v>
      </c>
      <c r="H332">
        <v>6</v>
      </c>
      <c r="I332">
        <v>1</v>
      </c>
      <c r="J332">
        <v>0.14000000000000001</v>
      </c>
    </row>
    <row r="333" spans="1:10">
      <c r="A333">
        <v>332</v>
      </c>
      <c r="B333" s="1">
        <v>40558</v>
      </c>
      <c r="C333">
        <v>1</v>
      </c>
      <c r="D333">
        <v>0</v>
      </c>
      <c r="E333">
        <v>1</v>
      </c>
      <c r="F333">
        <v>7</v>
      </c>
      <c r="G333" t="b">
        <v>0</v>
      </c>
      <c r="H333">
        <v>6</v>
      </c>
      <c r="I333">
        <v>1</v>
      </c>
      <c r="J333">
        <v>0.14000000000000001</v>
      </c>
    </row>
    <row r="334" spans="1:10">
      <c r="A334">
        <v>333</v>
      </c>
      <c r="B334" s="1">
        <v>40558</v>
      </c>
      <c r="C334">
        <v>1</v>
      </c>
      <c r="D334">
        <v>0</v>
      </c>
      <c r="E334">
        <v>1</v>
      </c>
      <c r="F334">
        <v>8</v>
      </c>
      <c r="G334" t="b">
        <v>0</v>
      </c>
      <c r="H334">
        <v>6</v>
      </c>
      <c r="I334">
        <v>1</v>
      </c>
      <c r="J334">
        <v>0.14000000000000001</v>
      </c>
    </row>
    <row r="335" spans="1:10">
      <c r="A335">
        <v>334</v>
      </c>
      <c r="B335" s="1">
        <v>40558</v>
      </c>
      <c r="C335">
        <v>1</v>
      </c>
      <c r="D335">
        <v>0</v>
      </c>
      <c r="E335">
        <v>1</v>
      </c>
      <c r="F335">
        <v>9</v>
      </c>
      <c r="G335" t="b">
        <v>0</v>
      </c>
      <c r="H335">
        <v>6</v>
      </c>
      <c r="I335">
        <v>1</v>
      </c>
      <c r="J335">
        <v>0.16</v>
      </c>
    </row>
    <row r="336" spans="1:10">
      <c r="A336">
        <v>335</v>
      </c>
      <c r="B336" s="1">
        <v>40558</v>
      </c>
      <c r="C336">
        <v>1</v>
      </c>
      <c r="D336">
        <v>0</v>
      </c>
      <c r="E336">
        <v>1</v>
      </c>
      <c r="F336">
        <v>10</v>
      </c>
      <c r="G336" t="b">
        <v>0</v>
      </c>
      <c r="H336">
        <v>6</v>
      </c>
      <c r="I336">
        <v>1</v>
      </c>
      <c r="J336">
        <v>0.18</v>
      </c>
    </row>
    <row r="337" spans="1:10">
      <c r="A337">
        <v>336</v>
      </c>
      <c r="B337" s="1">
        <v>40558</v>
      </c>
      <c r="C337">
        <v>1</v>
      </c>
      <c r="D337">
        <v>0</v>
      </c>
      <c r="E337">
        <v>1</v>
      </c>
      <c r="F337">
        <v>11</v>
      </c>
      <c r="G337" t="b">
        <v>0</v>
      </c>
      <c r="H337">
        <v>6</v>
      </c>
      <c r="I337">
        <v>1</v>
      </c>
      <c r="J337">
        <v>0.2</v>
      </c>
    </row>
    <row r="338" spans="1:10">
      <c r="A338">
        <v>337</v>
      </c>
      <c r="B338" s="1">
        <v>40558</v>
      </c>
      <c r="C338">
        <v>1</v>
      </c>
      <c r="D338">
        <v>0</v>
      </c>
      <c r="E338">
        <v>1</v>
      </c>
      <c r="F338">
        <v>12</v>
      </c>
      <c r="G338" t="b">
        <v>0</v>
      </c>
      <c r="H338">
        <v>6</v>
      </c>
      <c r="I338">
        <v>1</v>
      </c>
      <c r="J338">
        <v>0.24</v>
      </c>
    </row>
    <row r="339" spans="1:10">
      <c r="A339">
        <v>338</v>
      </c>
      <c r="B339" s="1">
        <v>40558</v>
      </c>
      <c r="C339">
        <v>1</v>
      </c>
      <c r="D339">
        <v>0</v>
      </c>
      <c r="E339">
        <v>1</v>
      </c>
      <c r="F339">
        <v>13</v>
      </c>
      <c r="G339" t="b">
        <v>0</v>
      </c>
      <c r="H339">
        <v>6</v>
      </c>
      <c r="I339">
        <v>1</v>
      </c>
      <c r="J339">
        <v>0.28000000000000003</v>
      </c>
    </row>
    <row r="340" spans="1:10">
      <c r="A340">
        <v>339</v>
      </c>
      <c r="B340" s="1">
        <v>40558</v>
      </c>
      <c r="C340">
        <v>1</v>
      </c>
      <c r="D340">
        <v>0</v>
      </c>
      <c r="E340">
        <v>1</v>
      </c>
      <c r="F340">
        <v>14</v>
      </c>
      <c r="G340" t="b">
        <v>0</v>
      </c>
      <c r="H340">
        <v>6</v>
      </c>
      <c r="I340">
        <v>1</v>
      </c>
      <c r="J340">
        <v>0.3</v>
      </c>
    </row>
    <row r="341" spans="1:10">
      <c r="A341">
        <v>340</v>
      </c>
      <c r="B341" s="1">
        <v>40558</v>
      </c>
      <c r="C341">
        <v>1</v>
      </c>
      <c r="D341">
        <v>0</v>
      </c>
      <c r="E341">
        <v>1</v>
      </c>
      <c r="F341">
        <v>15</v>
      </c>
      <c r="G341" t="b">
        <v>0</v>
      </c>
      <c r="H341">
        <v>6</v>
      </c>
      <c r="I341">
        <v>2</v>
      </c>
      <c r="J341">
        <v>0.32</v>
      </c>
    </row>
    <row r="342" spans="1:10">
      <c r="A342">
        <v>341</v>
      </c>
      <c r="B342" s="1">
        <v>40558</v>
      </c>
      <c r="C342">
        <v>1</v>
      </c>
      <c r="D342">
        <v>0</v>
      </c>
      <c r="E342">
        <v>1</v>
      </c>
      <c r="F342">
        <v>16</v>
      </c>
      <c r="G342" t="b">
        <v>0</v>
      </c>
      <c r="H342">
        <v>6</v>
      </c>
      <c r="I342">
        <v>2</v>
      </c>
      <c r="J342">
        <v>0.34</v>
      </c>
    </row>
    <row r="343" spans="1:10">
      <c r="A343">
        <v>342</v>
      </c>
      <c r="B343" s="1">
        <v>40558</v>
      </c>
      <c r="C343">
        <v>1</v>
      </c>
      <c r="D343">
        <v>0</v>
      </c>
      <c r="E343">
        <v>1</v>
      </c>
      <c r="F343">
        <v>17</v>
      </c>
      <c r="G343" t="b">
        <v>0</v>
      </c>
      <c r="H343">
        <v>6</v>
      </c>
      <c r="I343">
        <v>2</v>
      </c>
      <c r="J343">
        <v>0.32</v>
      </c>
    </row>
    <row r="344" spans="1:10">
      <c r="A344">
        <v>343</v>
      </c>
      <c r="B344" s="1">
        <v>40558</v>
      </c>
      <c r="C344">
        <v>1</v>
      </c>
      <c r="D344">
        <v>0</v>
      </c>
      <c r="E344">
        <v>1</v>
      </c>
      <c r="F344">
        <v>18</v>
      </c>
      <c r="G344" t="b">
        <v>0</v>
      </c>
      <c r="H344">
        <v>6</v>
      </c>
      <c r="I344">
        <v>2</v>
      </c>
      <c r="J344">
        <v>0.3</v>
      </c>
    </row>
    <row r="345" spans="1:10">
      <c r="A345">
        <v>344</v>
      </c>
      <c r="B345" s="1">
        <v>40558</v>
      </c>
      <c r="C345">
        <v>1</v>
      </c>
      <c r="D345">
        <v>0</v>
      </c>
      <c r="E345">
        <v>1</v>
      </c>
      <c r="F345">
        <v>19</v>
      </c>
      <c r="G345" t="b">
        <v>0</v>
      </c>
      <c r="H345">
        <v>6</v>
      </c>
      <c r="I345">
        <v>2</v>
      </c>
      <c r="J345">
        <v>0.32</v>
      </c>
    </row>
    <row r="346" spans="1:10">
      <c r="A346">
        <v>345</v>
      </c>
      <c r="B346" s="1">
        <v>40558</v>
      </c>
      <c r="C346">
        <v>1</v>
      </c>
      <c r="D346">
        <v>0</v>
      </c>
      <c r="E346">
        <v>1</v>
      </c>
      <c r="F346">
        <v>20</v>
      </c>
      <c r="G346" t="b">
        <v>0</v>
      </c>
      <c r="H346">
        <v>6</v>
      </c>
      <c r="I346">
        <v>2</v>
      </c>
      <c r="J346">
        <v>0.32</v>
      </c>
    </row>
    <row r="347" spans="1:10">
      <c r="A347">
        <v>346</v>
      </c>
      <c r="B347" s="1">
        <v>40558</v>
      </c>
      <c r="C347">
        <v>1</v>
      </c>
      <c r="D347">
        <v>0</v>
      </c>
      <c r="E347">
        <v>1</v>
      </c>
      <c r="F347">
        <v>21</v>
      </c>
      <c r="G347" t="b">
        <v>0</v>
      </c>
      <c r="H347">
        <v>6</v>
      </c>
      <c r="I347">
        <v>2</v>
      </c>
      <c r="J347">
        <v>0.32</v>
      </c>
    </row>
    <row r="348" spans="1:10">
      <c r="A348">
        <v>347</v>
      </c>
      <c r="B348" s="1">
        <v>40558</v>
      </c>
      <c r="C348">
        <v>1</v>
      </c>
      <c r="D348">
        <v>0</v>
      </c>
      <c r="E348">
        <v>1</v>
      </c>
      <c r="F348">
        <v>22</v>
      </c>
      <c r="G348" t="b">
        <v>0</v>
      </c>
      <c r="H348">
        <v>6</v>
      </c>
      <c r="I348">
        <v>2</v>
      </c>
      <c r="J348">
        <v>0.3</v>
      </c>
    </row>
    <row r="349" spans="1:10">
      <c r="A349">
        <v>348</v>
      </c>
      <c r="B349" s="1">
        <v>40558</v>
      </c>
      <c r="C349">
        <v>1</v>
      </c>
      <c r="D349">
        <v>0</v>
      </c>
      <c r="E349">
        <v>1</v>
      </c>
      <c r="F349">
        <v>23</v>
      </c>
      <c r="G349" t="b">
        <v>0</v>
      </c>
      <c r="H349">
        <v>6</v>
      </c>
      <c r="I349">
        <v>1</v>
      </c>
      <c r="J349">
        <v>0.3</v>
      </c>
    </row>
    <row r="350" spans="1:10">
      <c r="A350">
        <v>349</v>
      </c>
      <c r="B350" s="1">
        <v>40559</v>
      </c>
      <c r="C350">
        <v>1</v>
      </c>
      <c r="D350">
        <v>0</v>
      </c>
      <c r="E350">
        <v>1</v>
      </c>
      <c r="F350">
        <v>0</v>
      </c>
      <c r="G350" t="b">
        <v>0</v>
      </c>
      <c r="H350">
        <v>0</v>
      </c>
      <c r="I350">
        <v>1</v>
      </c>
      <c r="J350">
        <v>0.26</v>
      </c>
    </row>
    <row r="351" spans="1:10">
      <c r="A351">
        <v>350</v>
      </c>
      <c r="B351" s="1">
        <v>40559</v>
      </c>
      <c r="C351">
        <v>1</v>
      </c>
      <c r="D351">
        <v>0</v>
      </c>
      <c r="E351">
        <v>1</v>
      </c>
      <c r="F351">
        <v>1</v>
      </c>
      <c r="G351" t="b">
        <v>0</v>
      </c>
      <c r="H351">
        <v>0</v>
      </c>
      <c r="I351">
        <v>1</v>
      </c>
      <c r="J351">
        <v>0.26</v>
      </c>
    </row>
    <row r="352" spans="1:10">
      <c r="A352">
        <v>351</v>
      </c>
      <c r="B352" s="1">
        <v>40559</v>
      </c>
      <c r="C352">
        <v>1</v>
      </c>
      <c r="D352">
        <v>0</v>
      </c>
      <c r="E352">
        <v>1</v>
      </c>
      <c r="F352">
        <v>2</v>
      </c>
      <c r="G352" t="b">
        <v>0</v>
      </c>
      <c r="H352">
        <v>0</v>
      </c>
      <c r="I352">
        <v>1</v>
      </c>
      <c r="J352">
        <v>0.26</v>
      </c>
    </row>
    <row r="353" spans="1:10">
      <c r="A353">
        <v>352</v>
      </c>
      <c r="B353" s="1">
        <v>40559</v>
      </c>
      <c r="C353">
        <v>1</v>
      </c>
      <c r="D353">
        <v>0</v>
      </c>
      <c r="E353">
        <v>1</v>
      </c>
      <c r="F353">
        <v>3</v>
      </c>
      <c r="G353" t="b">
        <v>0</v>
      </c>
      <c r="H353">
        <v>0</v>
      </c>
      <c r="I353">
        <v>1</v>
      </c>
      <c r="J353">
        <v>0.22</v>
      </c>
    </row>
    <row r="354" spans="1:10">
      <c r="A354">
        <v>353</v>
      </c>
      <c r="B354" s="1">
        <v>40559</v>
      </c>
      <c r="C354">
        <v>1</v>
      </c>
      <c r="D354">
        <v>0</v>
      </c>
      <c r="E354">
        <v>1</v>
      </c>
      <c r="F354">
        <v>4</v>
      </c>
      <c r="G354" t="b">
        <v>0</v>
      </c>
      <c r="H354">
        <v>0</v>
      </c>
      <c r="I354">
        <v>1</v>
      </c>
      <c r="J354">
        <v>0.26</v>
      </c>
    </row>
    <row r="355" spans="1:10">
      <c r="A355">
        <v>354</v>
      </c>
      <c r="B355" s="1">
        <v>40559</v>
      </c>
      <c r="C355">
        <v>1</v>
      </c>
      <c r="D355">
        <v>0</v>
      </c>
      <c r="E355">
        <v>1</v>
      </c>
      <c r="F355">
        <v>5</v>
      </c>
      <c r="G355" t="b">
        <v>0</v>
      </c>
      <c r="H355">
        <v>0</v>
      </c>
      <c r="I355">
        <v>2</v>
      </c>
      <c r="J355">
        <v>0.26</v>
      </c>
    </row>
    <row r="356" spans="1:10">
      <c r="A356">
        <v>355</v>
      </c>
      <c r="B356" s="1">
        <v>40559</v>
      </c>
      <c r="C356">
        <v>1</v>
      </c>
      <c r="D356">
        <v>0</v>
      </c>
      <c r="E356">
        <v>1</v>
      </c>
      <c r="F356">
        <v>6</v>
      </c>
      <c r="G356" t="b">
        <v>0</v>
      </c>
      <c r="H356">
        <v>0</v>
      </c>
      <c r="I356">
        <v>2</v>
      </c>
      <c r="J356">
        <v>0.26</v>
      </c>
    </row>
    <row r="357" spans="1:10">
      <c r="A357">
        <v>356</v>
      </c>
      <c r="B357" s="1">
        <v>40559</v>
      </c>
      <c r="C357">
        <v>1</v>
      </c>
      <c r="D357">
        <v>0</v>
      </c>
      <c r="E357">
        <v>1</v>
      </c>
      <c r="F357">
        <v>7</v>
      </c>
      <c r="G357" t="b">
        <v>0</v>
      </c>
      <c r="H357">
        <v>0</v>
      </c>
      <c r="I357">
        <v>2</v>
      </c>
      <c r="J357">
        <v>0.24</v>
      </c>
    </row>
    <row r="358" spans="1:10">
      <c r="A358">
        <v>357</v>
      </c>
      <c r="B358" s="1">
        <v>40559</v>
      </c>
      <c r="C358">
        <v>1</v>
      </c>
      <c r="D358">
        <v>0</v>
      </c>
      <c r="E358">
        <v>1</v>
      </c>
      <c r="F358">
        <v>8</v>
      </c>
      <c r="G358" t="b">
        <v>0</v>
      </c>
      <c r="H358">
        <v>0</v>
      </c>
      <c r="I358">
        <v>1</v>
      </c>
      <c r="J358">
        <v>0.22</v>
      </c>
    </row>
    <row r="359" spans="1:10">
      <c r="A359">
        <v>358</v>
      </c>
      <c r="B359" s="1">
        <v>40559</v>
      </c>
      <c r="C359">
        <v>1</v>
      </c>
      <c r="D359">
        <v>0</v>
      </c>
      <c r="E359">
        <v>1</v>
      </c>
      <c r="F359">
        <v>9</v>
      </c>
      <c r="G359" t="b">
        <v>0</v>
      </c>
      <c r="H359">
        <v>0</v>
      </c>
      <c r="I359">
        <v>1</v>
      </c>
      <c r="J359">
        <v>0.22</v>
      </c>
    </row>
    <row r="360" spans="1:10">
      <c r="A360">
        <v>359</v>
      </c>
      <c r="B360" s="1">
        <v>40559</v>
      </c>
      <c r="C360">
        <v>1</v>
      </c>
      <c r="D360">
        <v>0</v>
      </c>
      <c r="E360">
        <v>1</v>
      </c>
      <c r="F360">
        <v>10</v>
      </c>
      <c r="G360" t="b">
        <v>0</v>
      </c>
      <c r="H360">
        <v>0</v>
      </c>
      <c r="I360">
        <v>1</v>
      </c>
      <c r="J360">
        <v>0.22</v>
      </c>
    </row>
    <row r="361" spans="1:10">
      <c r="A361">
        <v>360</v>
      </c>
      <c r="B361" s="1">
        <v>40559</v>
      </c>
      <c r="C361">
        <v>1</v>
      </c>
      <c r="D361">
        <v>0</v>
      </c>
      <c r="E361">
        <v>1</v>
      </c>
      <c r="F361">
        <v>11</v>
      </c>
      <c r="G361" t="b">
        <v>0</v>
      </c>
      <c r="H361">
        <v>0</v>
      </c>
      <c r="I361">
        <v>1</v>
      </c>
      <c r="J361">
        <v>0.24</v>
      </c>
    </row>
    <row r="362" spans="1:10">
      <c r="A362">
        <v>361</v>
      </c>
      <c r="B362" s="1">
        <v>40559</v>
      </c>
      <c r="C362">
        <v>1</v>
      </c>
      <c r="D362">
        <v>0</v>
      </c>
      <c r="E362">
        <v>1</v>
      </c>
      <c r="F362">
        <v>12</v>
      </c>
      <c r="G362" t="b">
        <v>0</v>
      </c>
      <c r="H362">
        <v>0</v>
      </c>
      <c r="I362">
        <v>1</v>
      </c>
      <c r="J362">
        <v>0.24</v>
      </c>
    </row>
    <row r="363" spans="1:10">
      <c r="A363">
        <v>362</v>
      </c>
      <c r="B363" s="1">
        <v>40559</v>
      </c>
      <c r="C363">
        <v>1</v>
      </c>
      <c r="D363">
        <v>0</v>
      </c>
      <c r="E363">
        <v>1</v>
      </c>
      <c r="F363">
        <v>13</v>
      </c>
      <c r="G363" t="b">
        <v>0</v>
      </c>
      <c r="H363">
        <v>0</v>
      </c>
      <c r="I363">
        <v>1</v>
      </c>
      <c r="J363">
        <v>0.26</v>
      </c>
    </row>
    <row r="364" spans="1:10">
      <c r="A364">
        <v>363</v>
      </c>
      <c r="B364" s="1">
        <v>40559</v>
      </c>
      <c r="C364">
        <v>1</v>
      </c>
      <c r="D364">
        <v>0</v>
      </c>
      <c r="E364">
        <v>1</v>
      </c>
      <c r="F364">
        <v>14</v>
      </c>
      <c r="G364" t="b">
        <v>0</v>
      </c>
      <c r="H364">
        <v>0</v>
      </c>
      <c r="I364">
        <v>1</v>
      </c>
      <c r="J364">
        <v>0.28000000000000003</v>
      </c>
    </row>
    <row r="365" spans="1:10">
      <c r="A365">
        <v>364</v>
      </c>
      <c r="B365" s="1">
        <v>40559</v>
      </c>
      <c r="C365">
        <v>1</v>
      </c>
      <c r="D365">
        <v>0</v>
      </c>
      <c r="E365">
        <v>1</v>
      </c>
      <c r="F365">
        <v>15</v>
      </c>
      <c r="G365" t="b">
        <v>0</v>
      </c>
      <c r="H365">
        <v>0</v>
      </c>
      <c r="I365">
        <v>1</v>
      </c>
      <c r="J365">
        <v>0.26</v>
      </c>
    </row>
    <row r="366" spans="1:10">
      <c r="A366">
        <v>365</v>
      </c>
      <c r="B366" s="1">
        <v>40559</v>
      </c>
      <c r="C366">
        <v>1</v>
      </c>
      <c r="D366">
        <v>0</v>
      </c>
      <c r="E366">
        <v>1</v>
      </c>
      <c r="F366">
        <v>16</v>
      </c>
      <c r="G366" t="b">
        <v>0</v>
      </c>
      <c r="H366">
        <v>0</v>
      </c>
      <c r="I366">
        <v>1</v>
      </c>
      <c r="J366">
        <v>0.24</v>
      </c>
    </row>
    <row r="367" spans="1:10">
      <c r="A367">
        <v>366</v>
      </c>
      <c r="B367" s="1">
        <v>40559</v>
      </c>
      <c r="C367">
        <v>1</v>
      </c>
      <c r="D367">
        <v>0</v>
      </c>
      <c r="E367">
        <v>1</v>
      </c>
      <c r="F367">
        <v>17</v>
      </c>
      <c r="G367" t="b">
        <v>0</v>
      </c>
      <c r="H367">
        <v>0</v>
      </c>
      <c r="I367">
        <v>1</v>
      </c>
      <c r="J367">
        <v>0.22</v>
      </c>
    </row>
    <row r="368" spans="1:10">
      <c r="A368">
        <v>367</v>
      </c>
      <c r="B368" s="1">
        <v>40559</v>
      </c>
      <c r="C368">
        <v>1</v>
      </c>
      <c r="D368">
        <v>0</v>
      </c>
      <c r="E368">
        <v>1</v>
      </c>
      <c r="F368">
        <v>18</v>
      </c>
      <c r="G368" t="b">
        <v>0</v>
      </c>
      <c r="H368">
        <v>0</v>
      </c>
      <c r="I368">
        <v>1</v>
      </c>
      <c r="J368">
        <v>0.2</v>
      </c>
    </row>
    <row r="369" spans="1:10">
      <c r="A369">
        <v>368</v>
      </c>
      <c r="B369" s="1">
        <v>40559</v>
      </c>
      <c r="C369">
        <v>1</v>
      </c>
      <c r="D369">
        <v>0</v>
      </c>
      <c r="E369">
        <v>1</v>
      </c>
      <c r="F369">
        <v>19</v>
      </c>
      <c r="G369" t="b">
        <v>0</v>
      </c>
      <c r="H369">
        <v>0</v>
      </c>
      <c r="I369">
        <v>1</v>
      </c>
      <c r="J369">
        <v>0.18</v>
      </c>
    </row>
    <row r="370" spans="1:10">
      <c r="A370">
        <v>369</v>
      </c>
      <c r="B370" s="1">
        <v>40559</v>
      </c>
      <c r="C370">
        <v>1</v>
      </c>
      <c r="D370">
        <v>0</v>
      </c>
      <c r="E370">
        <v>1</v>
      </c>
      <c r="F370">
        <v>20</v>
      </c>
      <c r="G370" t="b">
        <v>0</v>
      </c>
      <c r="H370">
        <v>0</v>
      </c>
      <c r="I370">
        <v>1</v>
      </c>
      <c r="J370">
        <v>0.18</v>
      </c>
    </row>
    <row r="371" spans="1:10">
      <c r="A371">
        <v>370</v>
      </c>
      <c r="B371" s="1">
        <v>40559</v>
      </c>
      <c r="C371">
        <v>1</v>
      </c>
      <c r="D371">
        <v>0</v>
      </c>
      <c r="E371">
        <v>1</v>
      </c>
      <c r="F371">
        <v>21</v>
      </c>
      <c r="G371" t="b">
        <v>0</v>
      </c>
      <c r="H371">
        <v>0</v>
      </c>
      <c r="I371">
        <v>1</v>
      </c>
      <c r="J371">
        <v>0.18</v>
      </c>
    </row>
    <row r="372" spans="1:10">
      <c r="A372">
        <v>371</v>
      </c>
      <c r="B372" s="1">
        <v>40559</v>
      </c>
      <c r="C372">
        <v>1</v>
      </c>
      <c r="D372">
        <v>0</v>
      </c>
      <c r="E372">
        <v>1</v>
      </c>
      <c r="F372">
        <v>22</v>
      </c>
      <c r="G372" t="b">
        <v>0</v>
      </c>
      <c r="H372">
        <v>0</v>
      </c>
      <c r="I372">
        <v>2</v>
      </c>
      <c r="J372">
        <v>0.2</v>
      </c>
    </row>
    <row r="373" spans="1:10">
      <c r="A373">
        <v>372</v>
      </c>
      <c r="B373" s="1">
        <v>40559</v>
      </c>
      <c r="C373">
        <v>1</v>
      </c>
      <c r="D373">
        <v>0</v>
      </c>
      <c r="E373">
        <v>1</v>
      </c>
      <c r="F373">
        <v>23</v>
      </c>
      <c r="G373" t="b">
        <v>0</v>
      </c>
      <c r="H373">
        <v>0</v>
      </c>
      <c r="I373">
        <v>2</v>
      </c>
      <c r="J373">
        <v>0.2</v>
      </c>
    </row>
    <row r="374" spans="1:10">
      <c r="A374">
        <v>373</v>
      </c>
      <c r="B374" s="1">
        <v>40560</v>
      </c>
      <c r="C374">
        <v>1</v>
      </c>
      <c r="D374">
        <v>0</v>
      </c>
      <c r="E374">
        <v>1</v>
      </c>
      <c r="F374">
        <v>0</v>
      </c>
      <c r="G374" t="b">
        <v>1</v>
      </c>
      <c r="H374">
        <v>1</v>
      </c>
      <c r="I374">
        <v>2</v>
      </c>
      <c r="J374">
        <v>0.2</v>
      </c>
    </row>
    <row r="375" spans="1:10">
      <c r="A375">
        <v>374</v>
      </c>
      <c r="B375" s="1">
        <v>40560</v>
      </c>
      <c r="C375">
        <v>1</v>
      </c>
      <c r="D375">
        <v>0</v>
      </c>
      <c r="E375">
        <v>1</v>
      </c>
      <c r="F375">
        <v>1</v>
      </c>
      <c r="G375" t="b">
        <v>1</v>
      </c>
      <c r="H375">
        <v>1</v>
      </c>
      <c r="I375">
        <v>2</v>
      </c>
      <c r="J375">
        <v>0.2</v>
      </c>
    </row>
    <row r="376" spans="1:10">
      <c r="A376">
        <v>375</v>
      </c>
      <c r="B376" s="1">
        <v>40560</v>
      </c>
      <c r="C376">
        <v>1</v>
      </c>
      <c r="D376">
        <v>0</v>
      </c>
      <c r="E376">
        <v>1</v>
      </c>
      <c r="F376">
        <v>2</v>
      </c>
      <c r="G376" t="b">
        <v>1</v>
      </c>
      <c r="H376">
        <v>1</v>
      </c>
      <c r="I376">
        <v>2</v>
      </c>
      <c r="J376">
        <v>0.18</v>
      </c>
    </row>
    <row r="377" spans="1:10">
      <c r="A377">
        <v>376</v>
      </c>
      <c r="B377" s="1">
        <v>40560</v>
      </c>
      <c r="C377">
        <v>1</v>
      </c>
      <c r="D377">
        <v>0</v>
      </c>
      <c r="E377">
        <v>1</v>
      </c>
      <c r="F377">
        <v>3</v>
      </c>
      <c r="G377" t="b">
        <v>1</v>
      </c>
      <c r="H377">
        <v>1</v>
      </c>
      <c r="I377">
        <v>2</v>
      </c>
      <c r="J377">
        <v>0.18</v>
      </c>
    </row>
    <row r="378" spans="1:10">
      <c r="A378">
        <v>377</v>
      </c>
      <c r="B378" s="1">
        <v>40560</v>
      </c>
      <c r="C378">
        <v>1</v>
      </c>
      <c r="D378">
        <v>0</v>
      </c>
      <c r="E378">
        <v>1</v>
      </c>
      <c r="F378">
        <v>4</v>
      </c>
      <c r="G378" t="b">
        <v>1</v>
      </c>
      <c r="H378">
        <v>1</v>
      </c>
      <c r="I378">
        <v>2</v>
      </c>
      <c r="J378">
        <v>0.18</v>
      </c>
    </row>
    <row r="379" spans="1:10">
      <c r="A379">
        <v>378</v>
      </c>
      <c r="B379" s="1">
        <v>40560</v>
      </c>
      <c r="C379">
        <v>1</v>
      </c>
      <c r="D379">
        <v>0</v>
      </c>
      <c r="E379">
        <v>1</v>
      </c>
      <c r="F379">
        <v>5</v>
      </c>
      <c r="G379" t="b">
        <v>1</v>
      </c>
      <c r="H379">
        <v>1</v>
      </c>
      <c r="I379">
        <v>2</v>
      </c>
      <c r="J379">
        <v>0.18</v>
      </c>
    </row>
    <row r="380" spans="1:10">
      <c r="A380">
        <v>379</v>
      </c>
      <c r="B380" s="1">
        <v>40560</v>
      </c>
      <c r="C380">
        <v>1</v>
      </c>
      <c r="D380">
        <v>0</v>
      </c>
      <c r="E380">
        <v>1</v>
      </c>
      <c r="F380">
        <v>6</v>
      </c>
      <c r="G380" t="b">
        <v>1</v>
      </c>
      <c r="H380">
        <v>1</v>
      </c>
      <c r="I380">
        <v>2</v>
      </c>
      <c r="J380">
        <v>0.18</v>
      </c>
    </row>
    <row r="381" spans="1:10">
      <c r="A381">
        <v>380</v>
      </c>
      <c r="B381" s="1">
        <v>40560</v>
      </c>
      <c r="C381">
        <v>1</v>
      </c>
      <c r="D381">
        <v>0</v>
      </c>
      <c r="E381">
        <v>1</v>
      </c>
      <c r="F381">
        <v>7</v>
      </c>
      <c r="G381" t="b">
        <v>1</v>
      </c>
      <c r="H381">
        <v>1</v>
      </c>
      <c r="I381">
        <v>2</v>
      </c>
      <c r="J381">
        <v>0.16</v>
      </c>
    </row>
    <row r="382" spans="1:10">
      <c r="A382">
        <v>381</v>
      </c>
      <c r="B382" s="1">
        <v>40560</v>
      </c>
      <c r="C382">
        <v>1</v>
      </c>
      <c r="D382">
        <v>0</v>
      </c>
      <c r="E382">
        <v>1</v>
      </c>
      <c r="F382">
        <v>8</v>
      </c>
      <c r="G382" t="b">
        <v>1</v>
      </c>
      <c r="H382">
        <v>1</v>
      </c>
      <c r="I382">
        <v>2</v>
      </c>
      <c r="J382">
        <v>0.16</v>
      </c>
    </row>
    <row r="383" spans="1:10">
      <c r="A383">
        <v>382</v>
      </c>
      <c r="B383" s="1">
        <v>40560</v>
      </c>
      <c r="C383">
        <v>1</v>
      </c>
      <c r="D383">
        <v>0</v>
      </c>
      <c r="E383">
        <v>1</v>
      </c>
      <c r="F383">
        <v>9</v>
      </c>
      <c r="G383" t="b">
        <v>1</v>
      </c>
      <c r="H383">
        <v>1</v>
      </c>
      <c r="I383">
        <v>2</v>
      </c>
      <c r="J383">
        <v>0.16</v>
      </c>
    </row>
    <row r="384" spans="1:10">
      <c r="A384">
        <v>383</v>
      </c>
      <c r="B384" s="1">
        <v>40560</v>
      </c>
      <c r="C384">
        <v>1</v>
      </c>
      <c r="D384">
        <v>0</v>
      </c>
      <c r="E384">
        <v>1</v>
      </c>
      <c r="F384">
        <v>10</v>
      </c>
      <c r="G384" t="b">
        <v>1</v>
      </c>
      <c r="H384">
        <v>1</v>
      </c>
      <c r="I384">
        <v>2</v>
      </c>
      <c r="J384">
        <v>0.16</v>
      </c>
    </row>
    <row r="385" spans="1:10">
      <c r="A385">
        <v>384</v>
      </c>
      <c r="B385" s="1">
        <v>40560</v>
      </c>
      <c r="C385">
        <v>1</v>
      </c>
      <c r="D385">
        <v>0</v>
      </c>
      <c r="E385">
        <v>1</v>
      </c>
      <c r="F385">
        <v>11</v>
      </c>
      <c r="G385" t="b">
        <v>1</v>
      </c>
      <c r="H385">
        <v>1</v>
      </c>
      <c r="I385">
        <v>2</v>
      </c>
      <c r="J385">
        <v>0.16</v>
      </c>
    </row>
    <row r="386" spans="1:10">
      <c r="A386">
        <v>385</v>
      </c>
      <c r="B386" s="1">
        <v>40560</v>
      </c>
      <c r="C386">
        <v>1</v>
      </c>
      <c r="D386">
        <v>0</v>
      </c>
      <c r="E386">
        <v>1</v>
      </c>
      <c r="F386">
        <v>12</v>
      </c>
      <c r="G386" t="b">
        <v>1</v>
      </c>
      <c r="H386">
        <v>1</v>
      </c>
      <c r="I386">
        <v>2</v>
      </c>
      <c r="J386">
        <v>0.18</v>
      </c>
    </row>
    <row r="387" spans="1:10">
      <c r="A387">
        <v>386</v>
      </c>
      <c r="B387" s="1">
        <v>40560</v>
      </c>
      <c r="C387">
        <v>1</v>
      </c>
      <c r="D387">
        <v>0</v>
      </c>
      <c r="E387">
        <v>1</v>
      </c>
      <c r="F387">
        <v>13</v>
      </c>
      <c r="G387" t="b">
        <v>1</v>
      </c>
      <c r="H387">
        <v>1</v>
      </c>
      <c r="I387">
        <v>2</v>
      </c>
      <c r="J387">
        <v>0.18</v>
      </c>
    </row>
    <row r="388" spans="1:10">
      <c r="A388">
        <v>387</v>
      </c>
      <c r="B388" s="1">
        <v>40560</v>
      </c>
      <c r="C388">
        <v>1</v>
      </c>
      <c r="D388">
        <v>0</v>
      </c>
      <c r="E388">
        <v>1</v>
      </c>
      <c r="F388">
        <v>14</v>
      </c>
      <c r="G388" t="b">
        <v>1</v>
      </c>
      <c r="H388">
        <v>1</v>
      </c>
      <c r="I388">
        <v>2</v>
      </c>
      <c r="J388">
        <v>0.18</v>
      </c>
    </row>
    <row r="389" spans="1:10">
      <c r="A389">
        <v>388</v>
      </c>
      <c r="B389" s="1">
        <v>40560</v>
      </c>
      <c r="C389">
        <v>1</v>
      </c>
      <c r="D389">
        <v>0</v>
      </c>
      <c r="E389">
        <v>1</v>
      </c>
      <c r="F389">
        <v>15</v>
      </c>
      <c r="G389" t="b">
        <v>1</v>
      </c>
      <c r="H389">
        <v>1</v>
      </c>
      <c r="I389">
        <v>2</v>
      </c>
      <c r="J389">
        <v>0.2</v>
      </c>
    </row>
    <row r="390" spans="1:10">
      <c r="A390">
        <v>389</v>
      </c>
      <c r="B390" s="1">
        <v>40560</v>
      </c>
      <c r="C390">
        <v>1</v>
      </c>
      <c r="D390">
        <v>0</v>
      </c>
      <c r="E390">
        <v>1</v>
      </c>
      <c r="F390">
        <v>16</v>
      </c>
      <c r="G390" t="b">
        <v>1</v>
      </c>
      <c r="H390">
        <v>1</v>
      </c>
      <c r="I390">
        <v>2</v>
      </c>
      <c r="J390">
        <v>0.2</v>
      </c>
    </row>
    <row r="391" spans="1:10">
      <c r="A391">
        <v>390</v>
      </c>
      <c r="B391" s="1">
        <v>40560</v>
      </c>
      <c r="C391">
        <v>1</v>
      </c>
      <c r="D391">
        <v>0</v>
      </c>
      <c r="E391">
        <v>1</v>
      </c>
      <c r="F391">
        <v>17</v>
      </c>
      <c r="G391" t="b">
        <v>1</v>
      </c>
      <c r="H391">
        <v>1</v>
      </c>
      <c r="I391">
        <v>1</v>
      </c>
      <c r="J391">
        <v>0.2</v>
      </c>
    </row>
    <row r="392" spans="1:10">
      <c r="A392">
        <v>391</v>
      </c>
      <c r="B392" s="1">
        <v>40560</v>
      </c>
      <c r="C392">
        <v>1</v>
      </c>
      <c r="D392">
        <v>0</v>
      </c>
      <c r="E392">
        <v>1</v>
      </c>
      <c r="F392">
        <v>18</v>
      </c>
      <c r="G392" t="b">
        <v>1</v>
      </c>
      <c r="H392">
        <v>1</v>
      </c>
      <c r="I392">
        <v>2</v>
      </c>
      <c r="J392">
        <v>0.18</v>
      </c>
    </row>
    <row r="393" spans="1:10">
      <c r="A393">
        <v>392</v>
      </c>
      <c r="B393" s="1">
        <v>40560</v>
      </c>
      <c r="C393">
        <v>1</v>
      </c>
      <c r="D393">
        <v>0</v>
      </c>
      <c r="E393">
        <v>1</v>
      </c>
      <c r="F393">
        <v>19</v>
      </c>
      <c r="G393" t="b">
        <v>1</v>
      </c>
      <c r="H393">
        <v>1</v>
      </c>
      <c r="I393">
        <v>3</v>
      </c>
      <c r="J393">
        <v>0.18</v>
      </c>
    </row>
    <row r="394" spans="1:10">
      <c r="A394">
        <v>393</v>
      </c>
      <c r="B394" s="1">
        <v>40560</v>
      </c>
      <c r="C394">
        <v>1</v>
      </c>
      <c r="D394">
        <v>0</v>
      </c>
      <c r="E394">
        <v>1</v>
      </c>
      <c r="F394">
        <v>20</v>
      </c>
      <c r="G394" t="b">
        <v>1</v>
      </c>
      <c r="H394">
        <v>1</v>
      </c>
      <c r="I394">
        <v>3</v>
      </c>
      <c r="J394">
        <v>0.16</v>
      </c>
    </row>
    <row r="395" spans="1:10">
      <c r="A395">
        <v>394</v>
      </c>
      <c r="B395" s="1">
        <v>40560</v>
      </c>
      <c r="C395">
        <v>1</v>
      </c>
      <c r="D395">
        <v>0</v>
      </c>
      <c r="E395">
        <v>1</v>
      </c>
      <c r="F395">
        <v>21</v>
      </c>
      <c r="G395" t="b">
        <v>1</v>
      </c>
      <c r="H395">
        <v>1</v>
      </c>
      <c r="I395">
        <v>3</v>
      </c>
      <c r="J395">
        <v>0.16</v>
      </c>
    </row>
    <row r="396" spans="1:10">
      <c r="A396">
        <v>395</v>
      </c>
      <c r="B396" s="1">
        <v>40560</v>
      </c>
      <c r="C396">
        <v>1</v>
      </c>
      <c r="D396">
        <v>0</v>
      </c>
      <c r="E396">
        <v>1</v>
      </c>
      <c r="F396">
        <v>22</v>
      </c>
      <c r="G396" t="b">
        <v>1</v>
      </c>
      <c r="H396">
        <v>1</v>
      </c>
      <c r="I396">
        <v>3</v>
      </c>
      <c r="J396">
        <v>0.14000000000000001</v>
      </c>
    </row>
    <row r="397" spans="1:10">
      <c r="A397">
        <v>396</v>
      </c>
      <c r="B397" s="1">
        <v>40560</v>
      </c>
      <c r="C397">
        <v>1</v>
      </c>
      <c r="D397">
        <v>0</v>
      </c>
      <c r="E397">
        <v>1</v>
      </c>
      <c r="F397">
        <v>23</v>
      </c>
      <c r="G397" t="b">
        <v>1</v>
      </c>
      <c r="H397">
        <v>1</v>
      </c>
      <c r="I397">
        <v>3</v>
      </c>
      <c r="J397">
        <v>0.16</v>
      </c>
    </row>
    <row r="398" spans="1:10">
      <c r="A398">
        <v>397</v>
      </c>
      <c r="B398" s="1">
        <v>40561</v>
      </c>
      <c r="C398">
        <v>1</v>
      </c>
      <c r="D398">
        <v>0</v>
      </c>
      <c r="E398">
        <v>1</v>
      </c>
      <c r="F398">
        <v>12</v>
      </c>
      <c r="G398" t="b">
        <v>0</v>
      </c>
      <c r="H398">
        <v>2</v>
      </c>
      <c r="I398">
        <v>2</v>
      </c>
      <c r="J398">
        <v>0.2</v>
      </c>
    </row>
    <row r="399" spans="1:10">
      <c r="A399">
        <v>398</v>
      </c>
      <c r="B399" s="1">
        <v>40561</v>
      </c>
      <c r="C399">
        <v>1</v>
      </c>
      <c r="D399">
        <v>0</v>
      </c>
      <c r="E399">
        <v>1</v>
      </c>
      <c r="F399">
        <v>13</v>
      </c>
      <c r="G399" t="b">
        <v>0</v>
      </c>
      <c r="H399">
        <v>2</v>
      </c>
      <c r="I399">
        <v>2</v>
      </c>
      <c r="J399">
        <v>0.2</v>
      </c>
    </row>
    <row r="400" spans="1:10">
      <c r="A400">
        <v>399</v>
      </c>
      <c r="B400" s="1">
        <v>40561</v>
      </c>
      <c r="C400">
        <v>1</v>
      </c>
      <c r="D400">
        <v>0</v>
      </c>
      <c r="E400">
        <v>1</v>
      </c>
      <c r="F400">
        <v>14</v>
      </c>
      <c r="G400" t="b">
        <v>0</v>
      </c>
      <c r="H400">
        <v>2</v>
      </c>
      <c r="I400">
        <v>2</v>
      </c>
      <c r="J400">
        <v>0.22</v>
      </c>
    </row>
    <row r="401" spans="1:10">
      <c r="A401">
        <v>400</v>
      </c>
      <c r="B401" s="1">
        <v>40561</v>
      </c>
      <c r="C401">
        <v>1</v>
      </c>
      <c r="D401">
        <v>0</v>
      </c>
      <c r="E401">
        <v>1</v>
      </c>
      <c r="F401">
        <v>15</v>
      </c>
      <c r="G401" t="b">
        <v>0</v>
      </c>
      <c r="H401">
        <v>2</v>
      </c>
      <c r="I401">
        <v>2</v>
      </c>
      <c r="J401">
        <v>0.22</v>
      </c>
    </row>
    <row r="402" spans="1:10">
      <c r="A402">
        <v>401</v>
      </c>
      <c r="B402" s="1">
        <v>40561</v>
      </c>
      <c r="C402">
        <v>1</v>
      </c>
      <c r="D402">
        <v>0</v>
      </c>
      <c r="E402">
        <v>1</v>
      </c>
      <c r="F402">
        <v>16</v>
      </c>
      <c r="G402" t="b">
        <v>0</v>
      </c>
      <c r="H402">
        <v>2</v>
      </c>
      <c r="I402">
        <v>2</v>
      </c>
      <c r="J402">
        <v>0.22</v>
      </c>
    </row>
    <row r="403" spans="1:10">
      <c r="A403">
        <v>402</v>
      </c>
      <c r="B403" s="1">
        <v>40561</v>
      </c>
      <c r="C403">
        <v>1</v>
      </c>
      <c r="D403">
        <v>0</v>
      </c>
      <c r="E403">
        <v>1</v>
      </c>
      <c r="F403">
        <v>17</v>
      </c>
      <c r="G403" t="b">
        <v>0</v>
      </c>
      <c r="H403">
        <v>2</v>
      </c>
      <c r="I403">
        <v>2</v>
      </c>
      <c r="J403">
        <v>0.22</v>
      </c>
    </row>
    <row r="404" spans="1:10">
      <c r="A404">
        <v>403</v>
      </c>
      <c r="B404" s="1">
        <v>40561</v>
      </c>
      <c r="C404">
        <v>1</v>
      </c>
      <c r="D404">
        <v>0</v>
      </c>
      <c r="E404">
        <v>1</v>
      </c>
      <c r="F404">
        <v>18</v>
      </c>
      <c r="G404" t="b">
        <v>0</v>
      </c>
      <c r="H404">
        <v>2</v>
      </c>
      <c r="I404">
        <v>2</v>
      </c>
      <c r="J404">
        <v>0.22</v>
      </c>
    </row>
    <row r="405" spans="1:10">
      <c r="A405">
        <v>404</v>
      </c>
      <c r="B405" s="1">
        <v>40561</v>
      </c>
      <c r="C405">
        <v>1</v>
      </c>
      <c r="D405">
        <v>0</v>
      </c>
      <c r="E405">
        <v>1</v>
      </c>
      <c r="F405">
        <v>19</v>
      </c>
      <c r="G405" t="b">
        <v>0</v>
      </c>
      <c r="H405">
        <v>2</v>
      </c>
      <c r="I405">
        <v>2</v>
      </c>
      <c r="J405">
        <v>0.22</v>
      </c>
    </row>
    <row r="406" spans="1:10">
      <c r="A406">
        <v>405</v>
      </c>
      <c r="B406" s="1">
        <v>40561</v>
      </c>
      <c r="C406">
        <v>1</v>
      </c>
      <c r="D406">
        <v>0</v>
      </c>
      <c r="E406">
        <v>1</v>
      </c>
      <c r="F406">
        <v>20</v>
      </c>
      <c r="G406" t="b">
        <v>0</v>
      </c>
      <c r="H406">
        <v>2</v>
      </c>
      <c r="I406">
        <v>2</v>
      </c>
      <c r="J406">
        <v>0.22</v>
      </c>
    </row>
    <row r="407" spans="1:10">
      <c r="A407">
        <v>406</v>
      </c>
      <c r="B407" s="1">
        <v>40561</v>
      </c>
      <c r="C407">
        <v>1</v>
      </c>
      <c r="D407">
        <v>0</v>
      </c>
      <c r="E407">
        <v>1</v>
      </c>
      <c r="F407">
        <v>21</v>
      </c>
      <c r="G407" t="b">
        <v>0</v>
      </c>
      <c r="H407">
        <v>2</v>
      </c>
      <c r="I407">
        <v>2</v>
      </c>
      <c r="J407">
        <v>0.22</v>
      </c>
    </row>
    <row r="408" spans="1:10">
      <c r="A408">
        <v>407</v>
      </c>
      <c r="B408" s="1">
        <v>40561</v>
      </c>
      <c r="C408">
        <v>1</v>
      </c>
      <c r="D408">
        <v>0</v>
      </c>
      <c r="E408">
        <v>1</v>
      </c>
      <c r="F408">
        <v>22</v>
      </c>
      <c r="G408" t="b">
        <v>0</v>
      </c>
      <c r="H408">
        <v>2</v>
      </c>
      <c r="I408">
        <v>2</v>
      </c>
      <c r="J408">
        <v>0.22</v>
      </c>
    </row>
    <row r="409" spans="1:10">
      <c r="A409">
        <v>408</v>
      </c>
      <c r="B409" s="1">
        <v>40561</v>
      </c>
      <c r="C409">
        <v>1</v>
      </c>
      <c r="D409">
        <v>0</v>
      </c>
      <c r="E409">
        <v>1</v>
      </c>
      <c r="F409">
        <v>23</v>
      </c>
      <c r="G409" t="b">
        <v>0</v>
      </c>
      <c r="H409">
        <v>2</v>
      </c>
      <c r="I409">
        <v>2</v>
      </c>
      <c r="J409">
        <v>0.22</v>
      </c>
    </row>
    <row r="410" spans="1:10">
      <c r="A410">
        <v>409</v>
      </c>
      <c r="B410" s="1">
        <v>40562</v>
      </c>
      <c r="C410">
        <v>1</v>
      </c>
      <c r="D410">
        <v>0</v>
      </c>
      <c r="E410">
        <v>1</v>
      </c>
      <c r="F410">
        <v>0</v>
      </c>
      <c r="G410" t="b">
        <v>0</v>
      </c>
      <c r="H410">
        <v>3</v>
      </c>
      <c r="I410">
        <v>2</v>
      </c>
      <c r="J410">
        <v>0.22</v>
      </c>
    </row>
    <row r="411" spans="1:10">
      <c r="A411">
        <v>410</v>
      </c>
      <c r="B411" s="1">
        <v>40562</v>
      </c>
      <c r="C411">
        <v>1</v>
      </c>
      <c r="D411">
        <v>0</v>
      </c>
      <c r="E411">
        <v>1</v>
      </c>
      <c r="F411">
        <v>1</v>
      </c>
      <c r="G411" t="b">
        <v>0</v>
      </c>
      <c r="H411">
        <v>3</v>
      </c>
      <c r="I411">
        <v>3</v>
      </c>
      <c r="J411">
        <v>0.22</v>
      </c>
    </row>
    <row r="412" spans="1:10">
      <c r="A412">
        <v>411</v>
      </c>
      <c r="B412" s="1">
        <v>40562</v>
      </c>
      <c r="C412">
        <v>1</v>
      </c>
      <c r="D412">
        <v>0</v>
      </c>
      <c r="E412">
        <v>1</v>
      </c>
      <c r="F412">
        <v>2</v>
      </c>
      <c r="G412" t="b">
        <v>0</v>
      </c>
      <c r="H412">
        <v>3</v>
      </c>
      <c r="I412">
        <v>3</v>
      </c>
      <c r="J412">
        <v>0.22</v>
      </c>
    </row>
    <row r="413" spans="1:10">
      <c r="A413">
        <v>412</v>
      </c>
      <c r="B413" s="1">
        <v>40562</v>
      </c>
      <c r="C413">
        <v>1</v>
      </c>
      <c r="D413">
        <v>0</v>
      </c>
      <c r="E413">
        <v>1</v>
      </c>
      <c r="F413">
        <v>4</v>
      </c>
      <c r="G413" t="b">
        <v>0</v>
      </c>
      <c r="H413">
        <v>3</v>
      </c>
      <c r="I413">
        <v>3</v>
      </c>
      <c r="J413">
        <v>0.22</v>
      </c>
    </row>
    <row r="414" spans="1:10">
      <c r="A414">
        <v>413</v>
      </c>
      <c r="B414" s="1">
        <v>40562</v>
      </c>
      <c r="C414">
        <v>1</v>
      </c>
      <c r="D414">
        <v>0</v>
      </c>
      <c r="E414">
        <v>1</v>
      </c>
      <c r="F414">
        <v>5</v>
      </c>
      <c r="G414" t="b">
        <v>0</v>
      </c>
      <c r="H414">
        <v>3</v>
      </c>
      <c r="I414">
        <v>2</v>
      </c>
      <c r="J414">
        <v>0.22</v>
      </c>
    </row>
    <row r="415" spans="1:10">
      <c r="A415">
        <v>414</v>
      </c>
      <c r="B415" s="1">
        <v>40562</v>
      </c>
      <c r="C415">
        <v>1</v>
      </c>
      <c r="D415">
        <v>0</v>
      </c>
      <c r="E415">
        <v>1</v>
      </c>
      <c r="F415">
        <v>6</v>
      </c>
      <c r="G415" t="b">
        <v>0</v>
      </c>
      <c r="H415">
        <v>3</v>
      </c>
      <c r="I415">
        <v>2</v>
      </c>
      <c r="J415">
        <v>0.22</v>
      </c>
    </row>
    <row r="416" spans="1:10">
      <c r="A416">
        <v>415</v>
      </c>
      <c r="B416" s="1">
        <v>40562</v>
      </c>
      <c r="C416">
        <v>1</v>
      </c>
      <c r="D416">
        <v>0</v>
      </c>
      <c r="E416">
        <v>1</v>
      </c>
      <c r="F416">
        <v>7</v>
      </c>
      <c r="G416" t="b">
        <v>0</v>
      </c>
      <c r="H416">
        <v>3</v>
      </c>
      <c r="I416">
        <v>2</v>
      </c>
      <c r="J416">
        <v>0.24</v>
      </c>
    </row>
    <row r="417" spans="1:10">
      <c r="A417">
        <v>416</v>
      </c>
      <c r="B417" s="1">
        <v>40562</v>
      </c>
      <c r="C417">
        <v>1</v>
      </c>
      <c r="D417">
        <v>0</v>
      </c>
      <c r="E417">
        <v>1</v>
      </c>
      <c r="F417">
        <v>8</v>
      </c>
      <c r="G417" t="b">
        <v>0</v>
      </c>
      <c r="H417">
        <v>3</v>
      </c>
      <c r="I417">
        <v>2</v>
      </c>
      <c r="J417">
        <v>0.24</v>
      </c>
    </row>
    <row r="418" spans="1:10">
      <c r="A418">
        <v>417</v>
      </c>
      <c r="B418" s="1">
        <v>40562</v>
      </c>
      <c r="C418">
        <v>1</v>
      </c>
      <c r="D418">
        <v>0</v>
      </c>
      <c r="E418">
        <v>1</v>
      </c>
      <c r="F418">
        <v>9</v>
      </c>
      <c r="G418" t="b">
        <v>0</v>
      </c>
      <c r="H418">
        <v>3</v>
      </c>
      <c r="I418">
        <v>2</v>
      </c>
      <c r="J418">
        <v>0.24</v>
      </c>
    </row>
    <row r="419" spans="1:10">
      <c r="A419">
        <v>418</v>
      </c>
      <c r="B419" s="1">
        <v>40562</v>
      </c>
      <c r="C419">
        <v>1</v>
      </c>
      <c r="D419">
        <v>0</v>
      </c>
      <c r="E419">
        <v>1</v>
      </c>
      <c r="F419">
        <v>10</v>
      </c>
      <c r="G419" t="b">
        <v>0</v>
      </c>
      <c r="H419">
        <v>3</v>
      </c>
      <c r="I419">
        <v>2</v>
      </c>
      <c r="J419">
        <v>0.26</v>
      </c>
    </row>
    <row r="420" spans="1:10">
      <c r="A420">
        <v>419</v>
      </c>
      <c r="B420" s="1">
        <v>40562</v>
      </c>
      <c r="C420">
        <v>1</v>
      </c>
      <c r="D420">
        <v>0</v>
      </c>
      <c r="E420">
        <v>1</v>
      </c>
      <c r="F420">
        <v>11</v>
      </c>
      <c r="G420" t="b">
        <v>0</v>
      </c>
      <c r="H420">
        <v>3</v>
      </c>
      <c r="I420">
        <v>2</v>
      </c>
      <c r="J420">
        <v>0.28000000000000003</v>
      </c>
    </row>
    <row r="421" spans="1:10">
      <c r="A421">
        <v>420</v>
      </c>
      <c r="B421" s="1">
        <v>40562</v>
      </c>
      <c r="C421">
        <v>1</v>
      </c>
      <c r="D421">
        <v>0</v>
      </c>
      <c r="E421">
        <v>1</v>
      </c>
      <c r="F421">
        <v>12</v>
      </c>
      <c r="G421" t="b">
        <v>0</v>
      </c>
      <c r="H421">
        <v>3</v>
      </c>
      <c r="I421">
        <v>2</v>
      </c>
      <c r="J421">
        <v>0.3</v>
      </c>
    </row>
    <row r="422" spans="1:10">
      <c r="A422">
        <v>421</v>
      </c>
      <c r="B422" s="1">
        <v>40562</v>
      </c>
      <c r="C422">
        <v>1</v>
      </c>
      <c r="D422">
        <v>0</v>
      </c>
      <c r="E422">
        <v>1</v>
      </c>
      <c r="F422">
        <v>13</v>
      </c>
      <c r="G422" t="b">
        <v>0</v>
      </c>
      <c r="H422">
        <v>3</v>
      </c>
      <c r="I422">
        <v>1</v>
      </c>
      <c r="J422">
        <v>0.4</v>
      </c>
    </row>
    <row r="423" spans="1:10">
      <c r="A423">
        <v>422</v>
      </c>
      <c r="B423" s="1">
        <v>40562</v>
      </c>
      <c r="C423">
        <v>1</v>
      </c>
      <c r="D423">
        <v>0</v>
      </c>
      <c r="E423">
        <v>1</v>
      </c>
      <c r="F423">
        <v>14</v>
      </c>
      <c r="G423" t="b">
        <v>0</v>
      </c>
      <c r="H423">
        <v>3</v>
      </c>
      <c r="I423">
        <v>1</v>
      </c>
      <c r="J423">
        <v>0.4</v>
      </c>
    </row>
    <row r="424" spans="1:10">
      <c r="A424">
        <v>423</v>
      </c>
      <c r="B424" s="1">
        <v>40562</v>
      </c>
      <c r="C424">
        <v>1</v>
      </c>
      <c r="D424">
        <v>0</v>
      </c>
      <c r="E424">
        <v>1</v>
      </c>
      <c r="F424">
        <v>15</v>
      </c>
      <c r="G424" t="b">
        <v>0</v>
      </c>
      <c r="H424">
        <v>3</v>
      </c>
      <c r="I424">
        <v>1</v>
      </c>
      <c r="J424">
        <v>0.4</v>
      </c>
    </row>
    <row r="425" spans="1:10">
      <c r="A425">
        <v>424</v>
      </c>
      <c r="B425" s="1">
        <v>40562</v>
      </c>
      <c r="C425">
        <v>1</v>
      </c>
      <c r="D425">
        <v>0</v>
      </c>
      <c r="E425">
        <v>1</v>
      </c>
      <c r="F425">
        <v>16</v>
      </c>
      <c r="G425" t="b">
        <v>0</v>
      </c>
      <c r="H425">
        <v>3</v>
      </c>
      <c r="I425">
        <v>1</v>
      </c>
      <c r="J425">
        <v>0.38</v>
      </c>
    </row>
    <row r="426" spans="1:10">
      <c r="A426">
        <v>425</v>
      </c>
      <c r="B426" s="1">
        <v>40562</v>
      </c>
      <c r="C426">
        <v>1</v>
      </c>
      <c r="D426">
        <v>0</v>
      </c>
      <c r="E426">
        <v>1</v>
      </c>
      <c r="F426">
        <v>17</v>
      </c>
      <c r="G426" t="b">
        <v>0</v>
      </c>
      <c r="H426">
        <v>3</v>
      </c>
      <c r="I426">
        <v>1</v>
      </c>
      <c r="J426">
        <v>0.36</v>
      </c>
    </row>
    <row r="427" spans="1:10">
      <c r="A427">
        <v>426</v>
      </c>
      <c r="B427" s="1">
        <v>40562</v>
      </c>
      <c r="C427">
        <v>1</v>
      </c>
      <c r="D427">
        <v>0</v>
      </c>
      <c r="E427">
        <v>1</v>
      </c>
      <c r="F427">
        <v>18</v>
      </c>
      <c r="G427" t="b">
        <v>0</v>
      </c>
      <c r="H427">
        <v>3</v>
      </c>
      <c r="I427">
        <v>1</v>
      </c>
      <c r="J427">
        <v>0.34</v>
      </c>
    </row>
    <row r="428" spans="1:10">
      <c r="A428">
        <v>427</v>
      </c>
      <c r="B428" s="1">
        <v>40562</v>
      </c>
      <c r="C428">
        <v>1</v>
      </c>
      <c r="D428">
        <v>0</v>
      </c>
      <c r="E428">
        <v>1</v>
      </c>
      <c r="F428">
        <v>19</v>
      </c>
      <c r="G428" t="b">
        <v>0</v>
      </c>
      <c r="H428">
        <v>3</v>
      </c>
      <c r="I428">
        <v>1</v>
      </c>
      <c r="J428">
        <v>0.32</v>
      </c>
    </row>
    <row r="429" spans="1:10">
      <c r="A429">
        <v>428</v>
      </c>
      <c r="B429" s="1">
        <v>40562</v>
      </c>
      <c r="C429">
        <v>1</v>
      </c>
      <c r="D429">
        <v>0</v>
      </c>
      <c r="E429">
        <v>1</v>
      </c>
      <c r="F429">
        <v>20</v>
      </c>
      <c r="G429" t="b">
        <v>0</v>
      </c>
      <c r="H429">
        <v>3</v>
      </c>
      <c r="I429">
        <v>1</v>
      </c>
      <c r="J429">
        <v>0.32</v>
      </c>
    </row>
    <row r="430" spans="1:10">
      <c r="A430">
        <v>429</v>
      </c>
      <c r="B430" s="1">
        <v>40562</v>
      </c>
      <c r="C430">
        <v>1</v>
      </c>
      <c r="D430">
        <v>0</v>
      </c>
      <c r="E430">
        <v>1</v>
      </c>
      <c r="F430">
        <v>21</v>
      </c>
      <c r="G430" t="b">
        <v>0</v>
      </c>
      <c r="H430">
        <v>3</v>
      </c>
      <c r="I430">
        <v>1</v>
      </c>
      <c r="J430">
        <v>0.32</v>
      </c>
    </row>
    <row r="431" spans="1:10">
      <c r="A431">
        <v>430</v>
      </c>
      <c r="B431" s="1">
        <v>40562</v>
      </c>
      <c r="C431">
        <v>1</v>
      </c>
      <c r="D431">
        <v>0</v>
      </c>
      <c r="E431">
        <v>1</v>
      </c>
      <c r="F431">
        <v>22</v>
      </c>
      <c r="G431" t="b">
        <v>0</v>
      </c>
      <c r="H431">
        <v>3</v>
      </c>
      <c r="I431">
        <v>1</v>
      </c>
      <c r="J431">
        <v>0.3</v>
      </c>
    </row>
    <row r="432" spans="1:10">
      <c r="A432">
        <v>431</v>
      </c>
      <c r="B432" s="1">
        <v>40562</v>
      </c>
      <c r="C432">
        <v>1</v>
      </c>
      <c r="D432">
        <v>0</v>
      </c>
      <c r="E432">
        <v>1</v>
      </c>
      <c r="F432">
        <v>23</v>
      </c>
      <c r="G432" t="b">
        <v>0</v>
      </c>
      <c r="H432">
        <v>3</v>
      </c>
      <c r="I432">
        <v>1</v>
      </c>
      <c r="J432">
        <v>0.3</v>
      </c>
    </row>
    <row r="433" spans="1:10">
      <c r="A433">
        <v>432</v>
      </c>
      <c r="B433" s="1">
        <v>40563</v>
      </c>
      <c r="C433">
        <v>1</v>
      </c>
      <c r="D433">
        <v>0</v>
      </c>
      <c r="E433">
        <v>1</v>
      </c>
      <c r="F433">
        <v>0</v>
      </c>
      <c r="G433" t="b">
        <v>0</v>
      </c>
      <c r="H433">
        <v>4</v>
      </c>
      <c r="I433">
        <v>1</v>
      </c>
      <c r="J433">
        <v>0.26</v>
      </c>
    </row>
    <row r="434" spans="1:10">
      <c r="A434">
        <v>433</v>
      </c>
      <c r="B434" s="1">
        <v>40563</v>
      </c>
      <c r="C434">
        <v>1</v>
      </c>
      <c r="D434">
        <v>0</v>
      </c>
      <c r="E434">
        <v>1</v>
      </c>
      <c r="F434">
        <v>1</v>
      </c>
      <c r="G434" t="b">
        <v>0</v>
      </c>
      <c r="H434">
        <v>4</v>
      </c>
      <c r="I434">
        <v>1</v>
      </c>
      <c r="J434">
        <v>0.26</v>
      </c>
    </row>
    <row r="435" spans="1:10">
      <c r="A435">
        <v>434</v>
      </c>
      <c r="B435" s="1">
        <v>40563</v>
      </c>
      <c r="C435">
        <v>1</v>
      </c>
      <c r="D435">
        <v>0</v>
      </c>
      <c r="E435">
        <v>1</v>
      </c>
      <c r="F435">
        <v>2</v>
      </c>
      <c r="G435" t="b">
        <v>0</v>
      </c>
      <c r="H435">
        <v>4</v>
      </c>
      <c r="I435">
        <v>1</v>
      </c>
      <c r="J435">
        <v>0.26</v>
      </c>
    </row>
    <row r="436" spans="1:10">
      <c r="A436">
        <v>435</v>
      </c>
      <c r="B436" s="1">
        <v>40563</v>
      </c>
      <c r="C436">
        <v>1</v>
      </c>
      <c r="D436">
        <v>0</v>
      </c>
      <c r="E436">
        <v>1</v>
      </c>
      <c r="F436">
        <v>3</v>
      </c>
      <c r="G436" t="b">
        <v>0</v>
      </c>
      <c r="H436">
        <v>4</v>
      </c>
      <c r="I436">
        <v>1</v>
      </c>
      <c r="J436">
        <v>0.26</v>
      </c>
    </row>
    <row r="437" spans="1:10">
      <c r="A437">
        <v>436</v>
      </c>
      <c r="B437" s="1">
        <v>40563</v>
      </c>
      <c r="C437">
        <v>1</v>
      </c>
      <c r="D437">
        <v>0</v>
      </c>
      <c r="E437">
        <v>1</v>
      </c>
      <c r="F437">
        <v>4</v>
      </c>
      <c r="G437" t="b">
        <v>0</v>
      </c>
      <c r="H437">
        <v>4</v>
      </c>
      <c r="I437">
        <v>1</v>
      </c>
      <c r="J437">
        <v>0.26</v>
      </c>
    </row>
    <row r="438" spans="1:10">
      <c r="A438">
        <v>437</v>
      </c>
      <c r="B438" s="1">
        <v>40563</v>
      </c>
      <c r="C438">
        <v>1</v>
      </c>
      <c r="D438">
        <v>0</v>
      </c>
      <c r="E438">
        <v>1</v>
      </c>
      <c r="F438">
        <v>5</v>
      </c>
      <c r="G438" t="b">
        <v>0</v>
      </c>
      <c r="H438">
        <v>4</v>
      </c>
      <c r="I438">
        <v>1</v>
      </c>
      <c r="J438">
        <v>0.24</v>
      </c>
    </row>
    <row r="439" spans="1:10">
      <c r="A439">
        <v>438</v>
      </c>
      <c r="B439" s="1">
        <v>40563</v>
      </c>
      <c r="C439">
        <v>1</v>
      </c>
      <c r="D439">
        <v>0</v>
      </c>
      <c r="E439">
        <v>1</v>
      </c>
      <c r="F439">
        <v>6</v>
      </c>
      <c r="G439" t="b">
        <v>0</v>
      </c>
      <c r="H439">
        <v>4</v>
      </c>
      <c r="I439">
        <v>1</v>
      </c>
      <c r="J439">
        <v>0.22</v>
      </c>
    </row>
    <row r="440" spans="1:10">
      <c r="A440">
        <v>439</v>
      </c>
      <c r="B440" s="1">
        <v>40563</v>
      </c>
      <c r="C440">
        <v>1</v>
      </c>
      <c r="D440">
        <v>0</v>
      </c>
      <c r="E440">
        <v>1</v>
      </c>
      <c r="F440">
        <v>7</v>
      </c>
      <c r="G440" t="b">
        <v>0</v>
      </c>
      <c r="H440">
        <v>4</v>
      </c>
      <c r="I440">
        <v>1</v>
      </c>
      <c r="J440">
        <v>0.22</v>
      </c>
    </row>
    <row r="441" spans="1:10">
      <c r="A441">
        <v>440</v>
      </c>
      <c r="B441" s="1">
        <v>40563</v>
      </c>
      <c r="C441">
        <v>1</v>
      </c>
      <c r="D441">
        <v>0</v>
      </c>
      <c r="E441">
        <v>1</v>
      </c>
      <c r="F441">
        <v>8</v>
      </c>
      <c r="G441" t="b">
        <v>0</v>
      </c>
      <c r="H441">
        <v>4</v>
      </c>
      <c r="I441">
        <v>1</v>
      </c>
      <c r="J441">
        <v>0.22</v>
      </c>
    </row>
    <row r="442" spans="1:10">
      <c r="A442">
        <v>441</v>
      </c>
      <c r="B442" s="1">
        <v>40563</v>
      </c>
      <c r="C442">
        <v>1</v>
      </c>
      <c r="D442">
        <v>0</v>
      </c>
      <c r="E442">
        <v>1</v>
      </c>
      <c r="F442">
        <v>9</v>
      </c>
      <c r="G442" t="b">
        <v>0</v>
      </c>
      <c r="H442">
        <v>4</v>
      </c>
      <c r="I442">
        <v>2</v>
      </c>
      <c r="J442">
        <v>0.24</v>
      </c>
    </row>
    <row r="443" spans="1:10">
      <c r="A443">
        <v>442</v>
      </c>
      <c r="B443" s="1">
        <v>40563</v>
      </c>
      <c r="C443">
        <v>1</v>
      </c>
      <c r="D443">
        <v>0</v>
      </c>
      <c r="E443">
        <v>1</v>
      </c>
      <c r="F443">
        <v>10</v>
      </c>
      <c r="G443" t="b">
        <v>0</v>
      </c>
      <c r="H443">
        <v>4</v>
      </c>
      <c r="I443">
        <v>1</v>
      </c>
      <c r="J443">
        <v>0.26</v>
      </c>
    </row>
    <row r="444" spans="1:10">
      <c r="A444">
        <v>443</v>
      </c>
      <c r="B444" s="1">
        <v>40563</v>
      </c>
      <c r="C444">
        <v>1</v>
      </c>
      <c r="D444">
        <v>0</v>
      </c>
      <c r="E444">
        <v>1</v>
      </c>
      <c r="F444">
        <v>11</v>
      </c>
      <c r="G444" t="b">
        <v>0</v>
      </c>
      <c r="H444">
        <v>4</v>
      </c>
      <c r="I444">
        <v>2</v>
      </c>
      <c r="J444">
        <v>0.28000000000000003</v>
      </c>
    </row>
    <row r="445" spans="1:10">
      <c r="A445">
        <v>444</v>
      </c>
      <c r="B445" s="1">
        <v>40563</v>
      </c>
      <c r="C445">
        <v>1</v>
      </c>
      <c r="D445">
        <v>0</v>
      </c>
      <c r="E445">
        <v>1</v>
      </c>
      <c r="F445">
        <v>12</v>
      </c>
      <c r="G445" t="b">
        <v>0</v>
      </c>
      <c r="H445">
        <v>4</v>
      </c>
      <c r="I445">
        <v>2</v>
      </c>
      <c r="J445">
        <v>0.3</v>
      </c>
    </row>
    <row r="446" spans="1:10">
      <c r="A446">
        <v>445</v>
      </c>
      <c r="B446" s="1">
        <v>40563</v>
      </c>
      <c r="C446">
        <v>1</v>
      </c>
      <c r="D446">
        <v>0</v>
      </c>
      <c r="E446">
        <v>1</v>
      </c>
      <c r="F446">
        <v>13</v>
      </c>
      <c r="G446" t="b">
        <v>0</v>
      </c>
      <c r="H446">
        <v>4</v>
      </c>
      <c r="I446">
        <v>2</v>
      </c>
      <c r="J446">
        <v>0.28000000000000003</v>
      </c>
    </row>
    <row r="447" spans="1:10">
      <c r="A447">
        <v>446</v>
      </c>
      <c r="B447" s="1">
        <v>40563</v>
      </c>
      <c r="C447">
        <v>1</v>
      </c>
      <c r="D447">
        <v>0</v>
      </c>
      <c r="E447">
        <v>1</v>
      </c>
      <c r="F447">
        <v>14</v>
      </c>
      <c r="G447" t="b">
        <v>0</v>
      </c>
      <c r="H447">
        <v>4</v>
      </c>
      <c r="I447">
        <v>2</v>
      </c>
      <c r="J447">
        <v>0.3</v>
      </c>
    </row>
    <row r="448" spans="1:10">
      <c r="A448">
        <v>447</v>
      </c>
      <c r="B448" s="1">
        <v>40563</v>
      </c>
      <c r="C448">
        <v>1</v>
      </c>
      <c r="D448">
        <v>0</v>
      </c>
      <c r="E448">
        <v>1</v>
      </c>
      <c r="F448">
        <v>15</v>
      </c>
      <c r="G448" t="b">
        <v>0</v>
      </c>
      <c r="H448">
        <v>4</v>
      </c>
      <c r="I448">
        <v>2</v>
      </c>
      <c r="J448">
        <v>0.32</v>
      </c>
    </row>
    <row r="449" spans="1:10">
      <c r="A449">
        <v>448</v>
      </c>
      <c r="B449" s="1">
        <v>40563</v>
      </c>
      <c r="C449">
        <v>1</v>
      </c>
      <c r="D449">
        <v>0</v>
      </c>
      <c r="E449">
        <v>1</v>
      </c>
      <c r="F449">
        <v>16</v>
      </c>
      <c r="G449" t="b">
        <v>0</v>
      </c>
      <c r="H449">
        <v>4</v>
      </c>
      <c r="I449">
        <v>2</v>
      </c>
      <c r="J449">
        <v>0.3</v>
      </c>
    </row>
    <row r="450" spans="1:10">
      <c r="A450">
        <v>449</v>
      </c>
      <c r="B450" s="1">
        <v>40563</v>
      </c>
      <c r="C450">
        <v>1</v>
      </c>
      <c r="D450">
        <v>0</v>
      </c>
      <c r="E450">
        <v>1</v>
      </c>
      <c r="F450">
        <v>17</v>
      </c>
      <c r="G450" t="b">
        <v>0</v>
      </c>
      <c r="H450">
        <v>4</v>
      </c>
      <c r="I450">
        <v>2</v>
      </c>
      <c r="J450">
        <v>0.3</v>
      </c>
    </row>
    <row r="451" spans="1:10">
      <c r="A451">
        <v>450</v>
      </c>
      <c r="B451" s="1">
        <v>40563</v>
      </c>
      <c r="C451">
        <v>1</v>
      </c>
      <c r="D451">
        <v>0</v>
      </c>
      <c r="E451">
        <v>1</v>
      </c>
      <c r="F451">
        <v>18</v>
      </c>
      <c r="G451" t="b">
        <v>0</v>
      </c>
      <c r="H451">
        <v>4</v>
      </c>
      <c r="I451">
        <v>2</v>
      </c>
      <c r="J451">
        <v>0.26</v>
      </c>
    </row>
    <row r="452" spans="1:10">
      <c r="A452">
        <v>451</v>
      </c>
      <c r="B452" s="1">
        <v>40563</v>
      </c>
      <c r="C452">
        <v>1</v>
      </c>
      <c r="D452">
        <v>0</v>
      </c>
      <c r="E452">
        <v>1</v>
      </c>
      <c r="F452">
        <v>19</v>
      </c>
      <c r="G452" t="b">
        <v>0</v>
      </c>
      <c r="H452">
        <v>4</v>
      </c>
      <c r="I452">
        <v>1</v>
      </c>
      <c r="J452">
        <v>0.26</v>
      </c>
    </row>
    <row r="453" spans="1:10">
      <c r="A453">
        <v>452</v>
      </c>
      <c r="B453" s="1">
        <v>40563</v>
      </c>
      <c r="C453">
        <v>1</v>
      </c>
      <c r="D453">
        <v>0</v>
      </c>
      <c r="E453">
        <v>1</v>
      </c>
      <c r="F453">
        <v>20</v>
      </c>
      <c r="G453" t="b">
        <v>0</v>
      </c>
      <c r="H453">
        <v>4</v>
      </c>
      <c r="I453">
        <v>2</v>
      </c>
      <c r="J453">
        <v>0.26</v>
      </c>
    </row>
    <row r="454" spans="1:10">
      <c r="A454">
        <v>453</v>
      </c>
      <c r="B454" s="1">
        <v>40563</v>
      </c>
      <c r="C454">
        <v>1</v>
      </c>
      <c r="D454">
        <v>0</v>
      </c>
      <c r="E454">
        <v>1</v>
      </c>
      <c r="F454">
        <v>21</v>
      </c>
      <c r="G454" t="b">
        <v>0</v>
      </c>
      <c r="H454">
        <v>4</v>
      </c>
      <c r="I454">
        <v>2</v>
      </c>
      <c r="J454">
        <v>0.24</v>
      </c>
    </row>
    <row r="455" spans="1:10">
      <c r="A455">
        <v>454</v>
      </c>
      <c r="B455" s="1">
        <v>40563</v>
      </c>
      <c r="C455">
        <v>1</v>
      </c>
      <c r="D455">
        <v>0</v>
      </c>
      <c r="E455">
        <v>1</v>
      </c>
      <c r="F455">
        <v>22</v>
      </c>
      <c r="G455" t="b">
        <v>0</v>
      </c>
      <c r="H455">
        <v>4</v>
      </c>
      <c r="I455">
        <v>2</v>
      </c>
      <c r="J455">
        <v>0.24</v>
      </c>
    </row>
    <row r="456" spans="1:10">
      <c r="A456">
        <v>455</v>
      </c>
      <c r="B456" s="1">
        <v>40563</v>
      </c>
      <c r="C456">
        <v>1</v>
      </c>
      <c r="D456">
        <v>0</v>
      </c>
      <c r="E456">
        <v>1</v>
      </c>
      <c r="F456">
        <v>23</v>
      </c>
      <c r="G456" t="b">
        <v>0</v>
      </c>
      <c r="H456">
        <v>4</v>
      </c>
      <c r="I456">
        <v>2</v>
      </c>
      <c r="J456">
        <v>0.24</v>
      </c>
    </row>
    <row r="457" spans="1:10">
      <c r="A457">
        <v>456</v>
      </c>
      <c r="B457" s="1">
        <v>40564</v>
      </c>
      <c r="C457">
        <v>1</v>
      </c>
      <c r="D457">
        <v>0</v>
      </c>
      <c r="E457">
        <v>1</v>
      </c>
      <c r="F457">
        <v>0</v>
      </c>
      <c r="G457" t="b">
        <v>0</v>
      </c>
      <c r="H457">
        <v>5</v>
      </c>
      <c r="I457">
        <v>2</v>
      </c>
      <c r="J457">
        <v>0.24</v>
      </c>
    </row>
    <row r="458" spans="1:10">
      <c r="A458">
        <v>457</v>
      </c>
      <c r="B458" s="1">
        <v>40564</v>
      </c>
      <c r="C458">
        <v>1</v>
      </c>
      <c r="D458">
        <v>0</v>
      </c>
      <c r="E458">
        <v>1</v>
      </c>
      <c r="F458">
        <v>1</v>
      </c>
      <c r="G458" t="b">
        <v>0</v>
      </c>
      <c r="H458">
        <v>5</v>
      </c>
      <c r="I458">
        <v>2</v>
      </c>
      <c r="J458">
        <v>0.24</v>
      </c>
    </row>
    <row r="459" spans="1:10">
      <c r="A459">
        <v>458</v>
      </c>
      <c r="B459" s="1">
        <v>40564</v>
      </c>
      <c r="C459">
        <v>1</v>
      </c>
      <c r="D459">
        <v>0</v>
      </c>
      <c r="E459">
        <v>1</v>
      </c>
      <c r="F459">
        <v>2</v>
      </c>
      <c r="G459" t="b">
        <v>0</v>
      </c>
      <c r="H459">
        <v>5</v>
      </c>
      <c r="I459">
        <v>3</v>
      </c>
      <c r="J459">
        <v>0.24</v>
      </c>
    </row>
    <row r="460" spans="1:10">
      <c r="A460">
        <v>459</v>
      </c>
      <c r="B460" s="1">
        <v>40564</v>
      </c>
      <c r="C460">
        <v>1</v>
      </c>
      <c r="D460">
        <v>0</v>
      </c>
      <c r="E460">
        <v>1</v>
      </c>
      <c r="F460">
        <v>3</v>
      </c>
      <c r="G460" t="b">
        <v>0</v>
      </c>
      <c r="H460">
        <v>5</v>
      </c>
      <c r="I460">
        <v>3</v>
      </c>
      <c r="J460">
        <v>0.22</v>
      </c>
    </row>
    <row r="461" spans="1:10">
      <c r="A461">
        <v>460</v>
      </c>
      <c r="B461" s="1">
        <v>40564</v>
      </c>
      <c r="C461">
        <v>1</v>
      </c>
      <c r="D461">
        <v>0</v>
      </c>
      <c r="E461">
        <v>1</v>
      </c>
      <c r="F461">
        <v>4</v>
      </c>
      <c r="G461" t="b">
        <v>0</v>
      </c>
      <c r="H461">
        <v>5</v>
      </c>
      <c r="I461">
        <v>2</v>
      </c>
      <c r="J461">
        <v>0.22</v>
      </c>
    </row>
    <row r="462" spans="1:10">
      <c r="A462">
        <v>461</v>
      </c>
      <c r="B462" s="1">
        <v>40564</v>
      </c>
      <c r="C462">
        <v>1</v>
      </c>
      <c r="D462">
        <v>0</v>
      </c>
      <c r="E462">
        <v>1</v>
      </c>
      <c r="F462">
        <v>5</v>
      </c>
      <c r="G462" t="b">
        <v>0</v>
      </c>
      <c r="H462">
        <v>5</v>
      </c>
      <c r="I462">
        <v>1</v>
      </c>
      <c r="J462">
        <v>0.24</v>
      </c>
    </row>
    <row r="463" spans="1:10">
      <c r="A463">
        <v>462</v>
      </c>
      <c r="B463" s="1">
        <v>40564</v>
      </c>
      <c r="C463">
        <v>1</v>
      </c>
      <c r="D463">
        <v>0</v>
      </c>
      <c r="E463">
        <v>1</v>
      </c>
      <c r="F463">
        <v>6</v>
      </c>
      <c r="G463" t="b">
        <v>0</v>
      </c>
      <c r="H463">
        <v>5</v>
      </c>
      <c r="I463">
        <v>1</v>
      </c>
      <c r="J463">
        <v>0.22</v>
      </c>
    </row>
    <row r="464" spans="1:10">
      <c r="A464">
        <v>463</v>
      </c>
      <c r="B464" s="1">
        <v>40564</v>
      </c>
      <c r="C464">
        <v>1</v>
      </c>
      <c r="D464">
        <v>0</v>
      </c>
      <c r="E464">
        <v>1</v>
      </c>
      <c r="F464">
        <v>7</v>
      </c>
      <c r="G464" t="b">
        <v>0</v>
      </c>
      <c r="H464">
        <v>5</v>
      </c>
      <c r="I464">
        <v>1</v>
      </c>
      <c r="J464">
        <v>0.2</v>
      </c>
    </row>
    <row r="465" spans="1:10">
      <c r="A465">
        <v>464</v>
      </c>
      <c r="B465" s="1">
        <v>40564</v>
      </c>
      <c r="C465">
        <v>1</v>
      </c>
      <c r="D465">
        <v>0</v>
      </c>
      <c r="E465">
        <v>1</v>
      </c>
      <c r="F465">
        <v>8</v>
      </c>
      <c r="G465" t="b">
        <v>0</v>
      </c>
      <c r="H465">
        <v>5</v>
      </c>
      <c r="I465">
        <v>1</v>
      </c>
      <c r="J465">
        <v>0.2</v>
      </c>
    </row>
    <row r="466" spans="1:10">
      <c r="A466">
        <v>465</v>
      </c>
      <c r="B466" s="1">
        <v>40564</v>
      </c>
      <c r="C466">
        <v>1</v>
      </c>
      <c r="D466">
        <v>0</v>
      </c>
      <c r="E466">
        <v>1</v>
      </c>
      <c r="F466">
        <v>9</v>
      </c>
      <c r="G466" t="b">
        <v>0</v>
      </c>
      <c r="H466">
        <v>5</v>
      </c>
      <c r="I466">
        <v>1</v>
      </c>
      <c r="J466">
        <v>0.2</v>
      </c>
    </row>
    <row r="467" spans="1:10">
      <c r="A467">
        <v>466</v>
      </c>
      <c r="B467" s="1">
        <v>40564</v>
      </c>
      <c r="C467">
        <v>1</v>
      </c>
      <c r="D467">
        <v>0</v>
      </c>
      <c r="E467">
        <v>1</v>
      </c>
      <c r="F467">
        <v>10</v>
      </c>
      <c r="G467" t="b">
        <v>0</v>
      </c>
      <c r="H467">
        <v>5</v>
      </c>
      <c r="I467">
        <v>1</v>
      </c>
      <c r="J467">
        <v>0.2</v>
      </c>
    </row>
    <row r="468" spans="1:10">
      <c r="A468">
        <v>467</v>
      </c>
      <c r="B468" s="1">
        <v>40564</v>
      </c>
      <c r="C468">
        <v>1</v>
      </c>
      <c r="D468">
        <v>0</v>
      </c>
      <c r="E468">
        <v>1</v>
      </c>
      <c r="F468">
        <v>11</v>
      </c>
      <c r="G468" t="b">
        <v>0</v>
      </c>
      <c r="H468">
        <v>5</v>
      </c>
      <c r="I468">
        <v>1</v>
      </c>
      <c r="J468">
        <v>0.22</v>
      </c>
    </row>
    <row r="469" spans="1:10">
      <c r="A469">
        <v>468</v>
      </c>
      <c r="B469" s="1">
        <v>40564</v>
      </c>
      <c r="C469">
        <v>1</v>
      </c>
      <c r="D469">
        <v>0</v>
      </c>
      <c r="E469">
        <v>1</v>
      </c>
      <c r="F469">
        <v>12</v>
      </c>
      <c r="G469" t="b">
        <v>0</v>
      </c>
      <c r="H469">
        <v>5</v>
      </c>
      <c r="I469">
        <v>1</v>
      </c>
      <c r="J469">
        <v>0.22</v>
      </c>
    </row>
    <row r="470" spans="1:10">
      <c r="A470">
        <v>469</v>
      </c>
      <c r="B470" s="1">
        <v>40564</v>
      </c>
      <c r="C470">
        <v>1</v>
      </c>
      <c r="D470">
        <v>0</v>
      </c>
      <c r="E470">
        <v>1</v>
      </c>
      <c r="F470">
        <v>13</v>
      </c>
      <c r="G470" t="b">
        <v>0</v>
      </c>
      <c r="H470">
        <v>5</v>
      </c>
      <c r="I470">
        <v>1</v>
      </c>
      <c r="J470">
        <v>0.2</v>
      </c>
    </row>
    <row r="471" spans="1:10">
      <c r="A471">
        <v>470</v>
      </c>
      <c r="B471" s="1">
        <v>40564</v>
      </c>
      <c r="C471">
        <v>1</v>
      </c>
      <c r="D471">
        <v>0</v>
      </c>
      <c r="E471">
        <v>1</v>
      </c>
      <c r="F471">
        <v>14</v>
      </c>
      <c r="G471" t="b">
        <v>0</v>
      </c>
      <c r="H471">
        <v>5</v>
      </c>
      <c r="I471">
        <v>1</v>
      </c>
      <c r="J471">
        <v>0.2</v>
      </c>
    </row>
    <row r="472" spans="1:10">
      <c r="A472">
        <v>471</v>
      </c>
      <c r="B472" s="1">
        <v>40564</v>
      </c>
      <c r="C472">
        <v>1</v>
      </c>
      <c r="D472">
        <v>0</v>
      </c>
      <c r="E472">
        <v>1</v>
      </c>
      <c r="F472">
        <v>15</v>
      </c>
      <c r="G472" t="b">
        <v>0</v>
      </c>
      <c r="H472">
        <v>5</v>
      </c>
      <c r="I472">
        <v>1</v>
      </c>
      <c r="J472">
        <v>0.16</v>
      </c>
    </row>
    <row r="473" spans="1:10">
      <c r="A473">
        <v>472</v>
      </c>
      <c r="B473" s="1">
        <v>40564</v>
      </c>
      <c r="C473">
        <v>1</v>
      </c>
      <c r="D473">
        <v>0</v>
      </c>
      <c r="E473">
        <v>1</v>
      </c>
      <c r="F473">
        <v>16</v>
      </c>
      <c r="G473" t="b">
        <v>0</v>
      </c>
      <c r="H473">
        <v>5</v>
      </c>
      <c r="I473">
        <v>1</v>
      </c>
      <c r="J473">
        <v>0.16</v>
      </c>
    </row>
    <row r="474" spans="1:10">
      <c r="A474">
        <v>473</v>
      </c>
      <c r="B474" s="1">
        <v>40564</v>
      </c>
      <c r="C474">
        <v>1</v>
      </c>
      <c r="D474">
        <v>0</v>
      </c>
      <c r="E474">
        <v>1</v>
      </c>
      <c r="F474">
        <v>17</v>
      </c>
      <c r="G474" t="b">
        <v>0</v>
      </c>
      <c r="H474">
        <v>5</v>
      </c>
      <c r="I474">
        <v>1</v>
      </c>
      <c r="J474">
        <v>0.14000000000000001</v>
      </c>
    </row>
    <row r="475" spans="1:10">
      <c r="A475">
        <v>474</v>
      </c>
      <c r="B475" s="1">
        <v>40564</v>
      </c>
      <c r="C475">
        <v>1</v>
      </c>
      <c r="D475">
        <v>0</v>
      </c>
      <c r="E475">
        <v>1</v>
      </c>
      <c r="F475">
        <v>18</v>
      </c>
      <c r="G475" t="b">
        <v>0</v>
      </c>
      <c r="H475">
        <v>5</v>
      </c>
      <c r="I475">
        <v>1</v>
      </c>
      <c r="J475">
        <v>0.12</v>
      </c>
    </row>
    <row r="476" spans="1:10">
      <c r="A476">
        <v>475</v>
      </c>
      <c r="B476" s="1">
        <v>40564</v>
      </c>
      <c r="C476">
        <v>1</v>
      </c>
      <c r="D476">
        <v>0</v>
      </c>
      <c r="E476">
        <v>1</v>
      </c>
      <c r="F476">
        <v>19</v>
      </c>
      <c r="G476" t="b">
        <v>0</v>
      </c>
      <c r="H476">
        <v>5</v>
      </c>
      <c r="I476">
        <v>1</v>
      </c>
      <c r="J476">
        <v>0.12</v>
      </c>
    </row>
    <row r="477" spans="1:10">
      <c r="A477">
        <v>476</v>
      </c>
      <c r="B477" s="1">
        <v>40564</v>
      </c>
      <c r="C477">
        <v>1</v>
      </c>
      <c r="D477">
        <v>0</v>
      </c>
      <c r="E477">
        <v>1</v>
      </c>
      <c r="F477">
        <v>20</v>
      </c>
      <c r="G477" t="b">
        <v>0</v>
      </c>
      <c r="H477">
        <v>5</v>
      </c>
      <c r="I477">
        <v>1</v>
      </c>
      <c r="J477">
        <v>0.1</v>
      </c>
    </row>
    <row r="478" spans="1:10">
      <c r="A478">
        <v>477</v>
      </c>
      <c r="B478" s="1">
        <v>40564</v>
      </c>
      <c r="C478">
        <v>1</v>
      </c>
      <c r="D478">
        <v>0</v>
      </c>
      <c r="E478">
        <v>1</v>
      </c>
      <c r="F478">
        <v>21</v>
      </c>
      <c r="G478" t="b">
        <v>0</v>
      </c>
      <c r="H478">
        <v>5</v>
      </c>
      <c r="I478">
        <v>1</v>
      </c>
      <c r="J478">
        <v>0.08</v>
      </c>
    </row>
    <row r="479" spans="1:10">
      <c r="A479">
        <v>478</v>
      </c>
      <c r="B479" s="1">
        <v>40564</v>
      </c>
      <c r="C479">
        <v>1</v>
      </c>
      <c r="D479">
        <v>0</v>
      </c>
      <c r="E479">
        <v>1</v>
      </c>
      <c r="F479">
        <v>22</v>
      </c>
      <c r="G479" t="b">
        <v>0</v>
      </c>
      <c r="H479">
        <v>5</v>
      </c>
      <c r="I479">
        <v>1</v>
      </c>
      <c r="J479">
        <v>0.06</v>
      </c>
    </row>
    <row r="480" spans="1:10">
      <c r="A480">
        <v>479</v>
      </c>
      <c r="B480" s="1">
        <v>40564</v>
      </c>
      <c r="C480">
        <v>1</v>
      </c>
      <c r="D480">
        <v>0</v>
      </c>
      <c r="E480">
        <v>1</v>
      </c>
      <c r="F480">
        <v>23</v>
      </c>
      <c r="G480" t="b">
        <v>0</v>
      </c>
      <c r="H480">
        <v>5</v>
      </c>
      <c r="I480">
        <v>1</v>
      </c>
      <c r="J480">
        <v>0.06</v>
      </c>
    </row>
    <row r="481" spans="1:10">
      <c r="A481">
        <v>480</v>
      </c>
      <c r="B481" s="1">
        <v>40565</v>
      </c>
      <c r="C481">
        <v>1</v>
      </c>
      <c r="D481">
        <v>0</v>
      </c>
      <c r="E481">
        <v>1</v>
      </c>
      <c r="F481">
        <v>0</v>
      </c>
      <c r="G481" t="b">
        <v>0</v>
      </c>
      <c r="H481">
        <v>6</v>
      </c>
      <c r="I481">
        <v>1</v>
      </c>
      <c r="J481">
        <v>0.04</v>
      </c>
    </row>
    <row r="482" spans="1:10">
      <c r="A482">
        <v>481</v>
      </c>
      <c r="B482" s="1">
        <v>40565</v>
      </c>
      <c r="C482">
        <v>1</v>
      </c>
      <c r="D482">
        <v>0</v>
      </c>
      <c r="E482">
        <v>1</v>
      </c>
      <c r="F482">
        <v>1</v>
      </c>
      <c r="G482" t="b">
        <v>0</v>
      </c>
      <c r="H482">
        <v>6</v>
      </c>
      <c r="I482">
        <v>2</v>
      </c>
      <c r="J482">
        <v>0.04</v>
      </c>
    </row>
    <row r="483" spans="1:10">
      <c r="A483">
        <v>482</v>
      </c>
      <c r="B483" s="1">
        <v>40565</v>
      </c>
      <c r="C483">
        <v>1</v>
      </c>
      <c r="D483">
        <v>0</v>
      </c>
      <c r="E483">
        <v>1</v>
      </c>
      <c r="F483">
        <v>2</v>
      </c>
      <c r="G483" t="b">
        <v>0</v>
      </c>
      <c r="H483">
        <v>6</v>
      </c>
      <c r="I483">
        <v>2</v>
      </c>
      <c r="J483">
        <v>0.04</v>
      </c>
    </row>
    <row r="484" spans="1:10">
      <c r="A484">
        <v>483</v>
      </c>
      <c r="B484" s="1">
        <v>40565</v>
      </c>
      <c r="C484">
        <v>1</v>
      </c>
      <c r="D484">
        <v>0</v>
      </c>
      <c r="E484">
        <v>1</v>
      </c>
      <c r="F484">
        <v>3</v>
      </c>
      <c r="G484" t="b">
        <v>0</v>
      </c>
      <c r="H484">
        <v>6</v>
      </c>
      <c r="I484">
        <v>2</v>
      </c>
      <c r="J484">
        <v>0.04</v>
      </c>
    </row>
    <row r="485" spans="1:10">
      <c r="A485">
        <v>484</v>
      </c>
      <c r="B485" s="1">
        <v>40565</v>
      </c>
      <c r="C485">
        <v>1</v>
      </c>
      <c r="D485">
        <v>0</v>
      </c>
      <c r="E485">
        <v>1</v>
      </c>
      <c r="F485">
        <v>4</v>
      </c>
      <c r="G485" t="b">
        <v>0</v>
      </c>
      <c r="H485">
        <v>6</v>
      </c>
      <c r="I485">
        <v>2</v>
      </c>
      <c r="J485">
        <v>0.02</v>
      </c>
    </row>
    <row r="486" spans="1:10">
      <c r="A486">
        <v>485</v>
      </c>
      <c r="B486" s="1">
        <v>40565</v>
      </c>
      <c r="C486">
        <v>1</v>
      </c>
      <c r="D486">
        <v>0</v>
      </c>
      <c r="E486">
        <v>1</v>
      </c>
      <c r="F486">
        <v>6</v>
      </c>
      <c r="G486" t="b">
        <v>0</v>
      </c>
      <c r="H486">
        <v>6</v>
      </c>
      <c r="I486">
        <v>2</v>
      </c>
      <c r="J486">
        <v>0.02</v>
      </c>
    </row>
    <row r="487" spans="1:10">
      <c r="A487">
        <v>486</v>
      </c>
      <c r="B487" s="1">
        <v>40565</v>
      </c>
      <c r="C487">
        <v>1</v>
      </c>
      <c r="D487">
        <v>0</v>
      </c>
      <c r="E487">
        <v>1</v>
      </c>
      <c r="F487">
        <v>7</v>
      </c>
      <c r="G487" t="b">
        <v>0</v>
      </c>
      <c r="H487">
        <v>6</v>
      </c>
      <c r="I487">
        <v>1</v>
      </c>
      <c r="J487">
        <v>0.02</v>
      </c>
    </row>
    <row r="488" spans="1:10">
      <c r="A488">
        <v>487</v>
      </c>
      <c r="B488" s="1">
        <v>40565</v>
      </c>
      <c r="C488">
        <v>1</v>
      </c>
      <c r="D488">
        <v>0</v>
      </c>
      <c r="E488">
        <v>1</v>
      </c>
      <c r="F488">
        <v>8</v>
      </c>
      <c r="G488" t="b">
        <v>0</v>
      </c>
      <c r="H488">
        <v>6</v>
      </c>
      <c r="I488">
        <v>1</v>
      </c>
      <c r="J488">
        <v>0.02</v>
      </c>
    </row>
    <row r="489" spans="1:10">
      <c r="A489">
        <v>488</v>
      </c>
      <c r="B489" s="1">
        <v>40565</v>
      </c>
      <c r="C489">
        <v>1</v>
      </c>
      <c r="D489">
        <v>0</v>
      </c>
      <c r="E489">
        <v>1</v>
      </c>
      <c r="F489">
        <v>9</v>
      </c>
      <c r="G489" t="b">
        <v>0</v>
      </c>
      <c r="H489">
        <v>6</v>
      </c>
      <c r="I489">
        <v>1</v>
      </c>
      <c r="J489">
        <v>0.04</v>
      </c>
    </row>
    <row r="490" spans="1:10">
      <c r="A490">
        <v>489</v>
      </c>
      <c r="B490" s="1">
        <v>40565</v>
      </c>
      <c r="C490">
        <v>1</v>
      </c>
      <c r="D490">
        <v>0</v>
      </c>
      <c r="E490">
        <v>1</v>
      </c>
      <c r="F490">
        <v>10</v>
      </c>
      <c r="G490" t="b">
        <v>0</v>
      </c>
      <c r="H490">
        <v>6</v>
      </c>
      <c r="I490">
        <v>2</v>
      </c>
      <c r="J490">
        <v>0.04</v>
      </c>
    </row>
    <row r="491" spans="1:10">
      <c r="A491">
        <v>490</v>
      </c>
      <c r="B491" s="1">
        <v>40565</v>
      </c>
      <c r="C491">
        <v>1</v>
      </c>
      <c r="D491">
        <v>0</v>
      </c>
      <c r="E491">
        <v>1</v>
      </c>
      <c r="F491">
        <v>11</v>
      </c>
      <c r="G491" t="b">
        <v>0</v>
      </c>
      <c r="H491">
        <v>6</v>
      </c>
      <c r="I491">
        <v>2</v>
      </c>
      <c r="J491">
        <v>0.06</v>
      </c>
    </row>
    <row r="492" spans="1:10">
      <c r="A492">
        <v>491</v>
      </c>
      <c r="B492" s="1">
        <v>40565</v>
      </c>
      <c r="C492">
        <v>1</v>
      </c>
      <c r="D492">
        <v>0</v>
      </c>
      <c r="E492">
        <v>1</v>
      </c>
      <c r="F492">
        <v>12</v>
      </c>
      <c r="G492" t="b">
        <v>0</v>
      </c>
      <c r="H492">
        <v>6</v>
      </c>
      <c r="I492">
        <v>2</v>
      </c>
      <c r="J492">
        <v>0.06</v>
      </c>
    </row>
    <row r="493" spans="1:10">
      <c r="A493">
        <v>492</v>
      </c>
      <c r="B493" s="1">
        <v>40565</v>
      </c>
      <c r="C493">
        <v>1</v>
      </c>
      <c r="D493">
        <v>0</v>
      </c>
      <c r="E493">
        <v>1</v>
      </c>
      <c r="F493">
        <v>13</v>
      </c>
      <c r="G493" t="b">
        <v>0</v>
      </c>
      <c r="H493">
        <v>6</v>
      </c>
      <c r="I493">
        <v>1</v>
      </c>
      <c r="J493">
        <v>0.08</v>
      </c>
    </row>
    <row r="494" spans="1:10">
      <c r="A494">
        <v>493</v>
      </c>
      <c r="B494" s="1">
        <v>40565</v>
      </c>
      <c r="C494">
        <v>1</v>
      </c>
      <c r="D494">
        <v>0</v>
      </c>
      <c r="E494">
        <v>1</v>
      </c>
      <c r="F494">
        <v>14</v>
      </c>
      <c r="G494" t="b">
        <v>0</v>
      </c>
      <c r="H494">
        <v>6</v>
      </c>
      <c r="I494">
        <v>1</v>
      </c>
      <c r="J494">
        <v>0.1</v>
      </c>
    </row>
    <row r="495" spans="1:10">
      <c r="A495">
        <v>494</v>
      </c>
      <c r="B495" s="1">
        <v>40565</v>
      </c>
      <c r="C495">
        <v>1</v>
      </c>
      <c r="D495">
        <v>0</v>
      </c>
      <c r="E495">
        <v>1</v>
      </c>
      <c r="F495">
        <v>15</v>
      </c>
      <c r="G495" t="b">
        <v>0</v>
      </c>
      <c r="H495">
        <v>6</v>
      </c>
      <c r="I495">
        <v>1</v>
      </c>
      <c r="J495">
        <v>0.12</v>
      </c>
    </row>
    <row r="496" spans="1:10">
      <c r="A496">
        <v>495</v>
      </c>
      <c r="B496" s="1">
        <v>40565</v>
      </c>
      <c r="C496">
        <v>1</v>
      </c>
      <c r="D496">
        <v>0</v>
      </c>
      <c r="E496">
        <v>1</v>
      </c>
      <c r="F496">
        <v>16</v>
      </c>
      <c r="G496" t="b">
        <v>0</v>
      </c>
      <c r="H496">
        <v>6</v>
      </c>
      <c r="I496">
        <v>1</v>
      </c>
      <c r="J496">
        <v>0.12</v>
      </c>
    </row>
    <row r="497" spans="1:10">
      <c r="A497">
        <v>496</v>
      </c>
      <c r="B497" s="1">
        <v>40565</v>
      </c>
      <c r="C497">
        <v>1</v>
      </c>
      <c r="D497">
        <v>0</v>
      </c>
      <c r="E497">
        <v>1</v>
      </c>
      <c r="F497">
        <v>17</v>
      </c>
      <c r="G497" t="b">
        <v>0</v>
      </c>
      <c r="H497">
        <v>6</v>
      </c>
      <c r="I497">
        <v>1</v>
      </c>
      <c r="J497">
        <v>0.12</v>
      </c>
    </row>
    <row r="498" spans="1:10">
      <c r="A498">
        <v>497</v>
      </c>
      <c r="B498" s="1">
        <v>40565</v>
      </c>
      <c r="C498">
        <v>1</v>
      </c>
      <c r="D498">
        <v>0</v>
      </c>
      <c r="E498">
        <v>1</v>
      </c>
      <c r="F498">
        <v>18</v>
      </c>
      <c r="G498" t="b">
        <v>0</v>
      </c>
      <c r="H498">
        <v>6</v>
      </c>
      <c r="I498">
        <v>1</v>
      </c>
      <c r="J498">
        <v>0.08</v>
      </c>
    </row>
    <row r="499" spans="1:10">
      <c r="A499">
        <v>498</v>
      </c>
      <c r="B499" s="1">
        <v>40565</v>
      </c>
      <c r="C499">
        <v>1</v>
      </c>
      <c r="D499">
        <v>0</v>
      </c>
      <c r="E499">
        <v>1</v>
      </c>
      <c r="F499">
        <v>19</v>
      </c>
      <c r="G499" t="b">
        <v>0</v>
      </c>
      <c r="H499">
        <v>6</v>
      </c>
      <c r="I499">
        <v>1</v>
      </c>
      <c r="J499">
        <v>0.08</v>
      </c>
    </row>
    <row r="500" spans="1:10">
      <c r="A500">
        <v>499</v>
      </c>
      <c r="B500" s="1">
        <v>40565</v>
      </c>
      <c r="C500">
        <v>1</v>
      </c>
      <c r="D500">
        <v>0</v>
      </c>
      <c r="E500">
        <v>1</v>
      </c>
      <c r="F500">
        <v>20</v>
      </c>
      <c r="G500" t="b">
        <v>0</v>
      </c>
      <c r="H500">
        <v>6</v>
      </c>
      <c r="I500">
        <v>1</v>
      </c>
      <c r="J500">
        <v>0.06</v>
      </c>
    </row>
    <row r="501" spans="1:10">
      <c r="A501">
        <v>500</v>
      </c>
      <c r="B501" s="1">
        <v>40565</v>
      </c>
      <c r="C501">
        <v>1</v>
      </c>
      <c r="D501">
        <v>0</v>
      </c>
      <c r="E501">
        <v>1</v>
      </c>
      <c r="F501">
        <v>21</v>
      </c>
      <c r="G501" t="b">
        <v>0</v>
      </c>
      <c r="H501">
        <v>6</v>
      </c>
      <c r="I501">
        <v>1</v>
      </c>
      <c r="J501">
        <v>0.06</v>
      </c>
    </row>
    <row r="502" spans="1:10">
      <c r="A502">
        <v>501</v>
      </c>
      <c r="B502" s="1">
        <v>40565</v>
      </c>
      <c r="C502">
        <v>1</v>
      </c>
      <c r="D502">
        <v>0</v>
      </c>
      <c r="E502">
        <v>1</v>
      </c>
      <c r="F502">
        <v>22</v>
      </c>
      <c r="G502" t="b">
        <v>0</v>
      </c>
      <c r="H502">
        <v>6</v>
      </c>
      <c r="I502">
        <v>1</v>
      </c>
      <c r="J502">
        <v>0.06</v>
      </c>
    </row>
    <row r="503" spans="1:10">
      <c r="A503">
        <v>502</v>
      </c>
      <c r="B503" s="1">
        <v>40565</v>
      </c>
      <c r="C503">
        <v>1</v>
      </c>
      <c r="D503">
        <v>0</v>
      </c>
      <c r="E503">
        <v>1</v>
      </c>
      <c r="F503">
        <v>23</v>
      </c>
      <c r="G503" t="b">
        <v>0</v>
      </c>
      <c r="H503">
        <v>6</v>
      </c>
      <c r="I503">
        <v>1</v>
      </c>
      <c r="J503">
        <v>0.04</v>
      </c>
    </row>
    <row r="504" spans="1:10">
      <c r="A504">
        <v>503</v>
      </c>
      <c r="B504" s="1">
        <v>40566</v>
      </c>
      <c r="C504">
        <v>1</v>
      </c>
      <c r="D504">
        <v>0</v>
      </c>
      <c r="E504">
        <v>1</v>
      </c>
      <c r="F504">
        <v>0</v>
      </c>
      <c r="G504" t="b">
        <v>0</v>
      </c>
      <c r="H504">
        <v>0</v>
      </c>
      <c r="I504">
        <v>1</v>
      </c>
      <c r="J504">
        <v>0.04</v>
      </c>
    </row>
    <row r="505" spans="1:10">
      <c r="A505">
        <v>504</v>
      </c>
      <c r="B505" s="1">
        <v>40566</v>
      </c>
      <c r="C505">
        <v>1</v>
      </c>
      <c r="D505">
        <v>0</v>
      </c>
      <c r="E505">
        <v>1</v>
      </c>
      <c r="F505">
        <v>1</v>
      </c>
      <c r="G505" t="b">
        <v>0</v>
      </c>
      <c r="H505">
        <v>0</v>
      </c>
      <c r="I505">
        <v>1</v>
      </c>
      <c r="J505">
        <v>0.04</v>
      </c>
    </row>
    <row r="506" spans="1:10">
      <c r="A506">
        <v>505</v>
      </c>
      <c r="B506" s="1">
        <v>40566</v>
      </c>
      <c r="C506">
        <v>1</v>
      </c>
      <c r="D506">
        <v>0</v>
      </c>
      <c r="E506">
        <v>1</v>
      </c>
      <c r="F506">
        <v>2</v>
      </c>
      <c r="G506" t="b">
        <v>0</v>
      </c>
      <c r="H506">
        <v>0</v>
      </c>
      <c r="I506">
        <v>1</v>
      </c>
      <c r="J506">
        <v>0.02</v>
      </c>
    </row>
    <row r="507" spans="1:10">
      <c r="A507">
        <v>506</v>
      </c>
      <c r="B507" s="1">
        <v>40566</v>
      </c>
      <c r="C507">
        <v>1</v>
      </c>
      <c r="D507">
        <v>0</v>
      </c>
      <c r="E507">
        <v>1</v>
      </c>
      <c r="F507">
        <v>3</v>
      </c>
      <c r="G507" t="b">
        <v>0</v>
      </c>
      <c r="H507">
        <v>0</v>
      </c>
      <c r="I507">
        <v>1</v>
      </c>
      <c r="J507">
        <v>0.02</v>
      </c>
    </row>
    <row r="508" spans="1:10">
      <c r="A508">
        <v>507</v>
      </c>
      <c r="B508" s="1">
        <v>40566</v>
      </c>
      <c r="C508">
        <v>1</v>
      </c>
      <c r="D508">
        <v>0</v>
      </c>
      <c r="E508">
        <v>1</v>
      </c>
      <c r="F508">
        <v>5</v>
      </c>
      <c r="G508" t="b">
        <v>0</v>
      </c>
      <c r="H508">
        <v>0</v>
      </c>
      <c r="I508">
        <v>2</v>
      </c>
      <c r="J508">
        <v>0.04</v>
      </c>
    </row>
    <row r="509" spans="1:10">
      <c r="A509">
        <v>508</v>
      </c>
      <c r="B509" s="1">
        <v>40566</v>
      </c>
      <c r="C509">
        <v>1</v>
      </c>
      <c r="D509">
        <v>0</v>
      </c>
      <c r="E509">
        <v>1</v>
      </c>
      <c r="F509">
        <v>6</v>
      </c>
      <c r="G509" t="b">
        <v>0</v>
      </c>
      <c r="H509">
        <v>0</v>
      </c>
      <c r="I509">
        <v>2</v>
      </c>
      <c r="J509">
        <v>0.04</v>
      </c>
    </row>
    <row r="510" spans="1:10">
      <c r="A510">
        <v>509</v>
      </c>
      <c r="B510" s="1">
        <v>40566</v>
      </c>
      <c r="C510">
        <v>1</v>
      </c>
      <c r="D510">
        <v>0</v>
      </c>
      <c r="E510">
        <v>1</v>
      </c>
      <c r="F510">
        <v>7</v>
      </c>
      <c r="G510" t="b">
        <v>0</v>
      </c>
      <c r="H510">
        <v>0</v>
      </c>
      <c r="I510">
        <v>1</v>
      </c>
      <c r="J510">
        <v>0.08</v>
      </c>
    </row>
    <row r="511" spans="1:10">
      <c r="A511">
        <v>510</v>
      </c>
      <c r="B511" s="1">
        <v>40566</v>
      </c>
      <c r="C511">
        <v>1</v>
      </c>
      <c r="D511">
        <v>0</v>
      </c>
      <c r="E511">
        <v>1</v>
      </c>
      <c r="F511">
        <v>8</v>
      </c>
      <c r="G511" t="b">
        <v>0</v>
      </c>
      <c r="H511">
        <v>0</v>
      </c>
      <c r="I511">
        <v>1</v>
      </c>
      <c r="J511">
        <v>0.06</v>
      </c>
    </row>
    <row r="512" spans="1:10">
      <c r="A512">
        <v>511</v>
      </c>
      <c r="B512" s="1">
        <v>40566</v>
      </c>
      <c r="C512">
        <v>1</v>
      </c>
      <c r="D512">
        <v>0</v>
      </c>
      <c r="E512">
        <v>1</v>
      </c>
      <c r="F512">
        <v>9</v>
      </c>
      <c r="G512" t="b">
        <v>0</v>
      </c>
      <c r="H512">
        <v>0</v>
      </c>
      <c r="I512">
        <v>1</v>
      </c>
      <c r="J512">
        <v>0.1</v>
      </c>
    </row>
    <row r="513" spans="1:10">
      <c r="A513">
        <v>512</v>
      </c>
      <c r="B513" s="1">
        <v>40566</v>
      </c>
      <c r="C513">
        <v>1</v>
      </c>
      <c r="D513">
        <v>0</v>
      </c>
      <c r="E513">
        <v>1</v>
      </c>
      <c r="F513">
        <v>10</v>
      </c>
      <c r="G513" t="b">
        <v>0</v>
      </c>
      <c r="H513">
        <v>0</v>
      </c>
      <c r="I513">
        <v>1</v>
      </c>
      <c r="J513">
        <v>0.14000000000000001</v>
      </c>
    </row>
    <row r="514" spans="1:10">
      <c r="A514">
        <v>513</v>
      </c>
      <c r="B514" s="1">
        <v>40566</v>
      </c>
      <c r="C514">
        <v>1</v>
      </c>
      <c r="D514">
        <v>0</v>
      </c>
      <c r="E514">
        <v>1</v>
      </c>
      <c r="F514">
        <v>11</v>
      </c>
      <c r="G514" t="b">
        <v>0</v>
      </c>
      <c r="H514">
        <v>0</v>
      </c>
      <c r="I514">
        <v>1</v>
      </c>
      <c r="J514">
        <v>0.14000000000000001</v>
      </c>
    </row>
    <row r="515" spans="1:10">
      <c r="A515">
        <v>514</v>
      </c>
      <c r="B515" s="1">
        <v>40566</v>
      </c>
      <c r="C515">
        <v>1</v>
      </c>
      <c r="D515">
        <v>0</v>
      </c>
      <c r="E515">
        <v>1</v>
      </c>
      <c r="F515">
        <v>12</v>
      </c>
      <c r="G515" t="b">
        <v>0</v>
      </c>
      <c r="H515">
        <v>0</v>
      </c>
      <c r="I515">
        <v>1</v>
      </c>
      <c r="J515">
        <v>0.16</v>
      </c>
    </row>
    <row r="516" spans="1:10">
      <c r="A516">
        <v>515</v>
      </c>
      <c r="B516" s="1">
        <v>40566</v>
      </c>
      <c r="C516">
        <v>1</v>
      </c>
      <c r="D516">
        <v>0</v>
      </c>
      <c r="E516">
        <v>1</v>
      </c>
      <c r="F516">
        <v>13</v>
      </c>
      <c r="G516" t="b">
        <v>0</v>
      </c>
      <c r="H516">
        <v>0</v>
      </c>
      <c r="I516">
        <v>1</v>
      </c>
      <c r="J516">
        <v>0.14000000000000001</v>
      </c>
    </row>
    <row r="517" spans="1:10">
      <c r="A517">
        <v>516</v>
      </c>
      <c r="B517" s="1">
        <v>40566</v>
      </c>
      <c r="C517">
        <v>1</v>
      </c>
      <c r="D517">
        <v>0</v>
      </c>
      <c r="E517">
        <v>1</v>
      </c>
      <c r="F517">
        <v>14</v>
      </c>
      <c r="G517" t="b">
        <v>0</v>
      </c>
      <c r="H517">
        <v>0</v>
      </c>
      <c r="I517">
        <v>1</v>
      </c>
      <c r="J517">
        <v>0.16</v>
      </c>
    </row>
    <row r="518" spans="1:10">
      <c r="A518">
        <v>517</v>
      </c>
      <c r="B518" s="1">
        <v>40566</v>
      </c>
      <c r="C518">
        <v>1</v>
      </c>
      <c r="D518">
        <v>0</v>
      </c>
      <c r="E518">
        <v>1</v>
      </c>
      <c r="F518">
        <v>15</v>
      </c>
      <c r="G518" t="b">
        <v>0</v>
      </c>
      <c r="H518">
        <v>0</v>
      </c>
      <c r="I518">
        <v>1</v>
      </c>
      <c r="J518">
        <v>0.16</v>
      </c>
    </row>
    <row r="519" spans="1:10">
      <c r="A519">
        <v>518</v>
      </c>
      <c r="B519" s="1">
        <v>40566</v>
      </c>
      <c r="C519">
        <v>1</v>
      </c>
      <c r="D519">
        <v>0</v>
      </c>
      <c r="E519">
        <v>1</v>
      </c>
      <c r="F519">
        <v>16</v>
      </c>
      <c r="G519" t="b">
        <v>0</v>
      </c>
      <c r="H519">
        <v>0</v>
      </c>
      <c r="I519">
        <v>1</v>
      </c>
      <c r="J519">
        <v>0.16</v>
      </c>
    </row>
    <row r="520" spans="1:10">
      <c r="A520">
        <v>519</v>
      </c>
      <c r="B520" s="1">
        <v>40566</v>
      </c>
      <c r="C520">
        <v>1</v>
      </c>
      <c r="D520">
        <v>0</v>
      </c>
      <c r="E520">
        <v>1</v>
      </c>
      <c r="F520">
        <v>17</v>
      </c>
      <c r="G520" t="b">
        <v>0</v>
      </c>
      <c r="H520">
        <v>0</v>
      </c>
      <c r="I520">
        <v>1</v>
      </c>
      <c r="J520">
        <v>0.14000000000000001</v>
      </c>
    </row>
    <row r="521" spans="1:10">
      <c r="A521">
        <v>520</v>
      </c>
      <c r="B521" s="1">
        <v>40566</v>
      </c>
      <c r="C521">
        <v>1</v>
      </c>
      <c r="D521">
        <v>0</v>
      </c>
      <c r="E521">
        <v>1</v>
      </c>
      <c r="F521">
        <v>18</v>
      </c>
      <c r="G521" t="b">
        <v>0</v>
      </c>
      <c r="H521">
        <v>0</v>
      </c>
      <c r="I521">
        <v>1</v>
      </c>
      <c r="J521">
        <v>0.12</v>
      </c>
    </row>
    <row r="522" spans="1:10">
      <c r="A522">
        <v>521</v>
      </c>
      <c r="B522" s="1">
        <v>40566</v>
      </c>
      <c r="C522">
        <v>1</v>
      </c>
      <c r="D522">
        <v>0</v>
      </c>
      <c r="E522">
        <v>1</v>
      </c>
      <c r="F522">
        <v>19</v>
      </c>
      <c r="G522" t="b">
        <v>0</v>
      </c>
      <c r="H522">
        <v>0</v>
      </c>
      <c r="I522">
        <v>1</v>
      </c>
      <c r="J522">
        <v>0.12</v>
      </c>
    </row>
    <row r="523" spans="1:10">
      <c r="A523">
        <v>522</v>
      </c>
      <c r="B523" s="1">
        <v>40566</v>
      </c>
      <c r="C523">
        <v>1</v>
      </c>
      <c r="D523">
        <v>0</v>
      </c>
      <c r="E523">
        <v>1</v>
      </c>
      <c r="F523">
        <v>20</v>
      </c>
      <c r="G523" t="b">
        <v>0</v>
      </c>
      <c r="H523">
        <v>0</v>
      </c>
      <c r="I523">
        <v>1</v>
      </c>
      <c r="J523">
        <v>0.1</v>
      </c>
    </row>
    <row r="524" spans="1:10">
      <c r="A524">
        <v>523</v>
      </c>
      <c r="B524" s="1">
        <v>40566</v>
      </c>
      <c r="C524">
        <v>1</v>
      </c>
      <c r="D524">
        <v>0</v>
      </c>
      <c r="E524">
        <v>1</v>
      </c>
      <c r="F524">
        <v>21</v>
      </c>
      <c r="G524" t="b">
        <v>0</v>
      </c>
      <c r="H524">
        <v>0</v>
      </c>
      <c r="I524">
        <v>1</v>
      </c>
      <c r="J524">
        <v>0.1</v>
      </c>
    </row>
    <row r="525" spans="1:10">
      <c r="A525">
        <v>524</v>
      </c>
      <c r="B525" s="1">
        <v>40566</v>
      </c>
      <c r="C525">
        <v>1</v>
      </c>
      <c r="D525">
        <v>0</v>
      </c>
      <c r="E525">
        <v>1</v>
      </c>
      <c r="F525">
        <v>22</v>
      </c>
      <c r="G525" t="b">
        <v>0</v>
      </c>
      <c r="H525">
        <v>0</v>
      </c>
      <c r="I525">
        <v>1</v>
      </c>
      <c r="J525">
        <v>0.08</v>
      </c>
    </row>
    <row r="526" spans="1:10">
      <c r="A526">
        <v>525</v>
      </c>
      <c r="B526" s="1">
        <v>40566</v>
      </c>
      <c r="C526">
        <v>1</v>
      </c>
      <c r="D526">
        <v>0</v>
      </c>
      <c r="E526">
        <v>1</v>
      </c>
      <c r="F526">
        <v>23</v>
      </c>
      <c r="G526" t="b">
        <v>0</v>
      </c>
      <c r="H526">
        <v>0</v>
      </c>
      <c r="I526">
        <v>1</v>
      </c>
      <c r="J526">
        <v>0.06</v>
      </c>
    </row>
    <row r="527" spans="1:10">
      <c r="A527">
        <v>526</v>
      </c>
      <c r="B527" s="1">
        <v>40567</v>
      </c>
      <c r="C527">
        <v>1</v>
      </c>
      <c r="D527">
        <v>0</v>
      </c>
      <c r="E527">
        <v>1</v>
      </c>
      <c r="F527">
        <v>0</v>
      </c>
      <c r="G527" t="b">
        <v>0</v>
      </c>
      <c r="H527">
        <v>1</v>
      </c>
      <c r="I527">
        <v>1</v>
      </c>
      <c r="J527">
        <v>0.06</v>
      </c>
    </row>
    <row r="528" spans="1:10">
      <c r="A528">
        <v>527</v>
      </c>
      <c r="B528" s="1">
        <v>40567</v>
      </c>
      <c r="C528">
        <v>1</v>
      </c>
      <c r="D528">
        <v>0</v>
      </c>
      <c r="E528">
        <v>1</v>
      </c>
      <c r="F528">
        <v>1</v>
      </c>
      <c r="G528" t="b">
        <v>0</v>
      </c>
      <c r="H528">
        <v>1</v>
      </c>
      <c r="I528">
        <v>1</v>
      </c>
      <c r="J528">
        <v>0.04</v>
      </c>
    </row>
    <row r="529" spans="1:10">
      <c r="A529">
        <v>528</v>
      </c>
      <c r="B529" s="1">
        <v>40567</v>
      </c>
      <c r="C529">
        <v>1</v>
      </c>
      <c r="D529">
        <v>0</v>
      </c>
      <c r="E529">
        <v>1</v>
      </c>
      <c r="F529">
        <v>3</v>
      </c>
      <c r="G529" t="b">
        <v>0</v>
      </c>
      <c r="H529">
        <v>1</v>
      </c>
      <c r="I529">
        <v>1</v>
      </c>
      <c r="J529">
        <v>0.04</v>
      </c>
    </row>
    <row r="530" spans="1:10">
      <c r="A530">
        <v>529</v>
      </c>
      <c r="B530" s="1">
        <v>40567</v>
      </c>
      <c r="C530">
        <v>1</v>
      </c>
      <c r="D530">
        <v>0</v>
      </c>
      <c r="E530">
        <v>1</v>
      </c>
      <c r="F530">
        <v>4</v>
      </c>
      <c r="G530" t="b">
        <v>0</v>
      </c>
      <c r="H530">
        <v>1</v>
      </c>
      <c r="I530">
        <v>1</v>
      </c>
      <c r="J530">
        <v>0.02</v>
      </c>
    </row>
    <row r="531" spans="1:10">
      <c r="A531">
        <v>530</v>
      </c>
      <c r="B531" s="1">
        <v>40567</v>
      </c>
      <c r="C531">
        <v>1</v>
      </c>
      <c r="D531">
        <v>0</v>
      </c>
      <c r="E531">
        <v>1</v>
      </c>
      <c r="F531">
        <v>5</v>
      </c>
      <c r="G531" t="b">
        <v>0</v>
      </c>
      <c r="H531">
        <v>1</v>
      </c>
      <c r="I531">
        <v>1</v>
      </c>
      <c r="J531">
        <v>0.02</v>
      </c>
    </row>
    <row r="532" spans="1:10">
      <c r="A532">
        <v>531</v>
      </c>
      <c r="B532" s="1">
        <v>40567</v>
      </c>
      <c r="C532">
        <v>1</v>
      </c>
      <c r="D532">
        <v>0</v>
      </c>
      <c r="E532">
        <v>1</v>
      </c>
      <c r="F532">
        <v>6</v>
      </c>
      <c r="G532" t="b">
        <v>0</v>
      </c>
      <c r="H532">
        <v>1</v>
      </c>
      <c r="I532">
        <v>1</v>
      </c>
      <c r="J532">
        <v>0.02</v>
      </c>
    </row>
    <row r="533" spans="1:10">
      <c r="A533">
        <v>532</v>
      </c>
      <c r="B533" s="1">
        <v>40567</v>
      </c>
      <c r="C533">
        <v>1</v>
      </c>
      <c r="D533">
        <v>0</v>
      </c>
      <c r="E533">
        <v>1</v>
      </c>
      <c r="F533">
        <v>7</v>
      </c>
      <c r="G533" t="b">
        <v>0</v>
      </c>
      <c r="H533">
        <v>1</v>
      </c>
      <c r="I533">
        <v>1</v>
      </c>
      <c r="J533">
        <v>0.02</v>
      </c>
    </row>
    <row r="534" spans="1:10">
      <c r="A534">
        <v>533</v>
      </c>
      <c r="B534" s="1">
        <v>40567</v>
      </c>
      <c r="C534">
        <v>1</v>
      </c>
      <c r="D534">
        <v>0</v>
      </c>
      <c r="E534">
        <v>1</v>
      </c>
      <c r="F534">
        <v>8</v>
      </c>
      <c r="G534" t="b">
        <v>0</v>
      </c>
      <c r="H534">
        <v>1</v>
      </c>
      <c r="I534">
        <v>1</v>
      </c>
      <c r="J534">
        <v>0.04</v>
      </c>
    </row>
    <row r="535" spans="1:10">
      <c r="A535">
        <v>534</v>
      </c>
      <c r="B535" s="1">
        <v>40567</v>
      </c>
      <c r="C535">
        <v>1</v>
      </c>
      <c r="D535">
        <v>0</v>
      </c>
      <c r="E535">
        <v>1</v>
      </c>
      <c r="F535">
        <v>9</v>
      </c>
      <c r="G535" t="b">
        <v>0</v>
      </c>
      <c r="H535">
        <v>1</v>
      </c>
      <c r="I535">
        <v>1</v>
      </c>
      <c r="J535">
        <v>0.06</v>
      </c>
    </row>
    <row r="536" spans="1:10">
      <c r="A536">
        <v>535</v>
      </c>
      <c r="B536" s="1">
        <v>40567</v>
      </c>
      <c r="C536">
        <v>1</v>
      </c>
      <c r="D536">
        <v>0</v>
      </c>
      <c r="E536">
        <v>1</v>
      </c>
      <c r="F536">
        <v>10</v>
      </c>
      <c r="G536" t="b">
        <v>0</v>
      </c>
      <c r="H536">
        <v>1</v>
      </c>
      <c r="I536">
        <v>1</v>
      </c>
      <c r="J536">
        <v>0.1</v>
      </c>
    </row>
    <row r="537" spans="1:10">
      <c r="A537">
        <v>536</v>
      </c>
      <c r="B537" s="1">
        <v>40567</v>
      </c>
      <c r="C537">
        <v>1</v>
      </c>
      <c r="D537">
        <v>0</v>
      </c>
      <c r="E537">
        <v>1</v>
      </c>
      <c r="F537">
        <v>11</v>
      </c>
      <c r="G537" t="b">
        <v>0</v>
      </c>
      <c r="H537">
        <v>1</v>
      </c>
      <c r="I537">
        <v>1</v>
      </c>
      <c r="J537">
        <v>0.1</v>
      </c>
    </row>
    <row r="538" spans="1:10">
      <c r="A538">
        <v>537</v>
      </c>
      <c r="B538" s="1">
        <v>40567</v>
      </c>
      <c r="C538">
        <v>1</v>
      </c>
      <c r="D538">
        <v>0</v>
      </c>
      <c r="E538">
        <v>1</v>
      </c>
      <c r="F538">
        <v>12</v>
      </c>
      <c r="G538" t="b">
        <v>0</v>
      </c>
      <c r="H538">
        <v>1</v>
      </c>
      <c r="I538">
        <v>2</v>
      </c>
      <c r="J538">
        <v>0.12</v>
      </c>
    </row>
    <row r="539" spans="1:10">
      <c r="A539">
        <v>538</v>
      </c>
      <c r="B539" s="1">
        <v>40567</v>
      </c>
      <c r="C539">
        <v>1</v>
      </c>
      <c r="D539">
        <v>0</v>
      </c>
      <c r="E539">
        <v>1</v>
      </c>
      <c r="F539">
        <v>13</v>
      </c>
      <c r="G539" t="b">
        <v>0</v>
      </c>
      <c r="H539">
        <v>1</v>
      </c>
      <c r="I539">
        <v>2</v>
      </c>
      <c r="J539">
        <v>0.14000000000000001</v>
      </c>
    </row>
    <row r="540" spans="1:10">
      <c r="A540">
        <v>539</v>
      </c>
      <c r="B540" s="1">
        <v>40567</v>
      </c>
      <c r="C540">
        <v>1</v>
      </c>
      <c r="D540">
        <v>0</v>
      </c>
      <c r="E540">
        <v>1</v>
      </c>
      <c r="F540">
        <v>14</v>
      </c>
      <c r="G540" t="b">
        <v>0</v>
      </c>
      <c r="H540">
        <v>1</v>
      </c>
      <c r="I540">
        <v>2</v>
      </c>
      <c r="J540">
        <v>0.14000000000000001</v>
      </c>
    </row>
    <row r="541" spans="1:10">
      <c r="A541">
        <v>540</v>
      </c>
      <c r="B541" s="1">
        <v>40567</v>
      </c>
      <c r="C541">
        <v>1</v>
      </c>
      <c r="D541">
        <v>0</v>
      </c>
      <c r="E541">
        <v>1</v>
      </c>
      <c r="F541">
        <v>15</v>
      </c>
      <c r="G541" t="b">
        <v>0</v>
      </c>
      <c r="H541">
        <v>1</v>
      </c>
      <c r="I541">
        <v>1</v>
      </c>
      <c r="J541">
        <v>0.16</v>
      </c>
    </row>
    <row r="542" spans="1:10">
      <c r="A542">
        <v>541</v>
      </c>
      <c r="B542" s="1">
        <v>40567</v>
      </c>
      <c r="C542">
        <v>1</v>
      </c>
      <c r="D542">
        <v>0</v>
      </c>
      <c r="E542">
        <v>1</v>
      </c>
      <c r="F542">
        <v>16</v>
      </c>
      <c r="G542" t="b">
        <v>0</v>
      </c>
      <c r="H542">
        <v>1</v>
      </c>
      <c r="I542">
        <v>1</v>
      </c>
      <c r="J542">
        <v>0.16</v>
      </c>
    </row>
    <row r="543" spans="1:10">
      <c r="A543">
        <v>542</v>
      </c>
      <c r="B543" s="1">
        <v>40567</v>
      </c>
      <c r="C543">
        <v>1</v>
      </c>
      <c r="D543">
        <v>0</v>
      </c>
      <c r="E543">
        <v>1</v>
      </c>
      <c r="F543">
        <v>17</v>
      </c>
      <c r="G543" t="b">
        <v>0</v>
      </c>
      <c r="H543">
        <v>1</v>
      </c>
      <c r="I543">
        <v>1</v>
      </c>
      <c r="J543">
        <v>0.14000000000000001</v>
      </c>
    </row>
    <row r="544" spans="1:10">
      <c r="A544">
        <v>543</v>
      </c>
      <c r="B544" s="1">
        <v>40567</v>
      </c>
      <c r="C544">
        <v>1</v>
      </c>
      <c r="D544">
        <v>0</v>
      </c>
      <c r="E544">
        <v>1</v>
      </c>
      <c r="F544">
        <v>18</v>
      </c>
      <c r="G544" t="b">
        <v>0</v>
      </c>
      <c r="H544">
        <v>1</v>
      </c>
      <c r="I544">
        <v>1</v>
      </c>
      <c r="J544">
        <v>0.14000000000000001</v>
      </c>
    </row>
    <row r="545" spans="1:10">
      <c r="A545">
        <v>544</v>
      </c>
      <c r="B545" s="1">
        <v>40567</v>
      </c>
      <c r="C545">
        <v>1</v>
      </c>
      <c r="D545">
        <v>0</v>
      </c>
      <c r="E545">
        <v>1</v>
      </c>
      <c r="F545">
        <v>19</v>
      </c>
      <c r="G545" t="b">
        <v>0</v>
      </c>
      <c r="H545">
        <v>1</v>
      </c>
      <c r="I545">
        <v>1</v>
      </c>
      <c r="J545">
        <v>0.14000000000000001</v>
      </c>
    </row>
    <row r="546" spans="1:10">
      <c r="A546">
        <v>545</v>
      </c>
      <c r="B546" s="1">
        <v>40567</v>
      </c>
      <c r="C546">
        <v>1</v>
      </c>
      <c r="D546">
        <v>0</v>
      </c>
      <c r="E546">
        <v>1</v>
      </c>
      <c r="F546">
        <v>20</v>
      </c>
      <c r="G546" t="b">
        <v>0</v>
      </c>
      <c r="H546">
        <v>1</v>
      </c>
      <c r="I546">
        <v>1</v>
      </c>
      <c r="J546">
        <v>0.14000000000000001</v>
      </c>
    </row>
    <row r="547" spans="1:10">
      <c r="A547">
        <v>546</v>
      </c>
      <c r="B547" s="1">
        <v>40567</v>
      </c>
      <c r="C547">
        <v>1</v>
      </c>
      <c r="D547">
        <v>0</v>
      </c>
      <c r="E547">
        <v>1</v>
      </c>
      <c r="F547">
        <v>21</v>
      </c>
      <c r="G547" t="b">
        <v>0</v>
      </c>
      <c r="H547">
        <v>1</v>
      </c>
      <c r="I547">
        <v>1</v>
      </c>
      <c r="J547">
        <v>0.14000000000000001</v>
      </c>
    </row>
    <row r="548" spans="1:10">
      <c r="A548">
        <v>547</v>
      </c>
      <c r="B548" s="1">
        <v>40567</v>
      </c>
      <c r="C548">
        <v>1</v>
      </c>
      <c r="D548">
        <v>0</v>
      </c>
      <c r="E548">
        <v>1</v>
      </c>
      <c r="F548">
        <v>22</v>
      </c>
      <c r="G548" t="b">
        <v>0</v>
      </c>
      <c r="H548">
        <v>1</v>
      </c>
      <c r="I548">
        <v>2</v>
      </c>
      <c r="J548">
        <v>0.14000000000000001</v>
      </c>
    </row>
    <row r="549" spans="1:10">
      <c r="A549">
        <v>548</v>
      </c>
      <c r="B549" s="1">
        <v>40567</v>
      </c>
      <c r="C549">
        <v>1</v>
      </c>
      <c r="D549">
        <v>0</v>
      </c>
      <c r="E549">
        <v>1</v>
      </c>
      <c r="F549">
        <v>23</v>
      </c>
      <c r="G549" t="b">
        <v>0</v>
      </c>
      <c r="H549">
        <v>1</v>
      </c>
      <c r="I549">
        <v>2</v>
      </c>
      <c r="J549">
        <v>0.16</v>
      </c>
    </row>
    <row r="550" spans="1:10">
      <c r="A550">
        <v>549</v>
      </c>
      <c r="B550" s="1">
        <v>40568</v>
      </c>
      <c r="C550">
        <v>1</v>
      </c>
      <c r="D550">
        <v>0</v>
      </c>
      <c r="E550">
        <v>1</v>
      </c>
      <c r="F550">
        <v>0</v>
      </c>
      <c r="G550" t="b">
        <v>0</v>
      </c>
      <c r="H550">
        <v>2</v>
      </c>
      <c r="I550">
        <v>2</v>
      </c>
      <c r="J550">
        <v>0.16</v>
      </c>
    </row>
    <row r="551" spans="1:10">
      <c r="A551">
        <v>550</v>
      </c>
      <c r="B551" s="1">
        <v>40568</v>
      </c>
      <c r="C551">
        <v>1</v>
      </c>
      <c r="D551">
        <v>0</v>
      </c>
      <c r="E551">
        <v>1</v>
      </c>
      <c r="F551">
        <v>1</v>
      </c>
      <c r="G551" t="b">
        <v>0</v>
      </c>
      <c r="H551">
        <v>2</v>
      </c>
      <c r="I551">
        <v>2</v>
      </c>
      <c r="J551">
        <v>0.16</v>
      </c>
    </row>
    <row r="552" spans="1:10">
      <c r="A552">
        <v>551</v>
      </c>
      <c r="B552" s="1">
        <v>40568</v>
      </c>
      <c r="C552">
        <v>1</v>
      </c>
      <c r="D552">
        <v>0</v>
      </c>
      <c r="E552">
        <v>1</v>
      </c>
      <c r="F552">
        <v>2</v>
      </c>
      <c r="G552" t="b">
        <v>0</v>
      </c>
      <c r="H552">
        <v>2</v>
      </c>
      <c r="I552">
        <v>1</v>
      </c>
      <c r="J552">
        <v>0.16</v>
      </c>
    </row>
    <row r="553" spans="1:10">
      <c r="A553">
        <v>552</v>
      </c>
      <c r="B553" s="1">
        <v>40568</v>
      </c>
      <c r="C553">
        <v>1</v>
      </c>
      <c r="D553">
        <v>0</v>
      </c>
      <c r="E553">
        <v>1</v>
      </c>
      <c r="F553">
        <v>4</v>
      </c>
      <c r="G553" t="b">
        <v>0</v>
      </c>
      <c r="H553">
        <v>2</v>
      </c>
      <c r="I553">
        <v>1</v>
      </c>
      <c r="J553">
        <v>0.14000000000000001</v>
      </c>
    </row>
    <row r="554" spans="1:10">
      <c r="A554">
        <v>553</v>
      </c>
      <c r="B554" s="1">
        <v>40568</v>
      </c>
      <c r="C554">
        <v>1</v>
      </c>
      <c r="D554">
        <v>0</v>
      </c>
      <c r="E554">
        <v>1</v>
      </c>
      <c r="F554">
        <v>5</v>
      </c>
      <c r="G554" t="b">
        <v>0</v>
      </c>
      <c r="H554">
        <v>2</v>
      </c>
      <c r="I554">
        <v>1</v>
      </c>
      <c r="J554">
        <v>0.14000000000000001</v>
      </c>
    </row>
    <row r="555" spans="1:10">
      <c r="A555">
        <v>554</v>
      </c>
      <c r="B555" s="1">
        <v>40568</v>
      </c>
      <c r="C555">
        <v>1</v>
      </c>
      <c r="D555">
        <v>0</v>
      </c>
      <c r="E555">
        <v>1</v>
      </c>
      <c r="F555">
        <v>6</v>
      </c>
      <c r="G555" t="b">
        <v>0</v>
      </c>
      <c r="H555">
        <v>2</v>
      </c>
      <c r="I555">
        <v>1</v>
      </c>
      <c r="J555">
        <v>0.16</v>
      </c>
    </row>
    <row r="556" spans="1:10">
      <c r="A556">
        <v>555</v>
      </c>
      <c r="B556" s="1">
        <v>40568</v>
      </c>
      <c r="C556">
        <v>1</v>
      </c>
      <c r="D556">
        <v>0</v>
      </c>
      <c r="E556">
        <v>1</v>
      </c>
      <c r="F556">
        <v>7</v>
      </c>
      <c r="G556" t="b">
        <v>0</v>
      </c>
      <c r="H556">
        <v>2</v>
      </c>
      <c r="I556">
        <v>1</v>
      </c>
      <c r="J556">
        <v>0.16</v>
      </c>
    </row>
    <row r="557" spans="1:10">
      <c r="A557">
        <v>556</v>
      </c>
      <c r="B557" s="1">
        <v>40568</v>
      </c>
      <c r="C557">
        <v>1</v>
      </c>
      <c r="D557">
        <v>0</v>
      </c>
      <c r="E557">
        <v>1</v>
      </c>
      <c r="F557">
        <v>8</v>
      </c>
      <c r="G557" t="b">
        <v>0</v>
      </c>
      <c r="H557">
        <v>2</v>
      </c>
      <c r="I557">
        <v>2</v>
      </c>
      <c r="J557">
        <v>0.16</v>
      </c>
    </row>
    <row r="558" spans="1:10">
      <c r="A558">
        <v>557</v>
      </c>
      <c r="B558" s="1">
        <v>40568</v>
      </c>
      <c r="C558">
        <v>1</v>
      </c>
      <c r="D558">
        <v>0</v>
      </c>
      <c r="E558">
        <v>1</v>
      </c>
      <c r="F558">
        <v>9</v>
      </c>
      <c r="G558" t="b">
        <v>0</v>
      </c>
      <c r="H558">
        <v>2</v>
      </c>
      <c r="I558">
        <v>2</v>
      </c>
      <c r="J558">
        <v>0.2</v>
      </c>
    </row>
    <row r="559" spans="1:10">
      <c r="A559">
        <v>558</v>
      </c>
      <c r="B559" s="1">
        <v>40568</v>
      </c>
      <c r="C559">
        <v>1</v>
      </c>
      <c r="D559">
        <v>0</v>
      </c>
      <c r="E559">
        <v>1</v>
      </c>
      <c r="F559">
        <v>10</v>
      </c>
      <c r="G559" t="b">
        <v>0</v>
      </c>
      <c r="H559">
        <v>2</v>
      </c>
      <c r="I559">
        <v>2</v>
      </c>
      <c r="J559">
        <v>0.22</v>
      </c>
    </row>
    <row r="560" spans="1:10">
      <c r="A560">
        <v>559</v>
      </c>
      <c r="B560" s="1">
        <v>40568</v>
      </c>
      <c r="C560">
        <v>1</v>
      </c>
      <c r="D560">
        <v>0</v>
      </c>
      <c r="E560">
        <v>1</v>
      </c>
      <c r="F560">
        <v>11</v>
      </c>
      <c r="G560" t="b">
        <v>0</v>
      </c>
      <c r="H560">
        <v>2</v>
      </c>
      <c r="I560">
        <v>2</v>
      </c>
      <c r="J560">
        <v>0.24</v>
      </c>
    </row>
    <row r="561" spans="1:10">
      <c r="A561">
        <v>560</v>
      </c>
      <c r="B561" s="1">
        <v>40568</v>
      </c>
      <c r="C561">
        <v>1</v>
      </c>
      <c r="D561">
        <v>0</v>
      </c>
      <c r="E561">
        <v>1</v>
      </c>
      <c r="F561">
        <v>12</v>
      </c>
      <c r="G561" t="b">
        <v>0</v>
      </c>
      <c r="H561">
        <v>2</v>
      </c>
      <c r="I561">
        <v>2</v>
      </c>
      <c r="J561">
        <v>0.26</v>
      </c>
    </row>
    <row r="562" spans="1:10">
      <c r="A562">
        <v>561</v>
      </c>
      <c r="B562" s="1">
        <v>40568</v>
      </c>
      <c r="C562">
        <v>1</v>
      </c>
      <c r="D562">
        <v>0</v>
      </c>
      <c r="E562">
        <v>1</v>
      </c>
      <c r="F562">
        <v>13</v>
      </c>
      <c r="G562" t="b">
        <v>0</v>
      </c>
      <c r="H562">
        <v>2</v>
      </c>
      <c r="I562">
        <v>2</v>
      </c>
      <c r="J562">
        <v>0.26</v>
      </c>
    </row>
    <row r="563" spans="1:10">
      <c r="A563">
        <v>562</v>
      </c>
      <c r="B563" s="1">
        <v>40568</v>
      </c>
      <c r="C563">
        <v>1</v>
      </c>
      <c r="D563">
        <v>0</v>
      </c>
      <c r="E563">
        <v>1</v>
      </c>
      <c r="F563">
        <v>14</v>
      </c>
      <c r="G563" t="b">
        <v>0</v>
      </c>
      <c r="H563">
        <v>2</v>
      </c>
      <c r="I563">
        <v>2</v>
      </c>
      <c r="J563">
        <v>0.3</v>
      </c>
    </row>
    <row r="564" spans="1:10">
      <c r="A564">
        <v>563</v>
      </c>
      <c r="B564" s="1">
        <v>40568</v>
      </c>
      <c r="C564">
        <v>1</v>
      </c>
      <c r="D564">
        <v>0</v>
      </c>
      <c r="E564">
        <v>1</v>
      </c>
      <c r="F564">
        <v>15</v>
      </c>
      <c r="G564" t="b">
        <v>0</v>
      </c>
      <c r="H564">
        <v>2</v>
      </c>
      <c r="I564">
        <v>2</v>
      </c>
      <c r="J564">
        <v>0.32</v>
      </c>
    </row>
    <row r="565" spans="1:10">
      <c r="A565">
        <v>564</v>
      </c>
      <c r="B565" s="1">
        <v>40568</v>
      </c>
      <c r="C565">
        <v>1</v>
      </c>
      <c r="D565">
        <v>0</v>
      </c>
      <c r="E565">
        <v>1</v>
      </c>
      <c r="F565">
        <v>16</v>
      </c>
      <c r="G565" t="b">
        <v>0</v>
      </c>
      <c r="H565">
        <v>2</v>
      </c>
      <c r="I565">
        <v>2</v>
      </c>
      <c r="J565">
        <v>0.32</v>
      </c>
    </row>
    <row r="566" spans="1:10">
      <c r="A566">
        <v>565</v>
      </c>
      <c r="B566" s="1">
        <v>40568</v>
      </c>
      <c r="C566">
        <v>1</v>
      </c>
      <c r="D566">
        <v>0</v>
      </c>
      <c r="E566">
        <v>1</v>
      </c>
      <c r="F566">
        <v>17</v>
      </c>
      <c r="G566" t="b">
        <v>0</v>
      </c>
      <c r="H566">
        <v>2</v>
      </c>
      <c r="I566">
        <v>1</v>
      </c>
      <c r="J566">
        <v>0.3</v>
      </c>
    </row>
    <row r="567" spans="1:10">
      <c r="A567">
        <v>566</v>
      </c>
      <c r="B567" s="1">
        <v>40568</v>
      </c>
      <c r="C567">
        <v>1</v>
      </c>
      <c r="D567">
        <v>0</v>
      </c>
      <c r="E567">
        <v>1</v>
      </c>
      <c r="F567">
        <v>18</v>
      </c>
      <c r="G567" t="b">
        <v>0</v>
      </c>
      <c r="H567">
        <v>2</v>
      </c>
      <c r="I567">
        <v>2</v>
      </c>
      <c r="J567">
        <v>0.3</v>
      </c>
    </row>
    <row r="568" spans="1:10">
      <c r="A568">
        <v>567</v>
      </c>
      <c r="B568" s="1">
        <v>40568</v>
      </c>
      <c r="C568">
        <v>1</v>
      </c>
      <c r="D568">
        <v>0</v>
      </c>
      <c r="E568">
        <v>1</v>
      </c>
      <c r="F568">
        <v>19</v>
      </c>
      <c r="G568" t="b">
        <v>0</v>
      </c>
      <c r="H568">
        <v>2</v>
      </c>
      <c r="I568">
        <v>2</v>
      </c>
      <c r="J568">
        <v>0.26</v>
      </c>
    </row>
    <row r="569" spans="1:10">
      <c r="A569">
        <v>568</v>
      </c>
      <c r="B569" s="1">
        <v>40568</v>
      </c>
      <c r="C569">
        <v>1</v>
      </c>
      <c r="D569">
        <v>0</v>
      </c>
      <c r="E569">
        <v>1</v>
      </c>
      <c r="F569">
        <v>20</v>
      </c>
      <c r="G569" t="b">
        <v>0</v>
      </c>
      <c r="H569">
        <v>2</v>
      </c>
      <c r="I569">
        <v>1</v>
      </c>
      <c r="J569">
        <v>0.24</v>
      </c>
    </row>
    <row r="570" spans="1:10">
      <c r="A570">
        <v>569</v>
      </c>
      <c r="B570" s="1">
        <v>40568</v>
      </c>
      <c r="C570">
        <v>1</v>
      </c>
      <c r="D570">
        <v>0</v>
      </c>
      <c r="E570">
        <v>1</v>
      </c>
      <c r="F570">
        <v>21</v>
      </c>
      <c r="G570" t="b">
        <v>0</v>
      </c>
      <c r="H570">
        <v>2</v>
      </c>
      <c r="I570">
        <v>1</v>
      </c>
      <c r="J570">
        <v>0.24</v>
      </c>
    </row>
    <row r="571" spans="1:10">
      <c r="A571">
        <v>570</v>
      </c>
      <c r="B571" s="1">
        <v>40568</v>
      </c>
      <c r="C571">
        <v>1</v>
      </c>
      <c r="D571">
        <v>0</v>
      </c>
      <c r="E571">
        <v>1</v>
      </c>
      <c r="F571">
        <v>22</v>
      </c>
      <c r="G571" t="b">
        <v>0</v>
      </c>
      <c r="H571">
        <v>2</v>
      </c>
      <c r="I571">
        <v>1</v>
      </c>
      <c r="J571">
        <v>0.22</v>
      </c>
    </row>
    <row r="572" spans="1:10">
      <c r="A572">
        <v>571</v>
      </c>
      <c r="B572" s="1">
        <v>40568</v>
      </c>
      <c r="C572">
        <v>1</v>
      </c>
      <c r="D572">
        <v>0</v>
      </c>
      <c r="E572">
        <v>1</v>
      </c>
      <c r="F572">
        <v>23</v>
      </c>
      <c r="G572" t="b">
        <v>0</v>
      </c>
      <c r="H572">
        <v>2</v>
      </c>
      <c r="I572">
        <v>2</v>
      </c>
      <c r="J572">
        <v>0.22</v>
      </c>
    </row>
    <row r="573" spans="1:10">
      <c r="A573">
        <v>572</v>
      </c>
      <c r="B573" s="1">
        <v>40569</v>
      </c>
      <c r="C573">
        <v>1</v>
      </c>
      <c r="D573">
        <v>0</v>
      </c>
      <c r="E573">
        <v>1</v>
      </c>
      <c r="F573">
        <v>0</v>
      </c>
      <c r="G573" t="b">
        <v>0</v>
      </c>
      <c r="H573">
        <v>3</v>
      </c>
      <c r="I573">
        <v>2</v>
      </c>
      <c r="J573">
        <v>0.22</v>
      </c>
    </row>
    <row r="574" spans="1:10">
      <c r="A574">
        <v>573</v>
      </c>
      <c r="B574" s="1">
        <v>40569</v>
      </c>
      <c r="C574">
        <v>1</v>
      </c>
      <c r="D574">
        <v>0</v>
      </c>
      <c r="E574">
        <v>1</v>
      </c>
      <c r="F574">
        <v>1</v>
      </c>
      <c r="G574" t="b">
        <v>0</v>
      </c>
      <c r="H574">
        <v>3</v>
      </c>
      <c r="I574">
        <v>2</v>
      </c>
      <c r="J574">
        <v>0.24</v>
      </c>
    </row>
    <row r="575" spans="1:10">
      <c r="A575">
        <v>574</v>
      </c>
      <c r="B575" s="1">
        <v>40569</v>
      </c>
      <c r="C575">
        <v>1</v>
      </c>
      <c r="D575">
        <v>0</v>
      </c>
      <c r="E575">
        <v>1</v>
      </c>
      <c r="F575">
        <v>2</v>
      </c>
      <c r="G575" t="b">
        <v>0</v>
      </c>
      <c r="H575">
        <v>3</v>
      </c>
      <c r="I575">
        <v>3</v>
      </c>
      <c r="J575">
        <v>0.22</v>
      </c>
    </row>
    <row r="576" spans="1:10">
      <c r="A576">
        <v>575</v>
      </c>
      <c r="B576" s="1">
        <v>40569</v>
      </c>
      <c r="C576">
        <v>1</v>
      </c>
      <c r="D576">
        <v>0</v>
      </c>
      <c r="E576">
        <v>1</v>
      </c>
      <c r="F576">
        <v>5</v>
      </c>
      <c r="G576" t="b">
        <v>0</v>
      </c>
      <c r="H576">
        <v>3</v>
      </c>
      <c r="I576">
        <v>3</v>
      </c>
      <c r="J576">
        <v>0.2</v>
      </c>
    </row>
    <row r="577" spans="1:10">
      <c r="A577">
        <v>576</v>
      </c>
      <c r="B577" s="1">
        <v>40569</v>
      </c>
      <c r="C577">
        <v>1</v>
      </c>
      <c r="D577">
        <v>0</v>
      </c>
      <c r="E577">
        <v>1</v>
      </c>
      <c r="F577">
        <v>6</v>
      </c>
      <c r="G577" t="b">
        <v>0</v>
      </c>
      <c r="H577">
        <v>3</v>
      </c>
      <c r="I577">
        <v>3</v>
      </c>
      <c r="J577">
        <v>0.2</v>
      </c>
    </row>
    <row r="578" spans="1:10">
      <c r="A578">
        <v>577</v>
      </c>
      <c r="B578" s="1">
        <v>40569</v>
      </c>
      <c r="C578">
        <v>1</v>
      </c>
      <c r="D578">
        <v>0</v>
      </c>
      <c r="E578">
        <v>1</v>
      </c>
      <c r="F578">
        <v>7</v>
      </c>
      <c r="G578" t="b">
        <v>0</v>
      </c>
      <c r="H578">
        <v>3</v>
      </c>
      <c r="I578">
        <v>3</v>
      </c>
      <c r="J578">
        <v>0.22</v>
      </c>
    </row>
    <row r="579" spans="1:10">
      <c r="A579">
        <v>578</v>
      </c>
      <c r="B579" s="1">
        <v>40569</v>
      </c>
      <c r="C579">
        <v>1</v>
      </c>
      <c r="D579">
        <v>0</v>
      </c>
      <c r="E579">
        <v>1</v>
      </c>
      <c r="F579">
        <v>8</v>
      </c>
      <c r="G579" t="b">
        <v>0</v>
      </c>
      <c r="H579">
        <v>3</v>
      </c>
      <c r="I579">
        <v>3</v>
      </c>
      <c r="J579">
        <v>0.22</v>
      </c>
    </row>
    <row r="580" spans="1:10">
      <c r="A580">
        <v>579</v>
      </c>
      <c r="B580" s="1">
        <v>40569</v>
      </c>
      <c r="C580">
        <v>1</v>
      </c>
      <c r="D580">
        <v>0</v>
      </c>
      <c r="E580">
        <v>1</v>
      </c>
      <c r="F580">
        <v>9</v>
      </c>
      <c r="G580" t="b">
        <v>0</v>
      </c>
      <c r="H580">
        <v>3</v>
      </c>
      <c r="I580">
        <v>3</v>
      </c>
      <c r="J580">
        <v>0.22</v>
      </c>
    </row>
    <row r="581" spans="1:10">
      <c r="A581">
        <v>580</v>
      </c>
      <c r="B581" s="1">
        <v>40569</v>
      </c>
      <c r="C581">
        <v>1</v>
      </c>
      <c r="D581">
        <v>0</v>
      </c>
      <c r="E581">
        <v>1</v>
      </c>
      <c r="F581">
        <v>10</v>
      </c>
      <c r="G581" t="b">
        <v>0</v>
      </c>
      <c r="H581">
        <v>3</v>
      </c>
      <c r="I581">
        <v>3</v>
      </c>
      <c r="J581">
        <v>0.22</v>
      </c>
    </row>
    <row r="582" spans="1:10">
      <c r="A582">
        <v>581</v>
      </c>
      <c r="B582" s="1">
        <v>40569</v>
      </c>
      <c r="C582">
        <v>1</v>
      </c>
      <c r="D582">
        <v>0</v>
      </c>
      <c r="E582">
        <v>1</v>
      </c>
      <c r="F582">
        <v>11</v>
      </c>
      <c r="G582" t="b">
        <v>0</v>
      </c>
      <c r="H582">
        <v>3</v>
      </c>
      <c r="I582">
        <v>3</v>
      </c>
      <c r="J582">
        <v>0.22</v>
      </c>
    </row>
    <row r="583" spans="1:10">
      <c r="A583">
        <v>582</v>
      </c>
      <c r="B583" s="1">
        <v>40569</v>
      </c>
      <c r="C583">
        <v>1</v>
      </c>
      <c r="D583">
        <v>0</v>
      </c>
      <c r="E583">
        <v>1</v>
      </c>
      <c r="F583">
        <v>12</v>
      </c>
      <c r="G583" t="b">
        <v>0</v>
      </c>
      <c r="H583">
        <v>3</v>
      </c>
      <c r="I583">
        <v>3</v>
      </c>
      <c r="J583">
        <v>0.22</v>
      </c>
    </row>
    <row r="584" spans="1:10">
      <c r="A584">
        <v>583</v>
      </c>
      <c r="B584" s="1">
        <v>40569</v>
      </c>
      <c r="C584">
        <v>1</v>
      </c>
      <c r="D584">
        <v>0</v>
      </c>
      <c r="E584">
        <v>1</v>
      </c>
      <c r="F584">
        <v>13</v>
      </c>
      <c r="G584" t="b">
        <v>0</v>
      </c>
      <c r="H584">
        <v>3</v>
      </c>
      <c r="I584">
        <v>3</v>
      </c>
      <c r="J584">
        <v>0.22</v>
      </c>
    </row>
    <row r="585" spans="1:10">
      <c r="A585">
        <v>584</v>
      </c>
      <c r="B585" s="1">
        <v>40569</v>
      </c>
      <c r="C585">
        <v>1</v>
      </c>
      <c r="D585">
        <v>0</v>
      </c>
      <c r="E585">
        <v>1</v>
      </c>
      <c r="F585">
        <v>14</v>
      </c>
      <c r="G585" t="b">
        <v>0</v>
      </c>
      <c r="H585">
        <v>3</v>
      </c>
      <c r="I585">
        <v>3</v>
      </c>
      <c r="J585">
        <v>0.22</v>
      </c>
    </row>
    <row r="586" spans="1:10">
      <c r="A586">
        <v>585</v>
      </c>
      <c r="B586" s="1">
        <v>40569</v>
      </c>
      <c r="C586">
        <v>1</v>
      </c>
      <c r="D586">
        <v>0</v>
      </c>
      <c r="E586">
        <v>1</v>
      </c>
      <c r="F586">
        <v>15</v>
      </c>
      <c r="G586" t="b">
        <v>0</v>
      </c>
      <c r="H586">
        <v>3</v>
      </c>
      <c r="I586">
        <v>3</v>
      </c>
      <c r="J586">
        <v>0.22</v>
      </c>
    </row>
    <row r="587" spans="1:10">
      <c r="A587">
        <v>586</v>
      </c>
      <c r="B587" s="1">
        <v>40569</v>
      </c>
      <c r="C587">
        <v>1</v>
      </c>
      <c r="D587">
        <v>0</v>
      </c>
      <c r="E587">
        <v>1</v>
      </c>
      <c r="F587">
        <v>16</v>
      </c>
      <c r="G587" t="b">
        <v>0</v>
      </c>
      <c r="H587">
        <v>3</v>
      </c>
      <c r="I587">
        <v>4</v>
      </c>
      <c r="J587">
        <v>0.22</v>
      </c>
    </row>
    <row r="588" spans="1:10">
      <c r="A588">
        <v>587</v>
      </c>
      <c r="B588" s="1">
        <v>40569</v>
      </c>
      <c r="C588">
        <v>1</v>
      </c>
      <c r="D588">
        <v>0</v>
      </c>
      <c r="E588">
        <v>1</v>
      </c>
      <c r="F588">
        <v>17</v>
      </c>
      <c r="G588" t="b">
        <v>0</v>
      </c>
      <c r="H588">
        <v>3</v>
      </c>
      <c r="I588">
        <v>3</v>
      </c>
      <c r="J588">
        <v>0.2</v>
      </c>
    </row>
    <row r="589" spans="1:10">
      <c r="A589">
        <v>588</v>
      </c>
      <c r="B589" s="1">
        <v>40570</v>
      </c>
      <c r="C589">
        <v>1</v>
      </c>
      <c r="D589">
        <v>0</v>
      </c>
      <c r="E589">
        <v>1</v>
      </c>
      <c r="F589">
        <v>16</v>
      </c>
      <c r="G589" t="b">
        <v>0</v>
      </c>
      <c r="H589">
        <v>4</v>
      </c>
      <c r="I589">
        <v>1</v>
      </c>
      <c r="J589">
        <v>0.22</v>
      </c>
    </row>
    <row r="590" spans="1:10">
      <c r="A590">
        <v>589</v>
      </c>
      <c r="B590" s="1">
        <v>40570</v>
      </c>
      <c r="C590">
        <v>1</v>
      </c>
      <c r="D590">
        <v>0</v>
      </c>
      <c r="E590">
        <v>1</v>
      </c>
      <c r="F590">
        <v>17</v>
      </c>
      <c r="G590" t="b">
        <v>0</v>
      </c>
      <c r="H590">
        <v>4</v>
      </c>
      <c r="I590">
        <v>1</v>
      </c>
      <c r="J590">
        <v>0.22</v>
      </c>
    </row>
    <row r="591" spans="1:10">
      <c r="A591">
        <v>590</v>
      </c>
      <c r="B591" s="1">
        <v>40570</v>
      </c>
      <c r="C591">
        <v>1</v>
      </c>
      <c r="D591">
        <v>0</v>
      </c>
      <c r="E591">
        <v>1</v>
      </c>
      <c r="F591">
        <v>18</v>
      </c>
      <c r="G591" t="b">
        <v>0</v>
      </c>
      <c r="H591">
        <v>4</v>
      </c>
      <c r="I591">
        <v>1</v>
      </c>
      <c r="J591">
        <v>0.2</v>
      </c>
    </row>
    <row r="592" spans="1:10">
      <c r="A592">
        <v>591</v>
      </c>
      <c r="B592" s="1">
        <v>40570</v>
      </c>
      <c r="C592">
        <v>1</v>
      </c>
      <c r="D592">
        <v>0</v>
      </c>
      <c r="E592">
        <v>1</v>
      </c>
      <c r="F592">
        <v>19</v>
      </c>
      <c r="G592" t="b">
        <v>0</v>
      </c>
      <c r="H592">
        <v>4</v>
      </c>
      <c r="I592">
        <v>1</v>
      </c>
      <c r="J592">
        <v>0.2</v>
      </c>
    </row>
    <row r="593" spans="1:10">
      <c r="A593">
        <v>592</v>
      </c>
      <c r="B593" s="1">
        <v>40570</v>
      </c>
      <c r="C593">
        <v>1</v>
      </c>
      <c r="D593">
        <v>0</v>
      </c>
      <c r="E593">
        <v>1</v>
      </c>
      <c r="F593">
        <v>20</v>
      </c>
      <c r="G593" t="b">
        <v>0</v>
      </c>
      <c r="H593">
        <v>4</v>
      </c>
      <c r="I593">
        <v>1</v>
      </c>
      <c r="J593">
        <v>0.18</v>
      </c>
    </row>
    <row r="594" spans="1:10">
      <c r="A594">
        <v>593</v>
      </c>
      <c r="B594" s="1">
        <v>40570</v>
      </c>
      <c r="C594">
        <v>1</v>
      </c>
      <c r="D594">
        <v>0</v>
      </c>
      <c r="E594">
        <v>1</v>
      </c>
      <c r="F594">
        <v>21</v>
      </c>
      <c r="G594" t="b">
        <v>0</v>
      </c>
      <c r="H594">
        <v>4</v>
      </c>
      <c r="I594">
        <v>1</v>
      </c>
      <c r="J594">
        <v>0.18</v>
      </c>
    </row>
    <row r="595" spans="1:10">
      <c r="A595">
        <v>594</v>
      </c>
      <c r="B595" s="1">
        <v>40570</v>
      </c>
      <c r="C595">
        <v>1</v>
      </c>
      <c r="D595">
        <v>0</v>
      </c>
      <c r="E595">
        <v>1</v>
      </c>
      <c r="F595">
        <v>22</v>
      </c>
      <c r="G595" t="b">
        <v>0</v>
      </c>
      <c r="H595">
        <v>4</v>
      </c>
      <c r="I595">
        <v>1</v>
      </c>
      <c r="J595">
        <v>0.18</v>
      </c>
    </row>
    <row r="596" spans="1:10">
      <c r="A596">
        <v>595</v>
      </c>
      <c r="B596" s="1">
        <v>40570</v>
      </c>
      <c r="C596">
        <v>1</v>
      </c>
      <c r="D596">
        <v>0</v>
      </c>
      <c r="E596">
        <v>1</v>
      </c>
      <c r="F596">
        <v>23</v>
      </c>
      <c r="G596" t="b">
        <v>0</v>
      </c>
      <c r="H596">
        <v>4</v>
      </c>
      <c r="I596">
        <v>1</v>
      </c>
      <c r="J596">
        <v>0.18</v>
      </c>
    </row>
    <row r="597" spans="1:10">
      <c r="A597">
        <v>596</v>
      </c>
      <c r="B597" s="1">
        <v>40571</v>
      </c>
      <c r="C597">
        <v>1</v>
      </c>
      <c r="D597">
        <v>0</v>
      </c>
      <c r="E597">
        <v>1</v>
      </c>
      <c r="F597">
        <v>0</v>
      </c>
      <c r="G597" t="b">
        <v>0</v>
      </c>
      <c r="H597">
        <v>5</v>
      </c>
      <c r="I597">
        <v>2</v>
      </c>
      <c r="J597">
        <v>0.2</v>
      </c>
    </row>
    <row r="598" spans="1:10">
      <c r="A598">
        <v>597</v>
      </c>
      <c r="B598" s="1">
        <v>40571</v>
      </c>
      <c r="C598">
        <v>1</v>
      </c>
      <c r="D598">
        <v>0</v>
      </c>
      <c r="E598">
        <v>1</v>
      </c>
      <c r="F598">
        <v>1</v>
      </c>
      <c r="G598" t="b">
        <v>0</v>
      </c>
      <c r="H598">
        <v>5</v>
      </c>
      <c r="I598">
        <v>2</v>
      </c>
      <c r="J598">
        <v>0.2</v>
      </c>
    </row>
    <row r="599" spans="1:10">
      <c r="A599">
        <v>598</v>
      </c>
      <c r="B599" s="1">
        <v>40571</v>
      </c>
      <c r="C599">
        <v>1</v>
      </c>
      <c r="D599">
        <v>0</v>
      </c>
      <c r="E599">
        <v>1</v>
      </c>
      <c r="F599">
        <v>2</v>
      </c>
      <c r="G599" t="b">
        <v>0</v>
      </c>
      <c r="H599">
        <v>5</v>
      </c>
      <c r="I599">
        <v>2</v>
      </c>
      <c r="J599">
        <v>0.2</v>
      </c>
    </row>
    <row r="600" spans="1:10">
      <c r="A600">
        <v>599</v>
      </c>
      <c r="B600" s="1">
        <v>40571</v>
      </c>
      <c r="C600">
        <v>1</v>
      </c>
      <c r="D600">
        <v>0</v>
      </c>
      <c r="E600">
        <v>1</v>
      </c>
      <c r="F600">
        <v>3</v>
      </c>
      <c r="G600" t="b">
        <v>0</v>
      </c>
      <c r="H600">
        <v>5</v>
      </c>
      <c r="I600">
        <v>2</v>
      </c>
      <c r="J600">
        <v>0.2</v>
      </c>
    </row>
    <row r="601" spans="1:10">
      <c r="A601">
        <v>600</v>
      </c>
      <c r="B601" s="1">
        <v>40571</v>
      </c>
      <c r="C601">
        <v>1</v>
      </c>
      <c r="D601">
        <v>0</v>
      </c>
      <c r="E601">
        <v>1</v>
      </c>
      <c r="F601">
        <v>5</v>
      </c>
      <c r="G601" t="b">
        <v>0</v>
      </c>
      <c r="H601">
        <v>5</v>
      </c>
      <c r="I601">
        <v>2</v>
      </c>
      <c r="J601">
        <v>0.18</v>
      </c>
    </row>
    <row r="602" spans="1:10">
      <c r="A602">
        <v>601</v>
      </c>
      <c r="B602" s="1">
        <v>40571</v>
      </c>
      <c r="C602">
        <v>1</v>
      </c>
      <c r="D602">
        <v>0</v>
      </c>
      <c r="E602">
        <v>1</v>
      </c>
      <c r="F602">
        <v>6</v>
      </c>
      <c r="G602" t="b">
        <v>0</v>
      </c>
      <c r="H602">
        <v>5</v>
      </c>
      <c r="I602">
        <v>2</v>
      </c>
      <c r="J602">
        <v>0.18</v>
      </c>
    </row>
    <row r="603" spans="1:10">
      <c r="A603">
        <v>602</v>
      </c>
      <c r="B603" s="1">
        <v>40571</v>
      </c>
      <c r="C603">
        <v>1</v>
      </c>
      <c r="D603">
        <v>0</v>
      </c>
      <c r="E603">
        <v>1</v>
      </c>
      <c r="F603">
        <v>7</v>
      </c>
      <c r="G603" t="b">
        <v>0</v>
      </c>
      <c r="H603">
        <v>5</v>
      </c>
      <c r="I603">
        <v>2</v>
      </c>
      <c r="J603">
        <v>0.16</v>
      </c>
    </row>
    <row r="604" spans="1:10">
      <c r="A604">
        <v>603</v>
      </c>
      <c r="B604" s="1">
        <v>40571</v>
      </c>
      <c r="C604">
        <v>1</v>
      </c>
      <c r="D604">
        <v>0</v>
      </c>
      <c r="E604">
        <v>1</v>
      </c>
      <c r="F604">
        <v>8</v>
      </c>
      <c r="G604" t="b">
        <v>0</v>
      </c>
      <c r="H604">
        <v>5</v>
      </c>
      <c r="I604">
        <v>2</v>
      </c>
      <c r="J604">
        <v>0.16</v>
      </c>
    </row>
    <row r="605" spans="1:10">
      <c r="A605">
        <v>604</v>
      </c>
      <c r="B605" s="1">
        <v>40571</v>
      </c>
      <c r="C605">
        <v>1</v>
      </c>
      <c r="D605">
        <v>0</v>
      </c>
      <c r="E605">
        <v>1</v>
      </c>
      <c r="F605">
        <v>9</v>
      </c>
      <c r="G605" t="b">
        <v>0</v>
      </c>
      <c r="H605">
        <v>5</v>
      </c>
      <c r="I605">
        <v>3</v>
      </c>
      <c r="J605">
        <v>0.18</v>
      </c>
    </row>
    <row r="606" spans="1:10">
      <c r="A606">
        <v>605</v>
      </c>
      <c r="B606" s="1">
        <v>40571</v>
      </c>
      <c r="C606">
        <v>1</v>
      </c>
      <c r="D606">
        <v>0</v>
      </c>
      <c r="E606">
        <v>1</v>
      </c>
      <c r="F606">
        <v>10</v>
      </c>
      <c r="G606" t="b">
        <v>0</v>
      </c>
      <c r="H606">
        <v>5</v>
      </c>
      <c r="I606">
        <v>3</v>
      </c>
      <c r="J606">
        <v>0.18</v>
      </c>
    </row>
    <row r="607" spans="1:10">
      <c r="A607">
        <v>606</v>
      </c>
      <c r="B607" s="1">
        <v>40571</v>
      </c>
      <c r="C607">
        <v>1</v>
      </c>
      <c r="D607">
        <v>0</v>
      </c>
      <c r="E607">
        <v>1</v>
      </c>
      <c r="F607">
        <v>11</v>
      </c>
      <c r="G607" t="b">
        <v>0</v>
      </c>
      <c r="H607">
        <v>5</v>
      </c>
      <c r="I607">
        <v>3</v>
      </c>
      <c r="J607">
        <v>0.18</v>
      </c>
    </row>
    <row r="608" spans="1:10">
      <c r="A608">
        <v>607</v>
      </c>
      <c r="B608" s="1">
        <v>40571</v>
      </c>
      <c r="C608">
        <v>1</v>
      </c>
      <c r="D608">
        <v>0</v>
      </c>
      <c r="E608">
        <v>1</v>
      </c>
      <c r="F608">
        <v>12</v>
      </c>
      <c r="G608" t="b">
        <v>0</v>
      </c>
      <c r="H608">
        <v>5</v>
      </c>
      <c r="I608">
        <v>3</v>
      </c>
      <c r="J608">
        <v>0.18</v>
      </c>
    </row>
    <row r="609" spans="1:10">
      <c r="A609">
        <v>608</v>
      </c>
      <c r="B609" s="1">
        <v>40571</v>
      </c>
      <c r="C609">
        <v>1</v>
      </c>
      <c r="D609">
        <v>0</v>
      </c>
      <c r="E609">
        <v>1</v>
      </c>
      <c r="F609">
        <v>13</v>
      </c>
      <c r="G609" t="b">
        <v>0</v>
      </c>
      <c r="H609">
        <v>5</v>
      </c>
      <c r="I609">
        <v>3</v>
      </c>
      <c r="J609">
        <v>0.18</v>
      </c>
    </row>
    <row r="610" spans="1:10">
      <c r="A610">
        <v>609</v>
      </c>
      <c r="B610" s="1">
        <v>40571</v>
      </c>
      <c r="C610">
        <v>1</v>
      </c>
      <c r="D610">
        <v>0</v>
      </c>
      <c r="E610">
        <v>1</v>
      </c>
      <c r="F610">
        <v>14</v>
      </c>
      <c r="G610" t="b">
        <v>0</v>
      </c>
      <c r="H610">
        <v>5</v>
      </c>
      <c r="I610">
        <v>3</v>
      </c>
      <c r="J610">
        <v>0.22</v>
      </c>
    </row>
    <row r="611" spans="1:10">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2"/>
  <sheetViews>
    <sheetView workbookViewId="0">
      <selection activeCell="J15" sqref="J15"/>
    </sheetView>
  </sheetViews>
  <sheetFormatPr defaultRowHeight="14.4"/>
  <cols>
    <col min="1" max="1" width="13.21875" customWidth="1"/>
    <col min="2" max="2" width="8.6640625" customWidth="1"/>
    <col min="3" max="3" width="8.33203125" customWidth="1"/>
    <col min="4" max="4" width="6.77734375" customWidth="1"/>
    <col min="5" max="5" width="12" customWidth="1"/>
    <col min="6" max="6" width="8.109375" customWidth="1"/>
    <col min="7" max="7" width="11.21875" customWidth="1"/>
    <col min="8" max="8" width="6" bestFit="1" customWidth="1"/>
  </cols>
  <sheetData>
    <row r="1" spans="1:8">
      <c r="A1" t="s">
        <v>0</v>
      </c>
      <c r="B1" t="s">
        <v>1</v>
      </c>
      <c r="C1" t="s">
        <v>2</v>
      </c>
      <c r="D1" t="s">
        <v>3</v>
      </c>
      <c r="E1" t="s">
        <v>4</v>
      </c>
      <c r="F1" t="s">
        <v>5</v>
      </c>
      <c r="G1" t="s">
        <v>6</v>
      </c>
      <c r="H1" t="s">
        <v>7</v>
      </c>
    </row>
    <row r="2" spans="1:8">
      <c r="A2">
        <v>0</v>
      </c>
      <c r="B2">
        <v>1</v>
      </c>
      <c r="C2">
        <v>0.28789999999999999</v>
      </c>
      <c r="D2">
        <v>0.81</v>
      </c>
      <c r="E2">
        <v>0</v>
      </c>
      <c r="F2">
        <v>3</v>
      </c>
      <c r="G2">
        <v>13</v>
      </c>
      <c r="H2">
        <v>16</v>
      </c>
    </row>
    <row r="3" spans="1:8">
      <c r="A3">
        <v>1</v>
      </c>
      <c r="B3">
        <v>2</v>
      </c>
      <c r="C3">
        <v>0.2727</v>
      </c>
      <c r="D3">
        <v>0.8</v>
      </c>
      <c r="E3">
        <v>0</v>
      </c>
      <c r="F3">
        <v>8</v>
      </c>
      <c r="G3">
        <v>32</v>
      </c>
      <c r="H3">
        <v>40</v>
      </c>
    </row>
    <row r="4" spans="1:8">
      <c r="A4">
        <v>2</v>
      </c>
      <c r="B4">
        <v>3</v>
      </c>
      <c r="C4">
        <v>0.2727</v>
      </c>
      <c r="D4">
        <v>0.8</v>
      </c>
      <c r="E4">
        <v>0</v>
      </c>
      <c r="F4">
        <v>5</v>
      </c>
      <c r="G4">
        <v>27</v>
      </c>
      <c r="H4">
        <v>32</v>
      </c>
    </row>
    <row r="5" spans="1:8">
      <c r="A5">
        <v>3</v>
      </c>
      <c r="B5">
        <v>4</v>
      </c>
      <c r="C5">
        <v>0.28789999999999999</v>
      </c>
      <c r="D5">
        <v>0.75</v>
      </c>
      <c r="E5">
        <v>0</v>
      </c>
      <c r="F5">
        <v>3</v>
      </c>
      <c r="G5">
        <v>10</v>
      </c>
      <c r="H5">
        <v>13</v>
      </c>
    </row>
    <row r="6" spans="1:8">
      <c r="A6">
        <v>4</v>
      </c>
      <c r="B6">
        <v>5</v>
      </c>
      <c r="C6">
        <v>0.28789999999999999</v>
      </c>
      <c r="D6">
        <v>0.75</v>
      </c>
      <c r="E6">
        <v>0</v>
      </c>
      <c r="F6">
        <v>0</v>
      </c>
      <c r="G6">
        <v>1</v>
      </c>
      <c r="H6">
        <v>1</v>
      </c>
    </row>
    <row r="7" spans="1:8">
      <c r="A7">
        <v>5</v>
      </c>
      <c r="B7">
        <v>6</v>
      </c>
      <c r="C7">
        <v>0.2576</v>
      </c>
      <c r="D7">
        <v>0.75</v>
      </c>
      <c r="E7">
        <v>8.9599999999999999E-2</v>
      </c>
      <c r="F7">
        <v>0</v>
      </c>
      <c r="G7">
        <v>1</v>
      </c>
      <c r="H7">
        <v>1</v>
      </c>
    </row>
    <row r="8" spans="1:8">
      <c r="A8">
        <v>6</v>
      </c>
      <c r="B8">
        <v>7</v>
      </c>
      <c r="C8">
        <v>0.2727</v>
      </c>
      <c r="D8">
        <v>0.8</v>
      </c>
      <c r="E8">
        <v>0</v>
      </c>
      <c r="F8">
        <v>2</v>
      </c>
      <c r="G8">
        <v>0</v>
      </c>
      <c r="H8">
        <v>2</v>
      </c>
    </row>
    <row r="9" spans="1:8">
      <c r="A9">
        <v>7</v>
      </c>
      <c r="B9">
        <v>8</v>
      </c>
      <c r="C9">
        <v>0.2576</v>
      </c>
      <c r="D9">
        <v>0.86</v>
      </c>
      <c r="E9">
        <v>0</v>
      </c>
      <c r="F9">
        <v>1</v>
      </c>
      <c r="G9">
        <v>2</v>
      </c>
      <c r="H9">
        <v>3</v>
      </c>
    </row>
    <row r="10" spans="1:8">
      <c r="A10">
        <v>8</v>
      </c>
      <c r="B10">
        <v>9</v>
      </c>
      <c r="D10">
        <v>0.75</v>
      </c>
      <c r="E10">
        <v>0</v>
      </c>
      <c r="F10">
        <v>1</v>
      </c>
      <c r="G10">
        <v>7</v>
      </c>
      <c r="H10">
        <v>8</v>
      </c>
    </row>
    <row r="11" spans="1:8">
      <c r="A11">
        <v>9</v>
      </c>
      <c r="B11">
        <v>10</v>
      </c>
      <c r="C11">
        <v>0.34849999999999998</v>
      </c>
      <c r="D11">
        <v>0.76</v>
      </c>
      <c r="E11">
        <v>0</v>
      </c>
      <c r="F11">
        <v>8</v>
      </c>
      <c r="G11">
        <v>6</v>
      </c>
      <c r="H11">
        <v>14</v>
      </c>
    </row>
    <row r="12" spans="1:8">
      <c r="A12">
        <v>10</v>
      </c>
      <c r="B12">
        <v>11</v>
      </c>
      <c r="C12">
        <v>0.39389999999999997</v>
      </c>
      <c r="D12">
        <v>0.76</v>
      </c>
      <c r="E12">
        <v>0.25369999999999998</v>
      </c>
      <c r="F12">
        <v>12</v>
      </c>
      <c r="G12">
        <v>24</v>
      </c>
      <c r="H12">
        <v>36</v>
      </c>
    </row>
    <row r="13" spans="1:8">
      <c r="A13">
        <v>11</v>
      </c>
      <c r="B13">
        <v>12</v>
      </c>
      <c r="C13">
        <v>0.33329999999999999</v>
      </c>
      <c r="D13">
        <v>0.81</v>
      </c>
      <c r="E13">
        <v>0.28360000000000002</v>
      </c>
      <c r="F13">
        <v>26</v>
      </c>
      <c r="G13">
        <v>30</v>
      </c>
      <c r="H13">
        <v>56</v>
      </c>
    </row>
    <row r="14" spans="1:8">
      <c r="A14">
        <v>12</v>
      </c>
      <c r="B14">
        <v>13</v>
      </c>
      <c r="C14">
        <v>0.42420000000000002</v>
      </c>
      <c r="D14">
        <v>0.77</v>
      </c>
      <c r="E14">
        <v>0.28360000000000002</v>
      </c>
      <c r="F14">
        <v>29</v>
      </c>
      <c r="G14">
        <v>55</v>
      </c>
      <c r="H14">
        <v>84</v>
      </c>
    </row>
    <row r="15" spans="1:8">
      <c r="A15">
        <v>13</v>
      </c>
      <c r="B15">
        <v>14</v>
      </c>
      <c r="C15">
        <v>0.45450000000000002</v>
      </c>
      <c r="D15">
        <v>0.72</v>
      </c>
      <c r="E15">
        <v>0.29849999999999999</v>
      </c>
      <c r="F15">
        <v>47</v>
      </c>
      <c r="G15">
        <v>47</v>
      </c>
      <c r="H15">
        <v>94</v>
      </c>
    </row>
    <row r="16" spans="1:8">
      <c r="A16">
        <v>14</v>
      </c>
      <c r="B16">
        <v>15</v>
      </c>
      <c r="C16">
        <v>0.45450000000000002</v>
      </c>
      <c r="D16">
        <v>0.72</v>
      </c>
      <c r="E16">
        <v>0.28360000000000002</v>
      </c>
      <c r="F16">
        <v>35</v>
      </c>
      <c r="G16">
        <v>71</v>
      </c>
      <c r="H16">
        <v>106</v>
      </c>
    </row>
    <row r="17" spans="1:8">
      <c r="A17">
        <v>15</v>
      </c>
      <c r="B17">
        <v>16</v>
      </c>
      <c r="C17">
        <v>0.43940000000000001</v>
      </c>
      <c r="D17">
        <v>0.77</v>
      </c>
      <c r="E17">
        <v>0.29849999999999999</v>
      </c>
      <c r="F17">
        <v>40</v>
      </c>
      <c r="G17">
        <v>70</v>
      </c>
      <c r="H17">
        <v>110</v>
      </c>
    </row>
    <row r="18" spans="1:8">
      <c r="A18">
        <v>16</v>
      </c>
      <c r="B18">
        <v>17</v>
      </c>
      <c r="C18">
        <v>0.42420000000000002</v>
      </c>
      <c r="D18">
        <v>0.82</v>
      </c>
      <c r="E18">
        <v>0.29849999999999999</v>
      </c>
      <c r="F18">
        <v>41</v>
      </c>
      <c r="G18">
        <v>52</v>
      </c>
      <c r="H18">
        <v>93</v>
      </c>
    </row>
    <row r="19" spans="1:8">
      <c r="A19">
        <v>17</v>
      </c>
      <c r="B19">
        <v>18</v>
      </c>
      <c r="D19">
        <v>0.82</v>
      </c>
      <c r="E19">
        <v>0.28360000000000002</v>
      </c>
      <c r="F19">
        <v>15</v>
      </c>
      <c r="G19">
        <v>52</v>
      </c>
      <c r="H19">
        <v>67</v>
      </c>
    </row>
    <row r="20" spans="1:8">
      <c r="A20">
        <v>18</v>
      </c>
      <c r="B20">
        <v>19</v>
      </c>
      <c r="C20">
        <v>0.42420000000000002</v>
      </c>
      <c r="D20">
        <v>0.88</v>
      </c>
      <c r="E20">
        <v>0.25369999999999998</v>
      </c>
      <c r="F20">
        <v>9</v>
      </c>
      <c r="G20">
        <v>26</v>
      </c>
      <c r="H20">
        <v>35</v>
      </c>
    </row>
    <row r="21" spans="1:8">
      <c r="A21">
        <v>19</v>
      </c>
      <c r="B21">
        <v>20</v>
      </c>
      <c r="C21">
        <v>0.42420000000000002</v>
      </c>
      <c r="D21">
        <v>0.88</v>
      </c>
      <c r="E21">
        <v>0.25369999999999998</v>
      </c>
      <c r="F21">
        <v>6</v>
      </c>
      <c r="G21">
        <v>31</v>
      </c>
      <c r="H21">
        <v>37</v>
      </c>
    </row>
    <row r="22" spans="1:8">
      <c r="A22">
        <v>20</v>
      </c>
      <c r="B22">
        <v>21</v>
      </c>
      <c r="C22">
        <v>0.40910000000000002</v>
      </c>
      <c r="D22">
        <v>0.87</v>
      </c>
      <c r="E22">
        <v>0.25369999999999998</v>
      </c>
      <c r="F22">
        <v>11</v>
      </c>
      <c r="G22">
        <v>25</v>
      </c>
      <c r="H22">
        <v>36</v>
      </c>
    </row>
    <row r="23" spans="1:8">
      <c r="A23">
        <v>21</v>
      </c>
      <c r="B23">
        <v>22</v>
      </c>
      <c r="C23">
        <v>0.40910000000000002</v>
      </c>
      <c r="D23">
        <v>0.87</v>
      </c>
      <c r="E23">
        <v>0.19400000000000001</v>
      </c>
      <c r="F23">
        <v>3</v>
      </c>
      <c r="G23">
        <v>31</v>
      </c>
      <c r="H23">
        <v>34</v>
      </c>
    </row>
    <row r="24" spans="1:8">
      <c r="A24">
        <v>22</v>
      </c>
      <c r="B24">
        <v>23</v>
      </c>
      <c r="C24">
        <v>0.40910000000000002</v>
      </c>
      <c r="D24">
        <v>0.94</v>
      </c>
      <c r="E24">
        <v>0.22389999999999999</v>
      </c>
      <c r="F24">
        <v>11</v>
      </c>
      <c r="G24">
        <v>17</v>
      </c>
      <c r="H24">
        <v>28</v>
      </c>
    </row>
    <row r="25" spans="1:8">
      <c r="A25">
        <v>23</v>
      </c>
      <c r="B25">
        <v>24</v>
      </c>
      <c r="D25">
        <v>0.88</v>
      </c>
      <c r="E25">
        <v>0.29849999999999999</v>
      </c>
      <c r="F25">
        <v>15</v>
      </c>
      <c r="G25">
        <v>24</v>
      </c>
      <c r="H25">
        <v>39</v>
      </c>
    </row>
    <row r="26" spans="1:8">
      <c r="A26">
        <v>24</v>
      </c>
      <c r="B26">
        <v>25</v>
      </c>
      <c r="C26">
        <v>0.45450000000000002</v>
      </c>
      <c r="D26">
        <v>0.88</v>
      </c>
      <c r="E26">
        <v>0.29849999999999999</v>
      </c>
      <c r="F26">
        <v>4</v>
      </c>
      <c r="G26">
        <v>13</v>
      </c>
      <c r="H26">
        <v>17</v>
      </c>
    </row>
    <row r="27" spans="1:8">
      <c r="A27">
        <v>25</v>
      </c>
      <c r="B27">
        <v>26</v>
      </c>
      <c r="C27">
        <v>0.43940000000000001</v>
      </c>
      <c r="D27">
        <v>0.94</v>
      </c>
      <c r="E27">
        <v>0.25369999999999998</v>
      </c>
      <c r="F27">
        <v>1</v>
      </c>
      <c r="G27">
        <v>16</v>
      </c>
      <c r="H27">
        <v>17</v>
      </c>
    </row>
    <row r="28" spans="1:8">
      <c r="A28">
        <v>26</v>
      </c>
      <c r="B28">
        <v>27</v>
      </c>
      <c r="C28">
        <v>0.42420000000000002</v>
      </c>
      <c r="D28">
        <v>1</v>
      </c>
      <c r="E28">
        <v>0.28360000000000002</v>
      </c>
      <c r="F28">
        <v>1</v>
      </c>
      <c r="G28">
        <v>8</v>
      </c>
      <c r="H28">
        <v>9</v>
      </c>
    </row>
    <row r="29" spans="1:8">
      <c r="A29">
        <v>27</v>
      </c>
      <c r="B29">
        <v>28</v>
      </c>
      <c r="C29">
        <v>0.45450000000000002</v>
      </c>
      <c r="D29">
        <v>0.94</v>
      </c>
      <c r="E29">
        <v>0.19400000000000001</v>
      </c>
      <c r="F29">
        <v>2</v>
      </c>
      <c r="G29">
        <v>4</v>
      </c>
      <c r="H29">
        <v>6</v>
      </c>
    </row>
    <row r="30" spans="1:8">
      <c r="A30">
        <v>28</v>
      </c>
      <c r="B30">
        <v>29</v>
      </c>
      <c r="D30">
        <v>0.94</v>
      </c>
      <c r="E30">
        <v>0.19400000000000001</v>
      </c>
      <c r="F30">
        <v>2</v>
      </c>
      <c r="G30">
        <v>1</v>
      </c>
      <c r="H30">
        <v>3</v>
      </c>
    </row>
    <row r="31" spans="1:8">
      <c r="A31">
        <v>29</v>
      </c>
      <c r="B31">
        <v>30</v>
      </c>
      <c r="C31">
        <v>0.42420000000000002</v>
      </c>
      <c r="D31">
        <v>0.77</v>
      </c>
      <c r="E31">
        <v>0.29849999999999999</v>
      </c>
      <c r="F31">
        <v>0</v>
      </c>
      <c r="G31">
        <v>2</v>
      </c>
      <c r="H31">
        <v>2</v>
      </c>
    </row>
    <row r="32" spans="1:8">
      <c r="A32">
        <v>30</v>
      </c>
      <c r="B32">
        <v>31</v>
      </c>
      <c r="C32">
        <v>0.40910000000000002</v>
      </c>
      <c r="D32">
        <v>0.76</v>
      </c>
      <c r="E32">
        <v>0.19400000000000001</v>
      </c>
      <c r="F32">
        <v>0</v>
      </c>
      <c r="G32">
        <v>1</v>
      </c>
      <c r="H32">
        <v>1</v>
      </c>
    </row>
    <row r="33" spans="1:8">
      <c r="A33">
        <v>31</v>
      </c>
      <c r="B33">
        <v>32</v>
      </c>
      <c r="C33">
        <v>0.40910000000000002</v>
      </c>
      <c r="D33">
        <v>0.71</v>
      </c>
      <c r="E33">
        <v>0.22389999999999999</v>
      </c>
      <c r="F33">
        <v>0</v>
      </c>
      <c r="G33">
        <v>8</v>
      </c>
      <c r="H33">
        <v>8</v>
      </c>
    </row>
    <row r="34" spans="1:8">
      <c r="A34">
        <v>32</v>
      </c>
      <c r="B34">
        <v>33</v>
      </c>
      <c r="D34">
        <v>0.76</v>
      </c>
      <c r="E34">
        <v>0.22389999999999999</v>
      </c>
      <c r="F34">
        <v>1</v>
      </c>
      <c r="G34">
        <v>19</v>
      </c>
      <c r="H34">
        <v>20</v>
      </c>
    </row>
    <row r="35" spans="1:8">
      <c r="A35">
        <v>33</v>
      </c>
      <c r="B35">
        <v>34</v>
      </c>
      <c r="C35">
        <v>0.34849999999999998</v>
      </c>
      <c r="D35">
        <v>0.81</v>
      </c>
      <c r="E35">
        <v>0.22389999999999999</v>
      </c>
      <c r="F35">
        <v>7</v>
      </c>
      <c r="G35">
        <v>46</v>
      </c>
      <c r="H35">
        <v>53</v>
      </c>
    </row>
    <row r="36" spans="1:8">
      <c r="A36">
        <v>34</v>
      </c>
      <c r="B36">
        <v>35</v>
      </c>
      <c r="C36">
        <v>0.33329999999999999</v>
      </c>
      <c r="D36">
        <v>0.71</v>
      </c>
      <c r="E36">
        <v>0.25369999999999998</v>
      </c>
      <c r="F36">
        <v>16</v>
      </c>
      <c r="G36">
        <v>54</v>
      </c>
      <c r="H36">
        <v>70</v>
      </c>
    </row>
    <row r="37" spans="1:8">
      <c r="A37">
        <v>35</v>
      </c>
      <c r="B37">
        <v>36</v>
      </c>
      <c r="C37">
        <v>0.33329999999999999</v>
      </c>
      <c r="D37">
        <v>0.66</v>
      </c>
      <c r="E37">
        <v>0.29849999999999999</v>
      </c>
      <c r="F37">
        <v>20</v>
      </c>
      <c r="G37">
        <v>73</v>
      </c>
      <c r="H37">
        <v>93</v>
      </c>
    </row>
    <row r="38" spans="1:8">
      <c r="A38">
        <v>36</v>
      </c>
      <c r="B38">
        <v>37</v>
      </c>
      <c r="C38">
        <v>0.34849999999999998</v>
      </c>
      <c r="D38">
        <v>0.66</v>
      </c>
      <c r="E38">
        <v>0.1343</v>
      </c>
      <c r="F38">
        <v>11</v>
      </c>
      <c r="G38">
        <v>64</v>
      </c>
      <c r="H38">
        <v>75</v>
      </c>
    </row>
    <row r="39" spans="1:8">
      <c r="A39">
        <v>37</v>
      </c>
      <c r="B39">
        <v>38</v>
      </c>
      <c r="D39">
        <v>0.76</v>
      </c>
      <c r="E39">
        <v>0.19400000000000001</v>
      </c>
      <c r="F39">
        <v>4</v>
      </c>
      <c r="G39">
        <v>55</v>
      </c>
      <c r="H39">
        <v>59</v>
      </c>
    </row>
    <row r="40" spans="1:8">
      <c r="A40">
        <v>38</v>
      </c>
      <c r="B40">
        <v>39</v>
      </c>
      <c r="C40">
        <v>0.33329999999999999</v>
      </c>
      <c r="D40">
        <v>0.81</v>
      </c>
      <c r="E40">
        <v>0.16420000000000001</v>
      </c>
      <c r="F40">
        <v>19</v>
      </c>
      <c r="G40">
        <v>55</v>
      </c>
      <c r="H40">
        <v>74</v>
      </c>
    </row>
    <row r="41" spans="1:8">
      <c r="A41">
        <v>39</v>
      </c>
      <c r="B41">
        <v>40</v>
      </c>
      <c r="C41">
        <v>0.33329999999999999</v>
      </c>
      <c r="D41">
        <v>0.71</v>
      </c>
      <c r="E41">
        <v>0.16420000000000001</v>
      </c>
      <c r="F41">
        <v>9</v>
      </c>
      <c r="G41">
        <v>67</v>
      </c>
      <c r="H41">
        <v>76</v>
      </c>
    </row>
    <row r="42" spans="1:8">
      <c r="A42">
        <v>40</v>
      </c>
      <c r="B42">
        <v>41</v>
      </c>
      <c r="C42">
        <v>0.33329999999999999</v>
      </c>
      <c r="D42">
        <v>0.56999999999999995</v>
      </c>
      <c r="E42">
        <v>0.19400000000000001</v>
      </c>
      <c r="F42">
        <v>7</v>
      </c>
      <c r="G42">
        <v>58</v>
      </c>
      <c r="H42">
        <v>65</v>
      </c>
    </row>
    <row r="43" spans="1:8">
      <c r="A43">
        <v>41</v>
      </c>
      <c r="B43">
        <v>42</v>
      </c>
      <c r="C43">
        <v>0.33329999999999999</v>
      </c>
      <c r="D43">
        <v>0.46</v>
      </c>
      <c r="E43">
        <v>0.32840000000000003</v>
      </c>
      <c r="F43">
        <v>10</v>
      </c>
      <c r="G43">
        <v>43</v>
      </c>
      <c r="H43">
        <v>53</v>
      </c>
    </row>
    <row r="44" spans="1:8">
      <c r="A44">
        <v>42</v>
      </c>
      <c r="B44">
        <v>43</v>
      </c>
      <c r="C44">
        <v>0.28789999999999999</v>
      </c>
      <c r="D44">
        <v>0.42</v>
      </c>
      <c r="E44">
        <v>0.44779999999999998</v>
      </c>
      <c r="F44">
        <v>1</v>
      </c>
      <c r="G44">
        <v>29</v>
      </c>
      <c r="H44">
        <v>30</v>
      </c>
    </row>
    <row r="45" spans="1:8">
      <c r="A45">
        <v>43</v>
      </c>
      <c r="B45">
        <v>44</v>
      </c>
      <c r="D45">
        <v>0.39</v>
      </c>
      <c r="E45">
        <v>0.35820000000000002</v>
      </c>
      <c r="F45">
        <v>5</v>
      </c>
      <c r="G45">
        <v>17</v>
      </c>
      <c r="H45">
        <v>22</v>
      </c>
    </row>
    <row r="46" spans="1:8">
      <c r="A46">
        <v>44</v>
      </c>
      <c r="B46">
        <v>45</v>
      </c>
      <c r="C46">
        <v>0.2273</v>
      </c>
      <c r="D46">
        <v>0.44</v>
      </c>
      <c r="E46">
        <v>0.32840000000000003</v>
      </c>
      <c r="F46">
        <v>11</v>
      </c>
      <c r="G46">
        <v>20</v>
      </c>
      <c r="H46">
        <v>31</v>
      </c>
    </row>
    <row r="47" spans="1:8">
      <c r="A47">
        <v>45</v>
      </c>
      <c r="B47">
        <v>46</v>
      </c>
      <c r="C47">
        <v>0.21210000000000001</v>
      </c>
      <c r="D47">
        <v>0.44</v>
      </c>
      <c r="E47">
        <v>0.29849999999999999</v>
      </c>
      <c r="F47">
        <v>0</v>
      </c>
      <c r="G47">
        <v>9</v>
      </c>
      <c r="H47">
        <v>9</v>
      </c>
    </row>
    <row r="48" spans="1:8">
      <c r="A48">
        <v>46</v>
      </c>
      <c r="B48">
        <v>47</v>
      </c>
      <c r="C48">
        <v>0.2273</v>
      </c>
      <c r="D48">
        <v>0.47</v>
      </c>
      <c r="E48">
        <v>0.16420000000000001</v>
      </c>
      <c r="F48">
        <v>0</v>
      </c>
      <c r="G48">
        <v>8</v>
      </c>
      <c r="H48">
        <v>8</v>
      </c>
    </row>
    <row r="49" spans="1:8">
      <c r="A49">
        <v>47</v>
      </c>
      <c r="B49">
        <v>48</v>
      </c>
      <c r="C49">
        <v>0.19700000000000001</v>
      </c>
      <c r="D49">
        <v>0.44</v>
      </c>
      <c r="E49">
        <v>0.35820000000000002</v>
      </c>
      <c r="F49">
        <v>0</v>
      </c>
      <c r="G49">
        <v>5</v>
      </c>
      <c r="H49">
        <v>5</v>
      </c>
    </row>
    <row r="50" spans="1:8">
      <c r="A50">
        <v>48</v>
      </c>
      <c r="B50">
        <v>49</v>
      </c>
      <c r="D50">
        <v>0.44</v>
      </c>
      <c r="E50">
        <v>0.41789999999999999</v>
      </c>
      <c r="F50">
        <v>0</v>
      </c>
      <c r="G50">
        <v>2</v>
      </c>
      <c r="H50">
        <v>2</v>
      </c>
    </row>
    <row r="51" spans="1:8">
      <c r="A51">
        <v>49</v>
      </c>
      <c r="B51">
        <v>50</v>
      </c>
      <c r="C51">
        <v>0.13639999999999999</v>
      </c>
      <c r="D51">
        <v>0.47</v>
      </c>
      <c r="E51">
        <v>0.3881</v>
      </c>
      <c r="F51">
        <v>0</v>
      </c>
      <c r="G51">
        <v>1</v>
      </c>
      <c r="H51">
        <v>1</v>
      </c>
    </row>
    <row r="52" spans="1:8">
      <c r="A52">
        <v>50</v>
      </c>
      <c r="B52">
        <v>51</v>
      </c>
      <c r="C52">
        <v>0.13639999999999999</v>
      </c>
      <c r="D52">
        <v>0.47</v>
      </c>
      <c r="E52">
        <v>0.28360000000000002</v>
      </c>
      <c r="F52">
        <v>0</v>
      </c>
      <c r="G52">
        <v>3</v>
      </c>
      <c r="H52">
        <v>3</v>
      </c>
    </row>
    <row r="53" spans="1:8">
      <c r="A53">
        <v>51</v>
      </c>
      <c r="B53">
        <v>52</v>
      </c>
      <c r="C53">
        <v>0.1061</v>
      </c>
      <c r="D53">
        <v>0.5</v>
      </c>
      <c r="E53">
        <v>0.3881</v>
      </c>
      <c r="F53">
        <v>0</v>
      </c>
      <c r="G53">
        <v>30</v>
      </c>
      <c r="H53">
        <v>30</v>
      </c>
    </row>
    <row r="54" spans="1:8">
      <c r="A54">
        <v>52</v>
      </c>
      <c r="B54">
        <v>53</v>
      </c>
      <c r="C54">
        <v>0.13639999999999999</v>
      </c>
      <c r="D54">
        <v>0.5</v>
      </c>
      <c r="E54">
        <v>0.19400000000000001</v>
      </c>
      <c r="F54">
        <v>1</v>
      </c>
      <c r="G54">
        <v>63</v>
      </c>
      <c r="H54">
        <v>64</v>
      </c>
    </row>
    <row r="55" spans="1:8">
      <c r="A55">
        <v>53</v>
      </c>
      <c r="B55">
        <v>54</v>
      </c>
      <c r="C55">
        <v>0.1212</v>
      </c>
      <c r="D55">
        <v>0.5</v>
      </c>
      <c r="E55">
        <v>0.28360000000000002</v>
      </c>
      <c r="F55">
        <v>1</v>
      </c>
      <c r="G55">
        <v>153</v>
      </c>
      <c r="H55">
        <v>154</v>
      </c>
    </row>
    <row r="56" spans="1:8">
      <c r="A56">
        <v>54</v>
      </c>
      <c r="B56">
        <v>55</v>
      </c>
      <c r="C56">
        <v>0.13639999999999999</v>
      </c>
      <c r="D56">
        <v>0.43</v>
      </c>
      <c r="E56">
        <v>0.3881</v>
      </c>
      <c r="F56">
        <v>7</v>
      </c>
      <c r="G56">
        <v>81</v>
      </c>
      <c r="H56">
        <v>88</v>
      </c>
    </row>
    <row r="57" spans="1:8">
      <c r="A57">
        <v>55</v>
      </c>
      <c r="B57">
        <v>56</v>
      </c>
      <c r="C57">
        <v>0.16669999999999999</v>
      </c>
      <c r="D57">
        <v>0.43</v>
      </c>
      <c r="E57">
        <v>0.25369999999999998</v>
      </c>
      <c r="F57">
        <v>11</v>
      </c>
      <c r="G57">
        <v>33</v>
      </c>
      <c r="H57">
        <v>44</v>
      </c>
    </row>
    <row r="58" spans="1:8">
      <c r="A58">
        <v>56</v>
      </c>
      <c r="B58">
        <v>57</v>
      </c>
      <c r="C58">
        <v>0.18179999999999999</v>
      </c>
      <c r="D58">
        <v>0.4</v>
      </c>
      <c r="E58">
        <v>0.32840000000000003</v>
      </c>
      <c r="F58">
        <v>10</v>
      </c>
      <c r="G58">
        <v>41</v>
      </c>
      <c r="H58">
        <v>51</v>
      </c>
    </row>
    <row r="59" spans="1:8">
      <c r="A59">
        <v>57</v>
      </c>
      <c r="B59">
        <v>58</v>
      </c>
      <c r="C59">
        <v>0.21210000000000001</v>
      </c>
      <c r="D59">
        <v>0.35</v>
      </c>
      <c r="E59">
        <v>0.29849999999999999</v>
      </c>
      <c r="F59">
        <v>13</v>
      </c>
      <c r="G59">
        <v>48</v>
      </c>
      <c r="H59">
        <v>61</v>
      </c>
    </row>
    <row r="60" spans="1:8">
      <c r="A60">
        <v>58</v>
      </c>
      <c r="B60">
        <v>59</v>
      </c>
      <c r="D60">
        <v>0.35</v>
      </c>
      <c r="E60">
        <v>0.28360000000000002</v>
      </c>
      <c r="F60">
        <v>8</v>
      </c>
      <c r="G60">
        <v>53</v>
      </c>
      <c r="H60">
        <v>61</v>
      </c>
    </row>
    <row r="61" spans="1:8">
      <c r="A61">
        <v>59</v>
      </c>
      <c r="B61">
        <v>60</v>
      </c>
      <c r="C61">
        <v>0.2424</v>
      </c>
      <c r="D61">
        <v>0.3</v>
      </c>
      <c r="E61">
        <v>0.28360000000000002</v>
      </c>
      <c r="F61">
        <v>11</v>
      </c>
      <c r="G61">
        <v>66</v>
      </c>
      <c r="H61">
        <v>77</v>
      </c>
    </row>
    <row r="62" spans="1:8">
      <c r="A62">
        <v>60</v>
      </c>
      <c r="B62">
        <v>61</v>
      </c>
      <c r="C62">
        <v>0.2424</v>
      </c>
      <c r="D62">
        <v>0.3</v>
      </c>
      <c r="E62">
        <v>0.25369999999999998</v>
      </c>
      <c r="F62">
        <v>14</v>
      </c>
      <c r="G62">
        <v>58</v>
      </c>
      <c r="H62">
        <v>72</v>
      </c>
    </row>
    <row r="63" spans="1:8">
      <c r="A63">
        <v>61</v>
      </c>
      <c r="B63">
        <v>62</v>
      </c>
      <c r="C63">
        <v>0.2424</v>
      </c>
      <c r="D63">
        <v>0.3</v>
      </c>
      <c r="E63">
        <v>0.25369999999999998</v>
      </c>
      <c r="F63">
        <v>9</v>
      </c>
      <c r="G63">
        <v>67</v>
      </c>
      <c r="H63">
        <v>76</v>
      </c>
    </row>
    <row r="64" spans="1:8">
      <c r="A64">
        <v>62</v>
      </c>
      <c r="B64">
        <v>63</v>
      </c>
      <c r="C64">
        <v>0.2273</v>
      </c>
      <c r="D64">
        <v>0.3</v>
      </c>
      <c r="E64">
        <v>0.22389999999999999</v>
      </c>
      <c r="F64">
        <v>11</v>
      </c>
      <c r="G64">
        <v>146</v>
      </c>
      <c r="H64">
        <v>157</v>
      </c>
    </row>
    <row r="65" spans="1:8">
      <c r="A65">
        <v>63</v>
      </c>
      <c r="B65">
        <v>64</v>
      </c>
      <c r="C65">
        <v>0.2576</v>
      </c>
      <c r="D65">
        <v>0.32</v>
      </c>
      <c r="E65">
        <v>0.1045</v>
      </c>
      <c r="F65">
        <v>9</v>
      </c>
      <c r="G65">
        <v>148</v>
      </c>
      <c r="H65">
        <v>157</v>
      </c>
    </row>
    <row r="66" spans="1:8">
      <c r="A66">
        <v>64</v>
      </c>
      <c r="B66">
        <v>65</v>
      </c>
      <c r="C66">
        <v>0.2576</v>
      </c>
      <c r="D66">
        <v>0.47</v>
      </c>
      <c r="E66">
        <v>0</v>
      </c>
      <c r="F66">
        <v>8</v>
      </c>
      <c r="G66">
        <v>102</v>
      </c>
      <c r="H66">
        <v>110</v>
      </c>
    </row>
    <row r="67" spans="1:8">
      <c r="A67">
        <v>65</v>
      </c>
      <c r="B67">
        <v>66</v>
      </c>
      <c r="D67">
        <v>0.47</v>
      </c>
      <c r="E67">
        <v>0.1045</v>
      </c>
      <c r="F67">
        <v>3</v>
      </c>
      <c r="G67">
        <v>49</v>
      </c>
      <c r="H67">
        <v>52</v>
      </c>
    </row>
    <row r="68" spans="1:8">
      <c r="A68">
        <v>66</v>
      </c>
      <c r="B68">
        <v>67</v>
      </c>
      <c r="C68">
        <v>0.19700000000000001</v>
      </c>
      <c r="D68">
        <v>0.64</v>
      </c>
      <c r="E68">
        <v>0.1343</v>
      </c>
      <c r="F68">
        <v>3</v>
      </c>
      <c r="G68">
        <v>49</v>
      </c>
      <c r="H68">
        <v>52</v>
      </c>
    </row>
    <row r="69" spans="1:8">
      <c r="A69">
        <v>67</v>
      </c>
      <c r="B69">
        <v>68</v>
      </c>
      <c r="C69">
        <v>0.1515</v>
      </c>
      <c r="D69">
        <v>0.69</v>
      </c>
      <c r="E69">
        <v>0.1343</v>
      </c>
      <c r="F69">
        <v>0</v>
      </c>
      <c r="G69">
        <v>20</v>
      </c>
      <c r="H69">
        <v>20</v>
      </c>
    </row>
    <row r="70" spans="1:8">
      <c r="A70">
        <v>68</v>
      </c>
      <c r="B70">
        <v>69</v>
      </c>
      <c r="C70">
        <v>0.21210000000000001</v>
      </c>
      <c r="D70">
        <v>0.55000000000000004</v>
      </c>
      <c r="E70">
        <v>0.1045</v>
      </c>
      <c r="F70">
        <v>1</v>
      </c>
      <c r="G70">
        <v>11</v>
      </c>
      <c r="H70">
        <v>12</v>
      </c>
    </row>
    <row r="71" spans="1:8">
      <c r="A71">
        <v>69</v>
      </c>
      <c r="B71">
        <v>70</v>
      </c>
      <c r="D71">
        <v>0.55000000000000004</v>
      </c>
      <c r="E71">
        <v>0.1045</v>
      </c>
      <c r="F71">
        <v>0</v>
      </c>
      <c r="G71">
        <v>5</v>
      </c>
      <c r="H71">
        <v>5</v>
      </c>
    </row>
    <row r="72" spans="1:8">
      <c r="A72">
        <v>70</v>
      </c>
      <c r="B72">
        <v>71</v>
      </c>
      <c r="C72">
        <v>0.18179999999999999</v>
      </c>
      <c r="D72">
        <v>0.59</v>
      </c>
      <c r="E72">
        <v>0.1045</v>
      </c>
      <c r="F72">
        <v>0</v>
      </c>
      <c r="G72">
        <v>2</v>
      </c>
      <c r="H72">
        <v>2</v>
      </c>
    </row>
    <row r="73" spans="1:8">
      <c r="A73">
        <v>71</v>
      </c>
      <c r="B73">
        <v>72</v>
      </c>
      <c r="C73">
        <v>0.1515</v>
      </c>
      <c r="D73">
        <v>0.63</v>
      </c>
      <c r="E73">
        <v>0.1343</v>
      </c>
      <c r="F73">
        <v>0</v>
      </c>
      <c r="G73">
        <v>1</v>
      </c>
      <c r="H73">
        <v>1</v>
      </c>
    </row>
    <row r="74" spans="1:8">
      <c r="A74">
        <v>72</v>
      </c>
      <c r="B74">
        <v>73</v>
      </c>
      <c r="C74">
        <v>0.18179999999999999</v>
      </c>
      <c r="D74">
        <v>0.63</v>
      </c>
      <c r="E74">
        <v>8.9599999999999999E-2</v>
      </c>
      <c r="F74">
        <v>0</v>
      </c>
      <c r="G74">
        <v>2</v>
      </c>
      <c r="H74">
        <v>2</v>
      </c>
    </row>
    <row r="75" spans="1:8">
      <c r="A75">
        <v>73</v>
      </c>
      <c r="B75">
        <v>74</v>
      </c>
      <c r="C75">
        <v>0.1515</v>
      </c>
      <c r="D75">
        <v>0.68</v>
      </c>
      <c r="E75">
        <v>0.1045</v>
      </c>
      <c r="F75">
        <v>0</v>
      </c>
      <c r="G75">
        <v>4</v>
      </c>
      <c r="H75">
        <v>4</v>
      </c>
    </row>
    <row r="76" spans="1:8">
      <c r="A76">
        <v>74</v>
      </c>
      <c r="B76">
        <v>75</v>
      </c>
      <c r="C76">
        <v>0.1515</v>
      </c>
      <c r="D76">
        <v>0.74</v>
      </c>
      <c r="E76">
        <v>0.1045</v>
      </c>
      <c r="F76">
        <v>0</v>
      </c>
      <c r="G76">
        <v>36</v>
      </c>
      <c r="H76">
        <v>36</v>
      </c>
    </row>
    <row r="77" spans="1:8">
      <c r="A77">
        <v>75</v>
      </c>
      <c r="B77">
        <v>76</v>
      </c>
      <c r="C77">
        <v>0.1515</v>
      </c>
      <c r="D77">
        <v>0.74</v>
      </c>
      <c r="E77">
        <v>0.1343</v>
      </c>
      <c r="F77">
        <v>2</v>
      </c>
      <c r="G77">
        <v>92</v>
      </c>
      <c r="H77">
        <v>94</v>
      </c>
    </row>
    <row r="78" spans="1:8">
      <c r="A78">
        <v>76</v>
      </c>
      <c r="B78">
        <v>77</v>
      </c>
      <c r="C78">
        <v>0.1515</v>
      </c>
      <c r="D78">
        <v>0.69</v>
      </c>
      <c r="E78">
        <v>0.16420000000000001</v>
      </c>
      <c r="F78">
        <v>2</v>
      </c>
      <c r="G78">
        <v>177</v>
      </c>
      <c r="H78">
        <v>179</v>
      </c>
    </row>
    <row r="79" spans="1:8">
      <c r="A79">
        <v>77</v>
      </c>
      <c r="B79">
        <v>78</v>
      </c>
      <c r="C79">
        <v>0.1515</v>
      </c>
      <c r="D79">
        <v>0.64</v>
      </c>
      <c r="E79">
        <v>0.22389999999999999</v>
      </c>
      <c r="F79">
        <v>2</v>
      </c>
      <c r="G79">
        <v>98</v>
      </c>
      <c r="H79">
        <v>100</v>
      </c>
    </row>
    <row r="80" spans="1:8">
      <c r="A80">
        <v>78</v>
      </c>
      <c r="B80">
        <v>79</v>
      </c>
      <c r="C80">
        <v>0.13639999999999999</v>
      </c>
      <c r="D80">
        <v>0.69</v>
      </c>
      <c r="E80">
        <v>0.32840000000000003</v>
      </c>
      <c r="F80">
        <v>5</v>
      </c>
      <c r="G80">
        <v>37</v>
      </c>
      <c r="H80">
        <v>42</v>
      </c>
    </row>
    <row r="81" spans="1:8">
      <c r="A81">
        <v>79</v>
      </c>
      <c r="B81">
        <v>80</v>
      </c>
      <c r="C81">
        <v>0.21210000000000001</v>
      </c>
      <c r="D81">
        <v>0.51</v>
      </c>
      <c r="E81">
        <v>0.29849999999999999</v>
      </c>
      <c r="F81">
        <v>7</v>
      </c>
      <c r="G81">
        <v>50</v>
      </c>
      <c r="H81">
        <v>57</v>
      </c>
    </row>
    <row r="82" spans="1:8">
      <c r="A82">
        <v>80</v>
      </c>
      <c r="B82">
        <v>81</v>
      </c>
      <c r="C82">
        <v>0.2273</v>
      </c>
      <c r="D82">
        <v>0.51</v>
      </c>
      <c r="E82">
        <v>0.16420000000000001</v>
      </c>
      <c r="F82">
        <v>12</v>
      </c>
      <c r="G82">
        <v>66</v>
      </c>
      <c r="H82">
        <v>78</v>
      </c>
    </row>
    <row r="83" spans="1:8">
      <c r="A83">
        <v>81</v>
      </c>
      <c r="B83">
        <v>82</v>
      </c>
      <c r="C83">
        <v>0.2273</v>
      </c>
      <c r="D83">
        <v>0.56000000000000005</v>
      </c>
      <c r="E83">
        <v>0.19400000000000001</v>
      </c>
      <c r="F83">
        <v>18</v>
      </c>
      <c r="G83">
        <v>79</v>
      </c>
      <c r="H83">
        <v>97</v>
      </c>
    </row>
    <row r="84" spans="1:8">
      <c r="A84">
        <v>82</v>
      </c>
      <c r="B84">
        <v>83</v>
      </c>
      <c r="C84">
        <v>0.2576</v>
      </c>
      <c r="D84">
        <v>0.52</v>
      </c>
      <c r="E84">
        <v>0.22389999999999999</v>
      </c>
      <c r="F84">
        <v>9</v>
      </c>
      <c r="G84">
        <v>54</v>
      </c>
      <c r="H84">
        <v>63</v>
      </c>
    </row>
    <row r="85" spans="1:8">
      <c r="A85">
        <v>83</v>
      </c>
      <c r="B85">
        <v>84</v>
      </c>
      <c r="C85">
        <v>0.2727</v>
      </c>
      <c r="D85">
        <v>0.52</v>
      </c>
      <c r="E85">
        <v>0.25369999999999998</v>
      </c>
      <c r="F85">
        <v>17</v>
      </c>
      <c r="G85">
        <v>48</v>
      </c>
      <c r="H85">
        <v>65</v>
      </c>
    </row>
    <row r="86" spans="1:8">
      <c r="A86">
        <v>84</v>
      </c>
      <c r="B86">
        <v>85</v>
      </c>
      <c r="C86">
        <v>0.28789999999999999</v>
      </c>
      <c r="D86">
        <v>0.49</v>
      </c>
      <c r="E86">
        <v>0.25369999999999998</v>
      </c>
      <c r="F86">
        <v>15</v>
      </c>
      <c r="G86">
        <v>68</v>
      </c>
      <c r="H86">
        <v>83</v>
      </c>
    </row>
    <row r="87" spans="1:8">
      <c r="A87">
        <v>85</v>
      </c>
      <c r="B87">
        <v>86</v>
      </c>
      <c r="C87">
        <v>0.2727</v>
      </c>
      <c r="D87">
        <v>0.48</v>
      </c>
      <c r="E87">
        <v>0.22389999999999999</v>
      </c>
      <c r="F87">
        <v>10</v>
      </c>
      <c r="G87">
        <v>202</v>
      </c>
      <c r="H87">
        <v>212</v>
      </c>
    </row>
    <row r="88" spans="1:8">
      <c r="A88">
        <v>86</v>
      </c>
      <c r="B88">
        <v>87</v>
      </c>
      <c r="C88">
        <v>0.2576</v>
      </c>
      <c r="D88">
        <v>0.48</v>
      </c>
      <c r="E88">
        <v>0.19400000000000001</v>
      </c>
      <c r="F88">
        <v>3</v>
      </c>
      <c r="G88">
        <v>179</v>
      </c>
      <c r="H88">
        <v>182</v>
      </c>
    </row>
    <row r="89" spans="1:8">
      <c r="A89">
        <v>87</v>
      </c>
      <c r="B89">
        <v>88</v>
      </c>
      <c r="C89">
        <v>0.2576</v>
      </c>
      <c r="D89">
        <v>0.48</v>
      </c>
      <c r="E89">
        <v>0.1045</v>
      </c>
      <c r="F89">
        <v>2</v>
      </c>
      <c r="G89">
        <v>110</v>
      </c>
      <c r="H89">
        <v>112</v>
      </c>
    </row>
    <row r="90" spans="1:8">
      <c r="A90">
        <v>88</v>
      </c>
      <c r="B90">
        <v>89</v>
      </c>
      <c r="C90">
        <v>0.2576</v>
      </c>
      <c r="D90">
        <v>0.48</v>
      </c>
      <c r="E90">
        <v>0.1045</v>
      </c>
      <c r="F90">
        <v>1</v>
      </c>
      <c r="G90">
        <v>53</v>
      </c>
      <c r="H90">
        <v>54</v>
      </c>
    </row>
    <row r="91" spans="1:8">
      <c r="A91">
        <v>89</v>
      </c>
      <c r="B91">
        <v>90</v>
      </c>
      <c r="C91">
        <v>0.2727</v>
      </c>
      <c r="D91">
        <v>0.64</v>
      </c>
      <c r="E91">
        <v>0</v>
      </c>
      <c r="F91">
        <v>0</v>
      </c>
      <c r="G91">
        <v>48</v>
      </c>
      <c r="H91">
        <v>48</v>
      </c>
    </row>
    <row r="92" spans="1:8">
      <c r="A92">
        <v>90</v>
      </c>
      <c r="B92">
        <v>91</v>
      </c>
      <c r="C92">
        <v>0.2576</v>
      </c>
      <c r="D92">
        <v>0.64</v>
      </c>
      <c r="E92">
        <v>8.9599999999999999E-2</v>
      </c>
      <c r="F92">
        <v>1</v>
      </c>
      <c r="G92">
        <v>34</v>
      </c>
      <c r="H92">
        <v>35</v>
      </c>
    </row>
    <row r="93" spans="1:8">
      <c r="A93">
        <v>91</v>
      </c>
      <c r="B93">
        <v>92</v>
      </c>
      <c r="C93">
        <v>0.2273</v>
      </c>
      <c r="D93">
        <v>0.69</v>
      </c>
      <c r="E93">
        <v>8.9599999999999999E-2</v>
      </c>
      <c r="F93">
        <v>2</v>
      </c>
      <c r="G93">
        <v>9</v>
      </c>
      <c r="H93">
        <v>11</v>
      </c>
    </row>
    <row r="94" spans="1:8">
      <c r="A94">
        <v>92</v>
      </c>
      <c r="B94">
        <v>93</v>
      </c>
      <c r="C94">
        <v>0.2576</v>
      </c>
      <c r="D94">
        <v>0.64</v>
      </c>
      <c r="E94">
        <v>0</v>
      </c>
      <c r="F94">
        <v>0</v>
      </c>
      <c r="G94">
        <v>6</v>
      </c>
      <c r="H94">
        <v>6</v>
      </c>
    </row>
    <row r="95" spans="1:8">
      <c r="A95">
        <v>93</v>
      </c>
      <c r="B95">
        <v>94</v>
      </c>
      <c r="C95">
        <v>0.19700000000000001</v>
      </c>
      <c r="D95">
        <v>0.74</v>
      </c>
      <c r="E95">
        <v>8.9599999999999999E-2</v>
      </c>
      <c r="F95">
        <v>0</v>
      </c>
      <c r="G95">
        <v>6</v>
      </c>
      <c r="H95">
        <v>6</v>
      </c>
    </row>
    <row r="96" spans="1:8">
      <c r="A96">
        <v>94</v>
      </c>
      <c r="B96">
        <v>95</v>
      </c>
      <c r="C96">
        <v>0.19700000000000001</v>
      </c>
      <c r="D96">
        <v>0.74</v>
      </c>
      <c r="E96">
        <v>8.9599999999999999E-2</v>
      </c>
      <c r="F96">
        <v>0</v>
      </c>
      <c r="G96">
        <v>2</v>
      </c>
      <c r="H96">
        <v>2</v>
      </c>
    </row>
    <row r="97" spans="1:8">
      <c r="A97">
        <v>95</v>
      </c>
      <c r="B97">
        <v>96</v>
      </c>
      <c r="C97">
        <v>0.2273</v>
      </c>
      <c r="D97">
        <v>0.48</v>
      </c>
      <c r="E97">
        <v>0.22389999999999999</v>
      </c>
      <c r="F97">
        <v>0</v>
      </c>
      <c r="G97">
        <v>2</v>
      </c>
      <c r="H97">
        <v>2</v>
      </c>
    </row>
    <row r="98" spans="1:8">
      <c r="A98">
        <v>96</v>
      </c>
      <c r="B98">
        <v>97</v>
      </c>
      <c r="C98">
        <v>0.2273</v>
      </c>
      <c r="D98">
        <v>0.47</v>
      </c>
      <c r="E98">
        <v>0.16420000000000001</v>
      </c>
      <c r="F98">
        <v>0</v>
      </c>
      <c r="G98">
        <v>3</v>
      </c>
      <c r="H98">
        <v>3</v>
      </c>
    </row>
    <row r="99" spans="1:8">
      <c r="A99">
        <v>97</v>
      </c>
      <c r="B99">
        <v>98</v>
      </c>
      <c r="C99">
        <v>0.19700000000000001</v>
      </c>
      <c r="D99">
        <v>0.47</v>
      </c>
      <c r="E99">
        <v>0.22389999999999999</v>
      </c>
      <c r="F99">
        <v>0</v>
      </c>
      <c r="G99">
        <v>33</v>
      </c>
      <c r="H99">
        <v>33</v>
      </c>
    </row>
    <row r="100" spans="1:8">
      <c r="A100">
        <v>98</v>
      </c>
      <c r="B100">
        <v>99</v>
      </c>
      <c r="C100">
        <v>0.18179999999999999</v>
      </c>
      <c r="D100">
        <v>0.43</v>
      </c>
      <c r="E100">
        <v>0.19400000000000001</v>
      </c>
      <c r="F100">
        <v>1</v>
      </c>
      <c r="G100">
        <v>87</v>
      </c>
      <c r="H100">
        <v>88</v>
      </c>
    </row>
    <row r="101" spans="1:8">
      <c r="A101">
        <v>99</v>
      </c>
      <c r="B101">
        <v>100</v>
      </c>
      <c r="C101">
        <v>0.18179999999999999</v>
      </c>
      <c r="D101">
        <v>0.4</v>
      </c>
      <c r="E101">
        <v>0.29849999999999999</v>
      </c>
      <c r="F101">
        <v>3</v>
      </c>
      <c r="G101">
        <v>192</v>
      </c>
      <c r="H101">
        <v>195</v>
      </c>
    </row>
    <row r="102" spans="1:8">
      <c r="A102">
        <v>100</v>
      </c>
      <c r="B102">
        <v>101</v>
      </c>
      <c r="C102">
        <v>0.19700000000000001</v>
      </c>
      <c r="D102">
        <v>0.37</v>
      </c>
      <c r="E102">
        <v>0.32840000000000003</v>
      </c>
      <c r="F102">
        <v>6</v>
      </c>
      <c r="G102">
        <v>109</v>
      </c>
      <c r="H102">
        <v>115</v>
      </c>
    </row>
    <row r="103" spans="1:8">
      <c r="A103">
        <v>101</v>
      </c>
      <c r="B103">
        <v>102</v>
      </c>
      <c r="C103">
        <v>0.19700000000000001</v>
      </c>
      <c r="D103">
        <v>0.37</v>
      </c>
      <c r="E103">
        <v>0.32840000000000003</v>
      </c>
      <c r="F103">
        <v>4</v>
      </c>
      <c r="G103">
        <v>53</v>
      </c>
      <c r="H103">
        <v>57</v>
      </c>
    </row>
    <row r="104" spans="1:8">
      <c r="A104">
        <v>102</v>
      </c>
      <c r="B104">
        <v>103</v>
      </c>
      <c r="C104">
        <v>0.2273</v>
      </c>
      <c r="D104">
        <v>0.33</v>
      </c>
      <c r="E104">
        <v>0.32840000000000003</v>
      </c>
      <c r="F104">
        <v>12</v>
      </c>
      <c r="G104">
        <v>34</v>
      </c>
      <c r="H104">
        <v>46</v>
      </c>
    </row>
    <row r="105" spans="1:8">
      <c r="A105">
        <v>103</v>
      </c>
      <c r="B105">
        <v>104</v>
      </c>
      <c r="C105">
        <v>0.2273</v>
      </c>
      <c r="D105">
        <v>0.33</v>
      </c>
      <c r="E105">
        <v>0.32840000000000003</v>
      </c>
      <c r="F105">
        <v>5</v>
      </c>
      <c r="G105">
        <v>74</v>
      </c>
      <c r="H105">
        <v>79</v>
      </c>
    </row>
    <row r="106" spans="1:8">
      <c r="A106">
        <v>104</v>
      </c>
      <c r="B106">
        <v>105</v>
      </c>
      <c r="C106">
        <v>0.2576</v>
      </c>
      <c r="D106">
        <v>0.3</v>
      </c>
      <c r="E106">
        <v>0.29849999999999999</v>
      </c>
      <c r="F106">
        <v>6</v>
      </c>
      <c r="G106">
        <v>65</v>
      </c>
      <c r="H106">
        <v>71</v>
      </c>
    </row>
    <row r="107" spans="1:8">
      <c r="A107">
        <v>105</v>
      </c>
      <c r="B107">
        <v>106</v>
      </c>
      <c r="C107">
        <v>0.28789999999999999</v>
      </c>
      <c r="D107">
        <v>0.28000000000000003</v>
      </c>
      <c r="E107">
        <v>0.19400000000000001</v>
      </c>
      <c r="F107">
        <v>10</v>
      </c>
      <c r="G107">
        <v>52</v>
      </c>
      <c r="H107">
        <v>62</v>
      </c>
    </row>
    <row r="108" spans="1:8">
      <c r="A108">
        <v>106</v>
      </c>
      <c r="B108">
        <v>107</v>
      </c>
      <c r="C108">
        <v>0.28789999999999999</v>
      </c>
      <c r="D108">
        <v>0.28000000000000003</v>
      </c>
      <c r="E108">
        <v>0.19400000000000001</v>
      </c>
      <c r="F108">
        <v>7</v>
      </c>
      <c r="G108">
        <v>55</v>
      </c>
      <c r="H108">
        <v>62</v>
      </c>
    </row>
    <row r="109" spans="1:8">
      <c r="A109">
        <v>107</v>
      </c>
      <c r="B109">
        <v>108</v>
      </c>
      <c r="C109">
        <v>0.31819999999999998</v>
      </c>
      <c r="D109">
        <v>0.28000000000000003</v>
      </c>
      <c r="E109">
        <v>8.9599999999999999E-2</v>
      </c>
      <c r="F109">
        <v>4</v>
      </c>
      <c r="G109">
        <v>85</v>
      </c>
      <c r="H109">
        <v>89</v>
      </c>
    </row>
    <row r="110" spans="1:8">
      <c r="A110">
        <v>108</v>
      </c>
      <c r="B110">
        <v>109</v>
      </c>
      <c r="C110">
        <v>0.2273</v>
      </c>
      <c r="D110">
        <v>0.38</v>
      </c>
      <c r="E110">
        <v>0.19400000000000001</v>
      </c>
      <c r="F110">
        <v>4</v>
      </c>
      <c r="G110">
        <v>186</v>
      </c>
      <c r="H110">
        <v>190</v>
      </c>
    </row>
    <row r="111" spans="1:8">
      <c r="A111">
        <v>109</v>
      </c>
      <c r="B111">
        <v>110</v>
      </c>
      <c r="C111">
        <v>0.2424</v>
      </c>
      <c r="D111">
        <v>0.38</v>
      </c>
      <c r="E111">
        <v>0.1343</v>
      </c>
      <c r="F111">
        <v>3</v>
      </c>
      <c r="G111">
        <v>166</v>
      </c>
      <c r="H111">
        <v>169</v>
      </c>
    </row>
    <row r="112" spans="1:8">
      <c r="A112">
        <v>110</v>
      </c>
      <c r="B112">
        <v>111</v>
      </c>
      <c r="C112">
        <v>0.2576</v>
      </c>
      <c r="D112">
        <v>0.38</v>
      </c>
      <c r="E112">
        <v>0.1045</v>
      </c>
      <c r="F112">
        <v>5</v>
      </c>
      <c r="G112">
        <v>127</v>
      </c>
      <c r="H112">
        <v>132</v>
      </c>
    </row>
    <row r="113" spans="1:8">
      <c r="A113">
        <v>111</v>
      </c>
      <c r="B113">
        <v>112</v>
      </c>
      <c r="C113">
        <v>0.2273</v>
      </c>
      <c r="D113">
        <v>0.47</v>
      </c>
      <c r="E113">
        <v>0.16420000000000001</v>
      </c>
      <c r="F113">
        <v>7</v>
      </c>
      <c r="G113">
        <v>82</v>
      </c>
      <c r="H113">
        <v>89</v>
      </c>
    </row>
    <row r="114" spans="1:8">
      <c r="A114">
        <v>112</v>
      </c>
      <c r="B114">
        <v>113</v>
      </c>
      <c r="C114">
        <v>0.19700000000000001</v>
      </c>
      <c r="D114">
        <v>0.51</v>
      </c>
      <c r="E114">
        <v>0.19400000000000001</v>
      </c>
      <c r="F114">
        <v>3</v>
      </c>
      <c r="G114">
        <v>40</v>
      </c>
      <c r="H114">
        <v>43</v>
      </c>
    </row>
    <row r="115" spans="1:8">
      <c r="A115">
        <v>113</v>
      </c>
      <c r="B115">
        <v>114</v>
      </c>
      <c r="C115">
        <v>0.19700000000000001</v>
      </c>
      <c r="D115">
        <v>0.55000000000000004</v>
      </c>
      <c r="E115">
        <v>0.1343</v>
      </c>
      <c r="F115">
        <v>1</v>
      </c>
      <c r="G115">
        <v>41</v>
      </c>
      <c r="H115">
        <v>42</v>
      </c>
    </row>
    <row r="116" spans="1:8">
      <c r="A116">
        <v>114</v>
      </c>
      <c r="B116">
        <v>115</v>
      </c>
      <c r="C116">
        <v>0.2576</v>
      </c>
      <c r="D116">
        <v>0.47</v>
      </c>
      <c r="E116">
        <v>0</v>
      </c>
      <c r="F116">
        <v>1</v>
      </c>
      <c r="G116">
        <v>18</v>
      </c>
      <c r="H116">
        <v>19</v>
      </c>
    </row>
    <row r="117" spans="1:8">
      <c r="A117">
        <v>115</v>
      </c>
      <c r="B117">
        <v>116</v>
      </c>
      <c r="C117">
        <v>0.2424</v>
      </c>
      <c r="D117">
        <v>0.55000000000000004</v>
      </c>
      <c r="E117">
        <v>0</v>
      </c>
      <c r="F117">
        <v>0</v>
      </c>
      <c r="G117">
        <v>11</v>
      </c>
      <c r="H117">
        <v>11</v>
      </c>
    </row>
    <row r="118" spans="1:8">
      <c r="A118">
        <v>116</v>
      </c>
      <c r="B118">
        <v>117</v>
      </c>
      <c r="C118">
        <v>0.2273</v>
      </c>
      <c r="D118">
        <v>0.64</v>
      </c>
      <c r="E118">
        <v>0</v>
      </c>
      <c r="F118">
        <v>0</v>
      </c>
      <c r="G118">
        <v>4</v>
      </c>
      <c r="H118">
        <v>4</v>
      </c>
    </row>
    <row r="119" spans="1:8">
      <c r="A119">
        <v>117</v>
      </c>
      <c r="B119">
        <v>118</v>
      </c>
      <c r="C119">
        <v>0.2273</v>
      </c>
      <c r="D119">
        <v>0.64</v>
      </c>
      <c r="E119">
        <v>0</v>
      </c>
      <c r="F119">
        <v>0</v>
      </c>
      <c r="G119">
        <v>2</v>
      </c>
      <c r="H119">
        <v>2</v>
      </c>
    </row>
    <row r="120" spans="1:8">
      <c r="A120">
        <v>118</v>
      </c>
      <c r="B120">
        <v>119</v>
      </c>
      <c r="C120">
        <v>0.19700000000000001</v>
      </c>
      <c r="D120">
        <v>0.64</v>
      </c>
      <c r="E120">
        <v>8.9599999999999999E-2</v>
      </c>
      <c r="F120">
        <v>0</v>
      </c>
      <c r="G120">
        <v>1</v>
      </c>
      <c r="H120">
        <v>1</v>
      </c>
    </row>
    <row r="121" spans="1:8">
      <c r="A121">
        <v>119</v>
      </c>
      <c r="B121">
        <v>120</v>
      </c>
      <c r="C121">
        <v>0.18179999999999999</v>
      </c>
      <c r="D121">
        <v>0.69</v>
      </c>
      <c r="E121">
        <v>8.9599999999999999E-2</v>
      </c>
      <c r="F121">
        <v>0</v>
      </c>
      <c r="G121">
        <v>4</v>
      </c>
      <c r="H121">
        <v>4</v>
      </c>
    </row>
    <row r="122" spans="1:8">
      <c r="A122">
        <v>120</v>
      </c>
      <c r="B122">
        <v>121</v>
      </c>
      <c r="C122">
        <v>0.16669999999999999</v>
      </c>
      <c r="D122">
        <v>0.63</v>
      </c>
      <c r="E122">
        <v>0.1045</v>
      </c>
      <c r="F122">
        <v>0</v>
      </c>
      <c r="G122">
        <v>36</v>
      </c>
      <c r="H122">
        <v>36</v>
      </c>
    </row>
    <row r="123" spans="1:8">
      <c r="A123">
        <v>121</v>
      </c>
      <c r="B123">
        <v>122</v>
      </c>
      <c r="C123">
        <v>0.2273</v>
      </c>
      <c r="D123">
        <v>0.59</v>
      </c>
      <c r="E123">
        <v>0</v>
      </c>
      <c r="F123">
        <v>0</v>
      </c>
      <c r="G123">
        <v>95</v>
      </c>
      <c r="H123">
        <v>95</v>
      </c>
    </row>
    <row r="124" spans="1:8">
      <c r="A124">
        <v>122</v>
      </c>
      <c r="B124">
        <v>123</v>
      </c>
      <c r="C124">
        <v>0.2273</v>
      </c>
      <c r="D124">
        <v>0.59</v>
      </c>
      <c r="E124">
        <v>0</v>
      </c>
      <c r="F124">
        <v>3</v>
      </c>
      <c r="G124">
        <v>216</v>
      </c>
      <c r="H124">
        <v>219</v>
      </c>
    </row>
    <row r="125" spans="1:8">
      <c r="A125">
        <v>123</v>
      </c>
      <c r="B125">
        <v>124</v>
      </c>
      <c r="C125">
        <v>0.2424</v>
      </c>
      <c r="D125">
        <v>0.51</v>
      </c>
      <c r="E125">
        <v>0</v>
      </c>
      <c r="F125">
        <v>6</v>
      </c>
      <c r="G125">
        <v>116</v>
      </c>
      <c r="H125">
        <v>122</v>
      </c>
    </row>
    <row r="126" spans="1:8">
      <c r="A126">
        <v>124</v>
      </c>
      <c r="B126">
        <v>125</v>
      </c>
      <c r="C126">
        <v>0.2576</v>
      </c>
      <c r="D126">
        <v>0.47</v>
      </c>
      <c r="E126">
        <v>0</v>
      </c>
      <c r="F126">
        <v>3</v>
      </c>
      <c r="G126">
        <v>42</v>
      </c>
      <c r="H126">
        <v>45</v>
      </c>
    </row>
    <row r="127" spans="1:8">
      <c r="A127">
        <v>125</v>
      </c>
      <c r="B127">
        <v>126</v>
      </c>
      <c r="C127">
        <v>0.2576</v>
      </c>
      <c r="D127">
        <v>0.44</v>
      </c>
      <c r="E127">
        <v>8.9599999999999999E-2</v>
      </c>
      <c r="F127">
        <v>2</v>
      </c>
      <c r="G127">
        <v>57</v>
      </c>
      <c r="H127">
        <v>59</v>
      </c>
    </row>
    <row r="128" spans="1:8">
      <c r="A128">
        <v>126</v>
      </c>
      <c r="B128">
        <v>127</v>
      </c>
      <c r="C128">
        <v>0.28789999999999999</v>
      </c>
      <c r="D128">
        <v>0.35</v>
      </c>
      <c r="E128">
        <v>0</v>
      </c>
      <c r="F128">
        <v>6</v>
      </c>
      <c r="G128">
        <v>78</v>
      </c>
      <c r="H128">
        <v>84</v>
      </c>
    </row>
    <row r="129" spans="1:8">
      <c r="A129">
        <v>127</v>
      </c>
      <c r="B129">
        <v>128</v>
      </c>
      <c r="C129">
        <v>0.2727</v>
      </c>
      <c r="D129">
        <v>0.35</v>
      </c>
      <c r="E129">
        <v>0.1045</v>
      </c>
      <c r="F129">
        <v>12</v>
      </c>
      <c r="G129">
        <v>55</v>
      </c>
      <c r="H129">
        <v>67</v>
      </c>
    </row>
    <row r="130" spans="1:8">
      <c r="A130">
        <v>128</v>
      </c>
      <c r="B130">
        <v>129</v>
      </c>
      <c r="C130">
        <v>0.2727</v>
      </c>
      <c r="D130">
        <v>0.36</v>
      </c>
      <c r="E130">
        <v>0.16420000000000001</v>
      </c>
      <c r="F130">
        <v>11</v>
      </c>
      <c r="G130">
        <v>59</v>
      </c>
      <c r="H130">
        <v>70</v>
      </c>
    </row>
    <row r="131" spans="1:8">
      <c r="A131">
        <v>129</v>
      </c>
      <c r="B131">
        <v>130</v>
      </c>
      <c r="C131">
        <v>0.2727</v>
      </c>
      <c r="D131">
        <v>0.36</v>
      </c>
      <c r="E131">
        <v>0</v>
      </c>
      <c r="F131">
        <v>8</v>
      </c>
      <c r="G131">
        <v>54</v>
      </c>
      <c r="H131">
        <v>62</v>
      </c>
    </row>
    <row r="132" spans="1:8">
      <c r="A132">
        <v>130</v>
      </c>
      <c r="B132">
        <v>131</v>
      </c>
      <c r="C132">
        <v>0.2576</v>
      </c>
      <c r="D132">
        <v>0.38</v>
      </c>
      <c r="E132">
        <v>0.16420000000000001</v>
      </c>
      <c r="F132">
        <v>12</v>
      </c>
      <c r="G132">
        <v>74</v>
      </c>
      <c r="H132">
        <v>86</v>
      </c>
    </row>
    <row r="133" spans="1:8">
      <c r="A133">
        <v>131</v>
      </c>
      <c r="B133">
        <v>132</v>
      </c>
      <c r="C133">
        <v>0.2273</v>
      </c>
      <c r="D133">
        <v>0.51</v>
      </c>
      <c r="E133">
        <v>0.16420000000000001</v>
      </c>
      <c r="F133">
        <v>9</v>
      </c>
      <c r="G133">
        <v>163</v>
      </c>
      <c r="H133">
        <v>172</v>
      </c>
    </row>
    <row r="134" spans="1:8">
      <c r="A134">
        <v>132</v>
      </c>
      <c r="B134">
        <v>133</v>
      </c>
      <c r="C134">
        <v>0.2273</v>
      </c>
      <c r="D134">
        <v>0.51</v>
      </c>
      <c r="E134">
        <v>0.1343</v>
      </c>
      <c r="F134">
        <v>5</v>
      </c>
      <c r="G134">
        <v>158</v>
      </c>
      <c r="H134">
        <v>163</v>
      </c>
    </row>
    <row r="135" spans="1:8">
      <c r="A135">
        <v>133</v>
      </c>
      <c r="B135">
        <v>134</v>
      </c>
      <c r="C135">
        <v>0.2576</v>
      </c>
      <c r="D135">
        <v>0.55000000000000004</v>
      </c>
      <c r="E135">
        <v>8.9599999999999999E-2</v>
      </c>
      <c r="F135">
        <v>3</v>
      </c>
      <c r="G135">
        <v>109</v>
      </c>
      <c r="H135">
        <v>112</v>
      </c>
    </row>
    <row r="136" spans="1:8">
      <c r="A136">
        <v>134</v>
      </c>
      <c r="B136">
        <v>135</v>
      </c>
      <c r="C136">
        <v>0.21210000000000001</v>
      </c>
      <c r="D136">
        <v>0.51</v>
      </c>
      <c r="E136">
        <v>0.16420000000000001</v>
      </c>
      <c r="F136">
        <v>3</v>
      </c>
      <c r="G136">
        <v>66</v>
      </c>
      <c r="H136">
        <v>69</v>
      </c>
    </row>
    <row r="137" spans="1:8">
      <c r="A137">
        <v>135</v>
      </c>
      <c r="B137">
        <v>136</v>
      </c>
      <c r="C137">
        <v>0.21210000000000001</v>
      </c>
      <c r="D137">
        <v>0.55000000000000004</v>
      </c>
      <c r="E137">
        <v>0.22389999999999999</v>
      </c>
      <c r="F137">
        <v>0</v>
      </c>
      <c r="G137">
        <v>48</v>
      </c>
      <c r="H137">
        <v>48</v>
      </c>
    </row>
    <row r="138" spans="1:8">
      <c r="A138">
        <v>136</v>
      </c>
      <c r="B138">
        <v>137</v>
      </c>
      <c r="C138">
        <v>0.21210000000000001</v>
      </c>
      <c r="D138">
        <v>0.51</v>
      </c>
      <c r="E138">
        <v>0.28360000000000002</v>
      </c>
      <c r="F138">
        <v>1</v>
      </c>
      <c r="G138">
        <v>51</v>
      </c>
      <c r="H138">
        <v>52</v>
      </c>
    </row>
    <row r="139" spans="1:8">
      <c r="A139">
        <v>137</v>
      </c>
      <c r="B139">
        <v>138</v>
      </c>
      <c r="C139">
        <v>0.19700000000000001</v>
      </c>
      <c r="D139">
        <v>0.59</v>
      </c>
      <c r="E139">
        <v>0.19400000000000001</v>
      </c>
      <c r="F139">
        <v>4</v>
      </c>
      <c r="G139">
        <v>19</v>
      </c>
      <c r="H139">
        <v>23</v>
      </c>
    </row>
    <row r="140" spans="1:8">
      <c r="A140">
        <v>138</v>
      </c>
      <c r="B140">
        <v>139</v>
      </c>
      <c r="C140">
        <v>0.19700000000000001</v>
      </c>
      <c r="D140">
        <v>0.64</v>
      </c>
      <c r="E140">
        <v>0.19400000000000001</v>
      </c>
      <c r="F140">
        <v>4</v>
      </c>
      <c r="G140">
        <v>13</v>
      </c>
      <c r="H140">
        <v>17</v>
      </c>
    </row>
    <row r="141" spans="1:8">
      <c r="A141">
        <v>139</v>
      </c>
      <c r="B141">
        <v>140</v>
      </c>
      <c r="C141">
        <v>0.19700000000000001</v>
      </c>
      <c r="D141">
        <v>0.69</v>
      </c>
      <c r="E141">
        <v>0.22389999999999999</v>
      </c>
      <c r="F141">
        <v>2</v>
      </c>
      <c r="G141">
        <v>5</v>
      </c>
      <c r="H141">
        <v>7</v>
      </c>
    </row>
    <row r="142" spans="1:8">
      <c r="A142">
        <v>140</v>
      </c>
      <c r="B142">
        <v>141</v>
      </c>
      <c r="C142">
        <v>0.19700000000000001</v>
      </c>
      <c r="D142">
        <v>0.69</v>
      </c>
      <c r="E142">
        <v>0.22389999999999999</v>
      </c>
      <c r="F142">
        <v>0</v>
      </c>
      <c r="G142">
        <v>1</v>
      </c>
      <c r="H142">
        <v>1</v>
      </c>
    </row>
    <row r="143" spans="1:8">
      <c r="A143">
        <v>141</v>
      </c>
      <c r="B143">
        <v>142</v>
      </c>
      <c r="C143">
        <v>0.21210000000000001</v>
      </c>
      <c r="D143">
        <v>0.69</v>
      </c>
      <c r="E143">
        <v>0.1343</v>
      </c>
      <c r="F143">
        <v>0</v>
      </c>
      <c r="G143">
        <v>1</v>
      </c>
      <c r="H143">
        <v>1</v>
      </c>
    </row>
    <row r="144" spans="1:8">
      <c r="A144">
        <v>142</v>
      </c>
      <c r="B144">
        <v>143</v>
      </c>
      <c r="C144">
        <v>0.2727</v>
      </c>
      <c r="D144">
        <v>0.55000000000000004</v>
      </c>
      <c r="E144">
        <v>0</v>
      </c>
      <c r="F144">
        <v>0</v>
      </c>
      <c r="G144">
        <v>5</v>
      </c>
      <c r="H144">
        <v>5</v>
      </c>
    </row>
    <row r="145" spans="1:8">
      <c r="A145">
        <v>143</v>
      </c>
      <c r="B145">
        <v>144</v>
      </c>
      <c r="C145">
        <v>0.2576</v>
      </c>
      <c r="D145">
        <v>0.69</v>
      </c>
      <c r="E145">
        <v>0</v>
      </c>
      <c r="F145">
        <v>8</v>
      </c>
      <c r="G145">
        <v>26</v>
      </c>
      <c r="H145">
        <v>34</v>
      </c>
    </row>
    <row r="146" spans="1:8">
      <c r="A146">
        <v>144</v>
      </c>
      <c r="B146">
        <v>145</v>
      </c>
      <c r="C146">
        <v>0.21210000000000001</v>
      </c>
      <c r="D146">
        <v>0.69</v>
      </c>
      <c r="E146">
        <v>0.1343</v>
      </c>
      <c r="F146">
        <v>8</v>
      </c>
      <c r="G146">
        <v>76</v>
      </c>
      <c r="H146">
        <v>84</v>
      </c>
    </row>
    <row r="147" spans="1:8">
      <c r="A147">
        <v>145</v>
      </c>
      <c r="B147">
        <v>146</v>
      </c>
      <c r="C147">
        <v>0.19700000000000001</v>
      </c>
      <c r="D147">
        <v>0.51</v>
      </c>
      <c r="E147">
        <v>0.25369999999999998</v>
      </c>
      <c r="F147">
        <v>20</v>
      </c>
      <c r="G147">
        <v>190</v>
      </c>
      <c r="H147">
        <v>210</v>
      </c>
    </row>
    <row r="148" spans="1:8">
      <c r="A148">
        <v>146</v>
      </c>
      <c r="B148">
        <v>147</v>
      </c>
      <c r="C148">
        <v>0.18179999999999999</v>
      </c>
      <c r="D148">
        <v>0.47</v>
      </c>
      <c r="E148">
        <v>0.29849999999999999</v>
      </c>
      <c r="F148">
        <v>9</v>
      </c>
      <c r="G148">
        <v>125</v>
      </c>
      <c r="H148">
        <v>134</v>
      </c>
    </row>
    <row r="149" spans="1:8">
      <c r="A149">
        <v>147</v>
      </c>
      <c r="B149">
        <v>148</v>
      </c>
      <c r="C149">
        <v>0.19700000000000001</v>
      </c>
      <c r="D149">
        <v>0.37</v>
      </c>
      <c r="E149">
        <v>0.32840000000000003</v>
      </c>
      <c r="F149">
        <v>16</v>
      </c>
      <c r="G149">
        <v>47</v>
      </c>
      <c r="H149">
        <v>63</v>
      </c>
    </row>
    <row r="150" spans="1:8">
      <c r="A150">
        <v>148</v>
      </c>
      <c r="B150">
        <v>149</v>
      </c>
      <c r="C150">
        <v>0.19700000000000001</v>
      </c>
      <c r="D150">
        <v>0.4</v>
      </c>
      <c r="E150">
        <v>0.22389999999999999</v>
      </c>
      <c r="F150">
        <v>19</v>
      </c>
      <c r="G150">
        <v>48</v>
      </c>
      <c r="H150">
        <v>67</v>
      </c>
    </row>
    <row r="151" spans="1:8">
      <c r="A151">
        <v>149</v>
      </c>
      <c r="B151">
        <v>150</v>
      </c>
      <c r="C151">
        <v>0.19700000000000001</v>
      </c>
      <c r="D151">
        <v>0.37</v>
      </c>
      <c r="E151">
        <v>0.25369999999999998</v>
      </c>
      <c r="F151">
        <v>9</v>
      </c>
      <c r="G151">
        <v>50</v>
      </c>
      <c r="H151">
        <v>59</v>
      </c>
    </row>
    <row r="152" spans="1:8">
      <c r="A152">
        <v>150</v>
      </c>
      <c r="B152">
        <v>151</v>
      </c>
      <c r="C152">
        <v>0.18179999999999999</v>
      </c>
      <c r="D152">
        <v>0.37</v>
      </c>
      <c r="E152">
        <v>0.28360000000000002</v>
      </c>
      <c r="F152">
        <v>9</v>
      </c>
      <c r="G152">
        <v>64</v>
      </c>
      <c r="H152">
        <v>73</v>
      </c>
    </row>
    <row r="153" spans="1:8">
      <c r="A153">
        <v>151</v>
      </c>
      <c r="B153">
        <v>152</v>
      </c>
      <c r="C153">
        <v>0.19700000000000001</v>
      </c>
      <c r="D153">
        <v>0.4</v>
      </c>
      <c r="E153">
        <v>0.25369999999999998</v>
      </c>
      <c r="F153">
        <v>7</v>
      </c>
      <c r="G153">
        <v>43</v>
      </c>
      <c r="H153">
        <v>50</v>
      </c>
    </row>
    <row r="154" spans="1:8">
      <c r="A154">
        <v>152</v>
      </c>
      <c r="B154">
        <v>153</v>
      </c>
      <c r="C154">
        <v>0.21210000000000001</v>
      </c>
      <c r="D154">
        <v>0.37</v>
      </c>
      <c r="E154">
        <v>0.16420000000000001</v>
      </c>
      <c r="F154">
        <v>9</v>
      </c>
      <c r="G154">
        <v>63</v>
      </c>
      <c r="H154">
        <v>72</v>
      </c>
    </row>
    <row r="155" spans="1:8">
      <c r="A155">
        <v>153</v>
      </c>
      <c r="B155">
        <v>154</v>
      </c>
      <c r="C155">
        <v>0.21210000000000001</v>
      </c>
      <c r="D155">
        <v>0.37</v>
      </c>
      <c r="E155">
        <v>0.16420000000000001</v>
      </c>
      <c r="F155">
        <v>5</v>
      </c>
      <c r="G155">
        <v>82</v>
      </c>
      <c r="H155">
        <v>87</v>
      </c>
    </row>
    <row r="156" spans="1:8">
      <c r="A156">
        <v>154</v>
      </c>
      <c r="B156">
        <v>155</v>
      </c>
      <c r="C156">
        <v>0.2576</v>
      </c>
      <c r="D156">
        <v>0.37</v>
      </c>
      <c r="E156">
        <v>0</v>
      </c>
      <c r="F156">
        <v>9</v>
      </c>
      <c r="G156">
        <v>178</v>
      </c>
      <c r="H156">
        <v>187</v>
      </c>
    </row>
    <row r="157" spans="1:8">
      <c r="A157">
        <v>155</v>
      </c>
      <c r="B157">
        <v>156</v>
      </c>
      <c r="C157">
        <v>0.2273</v>
      </c>
      <c r="D157">
        <v>0.4</v>
      </c>
      <c r="E157">
        <v>8.9599999999999999E-2</v>
      </c>
      <c r="F157">
        <v>7</v>
      </c>
      <c r="G157">
        <v>116</v>
      </c>
      <c r="H157">
        <v>123</v>
      </c>
    </row>
    <row r="158" spans="1:8">
      <c r="A158">
        <v>156</v>
      </c>
      <c r="B158">
        <v>157</v>
      </c>
      <c r="C158">
        <v>0.19700000000000001</v>
      </c>
      <c r="D158">
        <v>0.55000000000000004</v>
      </c>
      <c r="E158">
        <v>8.9599999999999999E-2</v>
      </c>
      <c r="F158">
        <v>3</v>
      </c>
      <c r="G158">
        <v>92</v>
      </c>
      <c r="H158">
        <v>95</v>
      </c>
    </row>
    <row r="159" spans="1:8">
      <c r="A159">
        <v>157</v>
      </c>
      <c r="B159">
        <v>158</v>
      </c>
      <c r="C159">
        <v>0.21210000000000001</v>
      </c>
      <c r="D159">
        <v>0.47</v>
      </c>
      <c r="E159">
        <v>0.1045</v>
      </c>
      <c r="F159">
        <v>1</v>
      </c>
      <c r="G159">
        <v>50</v>
      </c>
      <c r="H159">
        <v>51</v>
      </c>
    </row>
    <row r="160" spans="1:8">
      <c r="A160">
        <v>158</v>
      </c>
      <c r="B160">
        <v>159</v>
      </c>
      <c r="C160">
        <v>0.19700000000000001</v>
      </c>
      <c r="D160">
        <v>0.47</v>
      </c>
      <c r="E160">
        <v>0.1343</v>
      </c>
      <c r="F160">
        <v>0</v>
      </c>
      <c r="G160">
        <v>39</v>
      </c>
      <c r="H160">
        <v>39</v>
      </c>
    </row>
    <row r="161" spans="1:8">
      <c r="A161">
        <v>159</v>
      </c>
      <c r="B161">
        <v>160</v>
      </c>
      <c r="C161">
        <v>0.19700000000000001</v>
      </c>
      <c r="D161">
        <v>0.43</v>
      </c>
      <c r="E161">
        <v>0.16420000000000001</v>
      </c>
      <c r="F161">
        <v>2</v>
      </c>
      <c r="G161">
        <v>34</v>
      </c>
      <c r="H161">
        <v>36</v>
      </c>
    </row>
    <row r="162" spans="1:8">
      <c r="A162">
        <v>160</v>
      </c>
      <c r="B162">
        <v>161</v>
      </c>
      <c r="C162">
        <v>0.19700000000000001</v>
      </c>
      <c r="D162">
        <v>0.51</v>
      </c>
      <c r="E162">
        <v>0.16420000000000001</v>
      </c>
      <c r="F162">
        <v>1</v>
      </c>
      <c r="G162">
        <v>14</v>
      </c>
      <c r="H162">
        <v>15</v>
      </c>
    </row>
    <row r="163" spans="1:8">
      <c r="A163">
        <v>161</v>
      </c>
      <c r="B163">
        <v>162</v>
      </c>
      <c r="C163">
        <v>0.19700000000000001</v>
      </c>
      <c r="D163">
        <v>0.51</v>
      </c>
      <c r="E163">
        <v>0.16420000000000001</v>
      </c>
      <c r="F163">
        <v>1</v>
      </c>
      <c r="G163">
        <v>24</v>
      </c>
      <c r="H163">
        <v>25</v>
      </c>
    </row>
    <row r="164" spans="1:8">
      <c r="A164">
        <v>162</v>
      </c>
      <c r="B164">
        <v>163</v>
      </c>
      <c r="C164">
        <v>0.21210000000000001</v>
      </c>
      <c r="D164">
        <v>0.55000000000000004</v>
      </c>
      <c r="E164">
        <v>8.9599999999999999E-2</v>
      </c>
      <c r="F164">
        <v>1</v>
      </c>
      <c r="G164">
        <v>15</v>
      </c>
      <c r="H164">
        <v>16</v>
      </c>
    </row>
    <row r="165" spans="1:8">
      <c r="A165">
        <v>163</v>
      </c>
      <c r="B165">
        <v>164</v>
      </c>
      <c r="C165">
        <v>0.2424</v>
      </c>
      <c r="D165">
        <v>0.55000000000000004</v>
      </c>
      <c r="E165">
        <v>0</v>
      </c>
      <c r="F165">
        <v>3</v>
      </c>
      <c r="G165">
        <v>13</v>
      </c>
      <c r="H165">
        <v>16</v>
      </c>
    </row>
    <row r="166" spans="1:8">
      <c r="A166">
        <v>164</v>
      </c>
      <c r="B166">
        <v>165</v>
      </c>
      <c r="C166">
        <v>0.19700000000000001</v>
      </c>
      <c r="D166">
        <v>0.55000000000000004</v>
      </c>
      <c r="E166">
        <v>0.16420000000000001</v>
      </c>
      <c r="F166">
        <v>0</v>
      </c>
      <c r="G166">
        <v>7</v>
      </c>
      <c r="H166">
        <v>7</v>
      </c>
    </row>
    <row r="167" spans="1:8">
      <c r="A167">
        <v>165</v>
      </c>
      <c r="B167">
        <v>166</v>
      </c>
      <c r="C167">
        <v>0.19700000000000001</v>
      </c>
      <c r="D167">
        <v>0.55000000000000004</v>
      </c>
      <c r="E167">
        <v>0.16420000000000001</v>
      </c>
      <c r="F167">
        <v>0</v>
      </c>
      <c r="G167">
        <v>1</v>
      </c>
      <c r="H167">
        <v>1</v>
      </c>
    </row>
    <row r="168" spans="1:8">
      <c r="A168">
        <v>166</v>
      </c>
      <c r="B168">
        <v>167</v>
      </c>
      <c r="C168">
        <v>0.16669999999999999</v>
      </c>
      <c r="D168">
        <v>0.74</v>
      </c>
      <c r="E168">
        <v>0.16420000000000001</v>
      </c>
      <c r="F168">
        <v>0</v>
      </c>
      <c r="G168">
        <v>5</v>
      </c>
      <c r="H168">
        <v>5</v>
      </c>
    </row>
    <row r="169" spans="1:8">
      <c r="A169">
        <v>167</v>
      </c>
      <c r="B169">
        <v>168</v>
      </c>
      <c r="C169">
        <v>0.16669999999999999</v>
      </c>
      <c r="D169">
        <v>0.74</v>
      </c>
      <c r="E169">
        <v>0.16420000000000001</v>
      </c>
      <c r="F169">
        <v>0</v>
      </c>
      <c r="G169">
        <v>2</v>
      </c>
      <c r="H169">
        <v>2</v>
      </c>
    </row>
    <row r="170" spans="1:8">
      <c r="A170">
        <v>168</v>
      </c>
      <c r="B170">
        <v>169</v>
      </c>
      <c r="C170">
        <v>0.18179999999999999</v>
      </c>
      <c r="D170">
        <v>0.74</v>
      </c>
      <c r="E170">
        <v>0.1045</v>
      </c>
      <c r="F170">
        <v>1</v>
      </c>
      <c r="G170">
        <v>8</v>
      </c>
      <c r="H170">
        <v>9</v>
      </c>
    </row>
    <row r="171" spans="1:8">
      <c r="A171">
        <v>169</v>
      </c>
      <c r="B171">
        <v>170</v>
      </c>
      <c r="C171">
        <v>0.18179999999999999</v>
      </c>
      <c r="D171">
        <v>0.93</v>
      </c>
      <c r="E171">
        <v>0.1045</v>
      </c>
      <c r="F171">
        <v>0</v>
      </c>
      <c r="G171">
        <v>15</v>
      </c>
      <c r="H171">
        <v>15</v>
      </c>
    </row>
    <row r="172" spans="1:8">
      <c r="A172">
        <v>170</v>
      </c>
      <c r="B172">
        <v>171</v>
      </c>
      <c r="C172">
        <v>0.18179999999999999</v>
      </c>
      <c r="D172">
        <v>0.93</v>
      </c>
      <c r="E172">
        <v>0.1045</v>
      </c>
      <c r="F172">
        <v>0</v>
      </c>
      <c r="G172">
        <v>20</v>
      </c>
      <c r="H172">
        <v>20</v>
      </c>
    </row>
    <row r="173" spans="1:8">
      <c r="A173">
        <v>171</v>
      </c>
      <c r="B173">
        <v>172</v>
      </c>
      <c r="C173">
        <v>0.19700000000000001</v>
      </c>
      <c r="D173">
        <v>0.8</v>
      </c>
      <c r="E173">
        <v>0.16420000000000001</v>
      </c>
      <c r="F173">
        <v>5</v>
      </c>
      <c r="G173">
        <v>56</v>
      </c>
      <c r="H173">
        <v>61</v>
      </c>
    </row>
    <row r="174" spans="1:8">
      <c r="A174">
        <v>172</v>
      </c>
      <c r="B174">
        <v>173</v>
      </c>
      <c r="C174">
        <v>0.18179999999999999</v>
      </c>
      <c r="D174">
        <v>0.69</v>
      </c>
      <c r="E174">
        <v>0.3881</v>
      </c>
      <c r="F174">
        <v>2</v>
      </c>
      <c r="G174">
        <v>60</v>
      </c>
      <c r="H174">
        <v>62</v>
      </c>
    </row>
    <row r="175" spans="1:8">
      <c r="A175">
        <v>173</v>
      </c>
      <c r="B175">
        <v>174</v>
      </c>
      <c r="C175">
        <v>0.18179999999999999</v>
      </c>
      <c r="D175">
        <v>0.59</v>
      </c>
      <c r="E175">
        <v>0.35820000000000002</v>
      </c>
      <c r="F175">
        <v>8</v>
      </c>
      <c r="G175">
        <v>90</v>
      </c>
      <c r="H175">
        <v>98</v>
      </c>
    </row>
    <row r="176" spans="1:8">
      <c r="A176">
        <v>174</v>
      </c>
      <c r="B176">
        <v>175</v>
      </c>
      <c r="C176">
        <v>0.18179999999999999</v>
      </c>
      <c r="D176">
        <v>0.44</v>
      </c>
      <c r="E176">
        <v>0.32840000000000003</v>
      </c>
      <c r="F176">
        <v>7</v>
      </c>
      <c r="G176">
        <v>95</v>
      </c>
      <c r="H176">
        <v>102</v>
      </c>
    </row>
    <row r="177" spans="1:8">
      <c r="A177">
        <v>175</v>
      </c>
      <c r="B177">
        <v>176</v>
      </c>
      <c r="C177">
        <v>0.16669999999999999</v>
      </c>
      <c r="D177">
        <v>0.32</v>
      </c>
      <c r="E177">
        <v>0.49249999999999999</v>
      </c>
      <c r="F177">
        <v>12</v>
      </c>
      <c r="G177">
        <v>83</v>
      </c>
      <c r="H177">
        <v>95</v>
      </c>
    </row>
    <row r="178" spans="1:8">
      <c r="A178">
        <v>176</v>
      </c>
      <c r="B178">
        <v>177</v>
      </c>
      <c r="C178">
        <v>0.16669999999999999</v>
      </c>
      <c r="D178">
        <v>0.32</v>
      </c>
      <c r="E178">
        <v>0.44779999999999998</v>
      </c>
      <c r="F178">
        <v>5</v>
      </c>
      <c r="G178">
        <v>69</v>
      </c>
      <c r="H178">
        <v>74</v>
      </c>
    </row>
    <row r="179" spans="1:8">
      <c r="A179">
        <v>177</v>
      </c>
      <c r="B179">
        <v>178</v>
      </c>
      <c r="C179">
        <v>0.13639999999999999</v>
      </c>
      <c r="D179">
        <v>0.28999999999999998</v>
      </c>
      <c r="E179">
        <v>0.44779999999999998</v>
      </c>
      <c r="F179">
        <v>8</v>
      </c>
      <c r="G179">
        <v>68</v>
      </c>
      <c r="H179">
        <v>76</v>
      </c>
    </row>
    <row r="180" spans="1:8">
      <c r="A180">
        <v>178</v>
      </c>
      <c r="B180">
        <v>179</v>
      </c>
      <c r="C180">
        <v>0.1212</v>
      </c>
      <c r="D180">
        <v>0.37</v>
      </c>
      <c r="E180">
        <v>0.55220000000000002</v>
      </c>
      <c r="F180">
        <v>5</v>
      </c>
      <c r="G180">
        <v>64</v>
      </c>
      <c r="H180">
        <v>69</v>
      </c>
    </row>
    <row r="181" spans="1:8">
      <c r="A181">
        <v>179</v>
      </c>
      <c r="B181">
        <v>180</v>
      </c>
      <c r="C181">
        <v>0.1212</v>
      </c>
      <c r="D181">
        <v>0.39</v>
      </c>
      <c r="E181">
        <v>0.29849999999999999</v>
      </c>
      <c r="F181">
        <v>3</v>
      </c>
      <c r="G181">
        <v>52</v>
      </c>
      <c r="H181">
        <v>55</v>
      </c>
    </row>
    <row r="182" spans="1:8">
      <c r="A182">
        <v>180</v>
      </c>
      <c r="B182">
        <v>181</v>
      </c>
      <c r="C182">
        <v>0.1212</v>
      </c>
      <c r="D182">
        <v>0.36</v>
      </c>
      <c r="E182">
        <v>0.25369999999999998</v>
      </c>
      <c r="F182">
        <v>4</v>
      </c>
      <c r="G182">
        <v>26</v>
      </c>
      <c r="H182">
        <v>30</v>
      </c>
    </row>
    <row r="183" spans="1:8">
      <c r="A183">
        <v>181</v>
      </c>
      <c r="B183">
        <v>182</v>
      </c>
      <c r="C183">
        <v>0.1212</v>
      </c>
      <c r="D183">
        <v>0.36</v>
      </c>
      <c r="E183">
        <v>0.25369999999999998</v>
      </c>
      <c r="F183">
        <v>0</v>
      </c>
      <c r="G183">
        <v>28</v>
      </c>
      <c r="H183">
        <v>28</v>
      </c>
    </row>
    <row r="184" spans="1:8">
      <c r="A184">
        <v>182</v>
      </c>
      <c r="B184">
        <v>183</v>
      </c>
      <c r="C184">
        <v>0.1061</v>
      </c>
      <c r="D184">
        <v>0.39</v>
      </c>
      <c r="E184">
        <v>0.35820000000000002</v>
      </c>
      <c r="F184">
        <v>2</v>
      </c>
      <c r="G184">
        <v>35</v>
      </c>
      <c r="H184">
        <v>37</v>
      </c>
    </row>
    <row r="185" spans="1:8">
      <c r="A185">
        <v>183</v>
      </c>
      <c r="B185">
        <v>184</v>
      </c>
      <c r="C185">
        <v>0.1061</v>
      </c>
      <c r="D185">
        <v>0.36</v>
      </c>
      <c r="E185">
        <v>0.3881</v>
      </c>
      <c r="F185">
        <v>1</v>
      </c>
      <c r="G185">
        <v>33</v>
      </c>
      <c r="H185">
        <v>34</v>
      </c>
    </row>
    <row r="186" spans="1:8">
      <c r="A186">
        <v>184</v>
      </c>
      <c r="B186">
        <v>185</v>
      </c>
      <c r="C186">
        <v>6.0600000000000001E-2</v>
      </c>
      <c r="D186">
        <v>0.39</v>
      </c>
      <c r="E186">
        <v>0.44779999999999998</v>
      </c>
      <c r="F186">
        <v>0</v>
      </c>
      <c r="G186">
        <v>22</v>
      </c>
      <c r="H186">
        <v>22</v>
      </c>
    </row>
    <row r="187" spans="1:8">
      <c r="A187">
        <v>185</v>
      </c>
      <c r="B187">
        <v>186</v>
      </c>
      <c r="C187">
        <v>7.5800000000000006E-2</v>
      </c>
      <c r="D187">
        <v>0.42</v>
      </c>
      <c r="E187">
        <v>0.3881</v>
      </c>
      <c r="F187">
        <v>1</v>
      </c>
      <c r="G187">
        <v>24</v>
      </c>
      <c r="H187">
        <v>25</v>
      </c>
    </row>
    <row r="188" spans="1:8">
      <c r="A188">
        <v>186</v>
      </c>
      <c r="B188">
        <v>187</v>
      </c>
      <c r="C188">
        <v>6.0600000000000001E-2</v>
      </c>
      <c r="D188">
        <v>0.42</v>
      </c>
      <c r="E188">
        <v>0.4627</v>
      </c>
      <c r="F188">
        <v>0</v>
      </c>
      <c r="G188">
        <v>12</v>
      </c>
      <c r="H188">
        <v>12</v>
      </c>
    </row>
    <row r="189" spans="1:8">
      <c r="A189">
        <v>187</v>
      </c>
      <c r="B189">
        <v>188</v>
      </c>
      <c r="C189">
        <v>6.0600000000000001E-2</v>
      </c>
      <c r="D189">
        <v>0.46</v>
      </c>
      <c r="E189">
        <v>0.4627</v>
      </c>
      <c r="F189">
        <v>0</v>
      </c>
      <c r="G189">
        <v>11</v>
      </c>
      <c r="H189">
        <v>11</v>
      </c>
    </row>
    <row r="190" spans="1:8">
      <c r="A190">
        <v>188</v>
      </c>
      <c r="B190">
        <v>189</v>
      </c>
      <c r="C190">
        <v>7.5800000000000006E-2</v>
      </c>
      <c r="D190">
        <v>0.46</v>
      </c>
      <c r="E190">
        <v>0.41789999999999999</v>
      </c>
      <c r="F190">
        <v>0</v>
      </c>
      <c r="G190">
        <v>4</v>
      </c>
      <c r="H190">
        <v>4</v>
      </c>
    </row>
    <row r="191" spans="1:8">
      <c r="A191">
        <v>189</v>
      </c>
      <c r="B191">
        <v>190</v>
      </c>
      <c r="C191">
        <v>9.0899999999999995E-2</v>
      </c>
      <c r="D191">
        <v>0.53</v>
      </c>
      <c r="E191">
        <v>0.19400000000000001</v>
      </c>
      <c r="F191">
        <v>0</v>
      </c>
      <c r="G191">
        <v>1</v>
      </c>
      <c r="H191">
        <v>1</v>
      </c>
    </row>
    <row r="192" spans="1:8">
      <c r="A192">
        <v>190</v>
      </c>
      <c r="B192">
        <v>191</v>
      </c>
      <c r="C192">
        <v>9.0899999999999995E-2</v>
      </c>
      <c r="D192">
        <v>0.53</v>
      </c>
      <c r="E192">
        <v>0.19400000000000001</v>
      </c>
      <c r="F192">
        <v>0</v>
      </c>
      <c r="G192">
        <v>1</v>
      </c>
      <c r="H192">
        <v>1</v>
      </c>
    </row>
    <row r="193" spans="1:8">
      <c r="A193">
        <v>191</v>
      </c>
      <c r="B193">
        <v>192</v>
      </c>
      <c r="C193">
        <v>9.0899999999999995E-2</v>
      </c>
      <c r="D193">
        <v>0.49</v>
      </c>
      <c r="E193">
        <v>0.28360000000000002</v>
      </c>
      <c r="F193">
        <v>0</v>
      </c>
      <c r="G193">
        <v>1</v>
      </c>
      <c r="H193">
        <v>1</v>
      </c>
    </row>
    <row r="194" spans="1:8">
      <c r="A194">
        <v>192</v>
      </c>
      <c r="B194">
        <v>193</v>
      </c>
      <c r="C194">
        <v>9.0899999999999995E-2</v>
      </c>
      <c r="D194">
        <v>0.53</v>
      </c>
      <c r="E194">
        <v>0.19400000000000001</v>
      </c>
      <c r="F194">
        <v>1</v>
      </c>
      <c r="G194">
        <v>5</v>
      </c>
      <c r="H194">
        <v>6</v>
      </c>
    </row>
    <row r="195" spans="1:8">
      <c r="A195">
        <v>193</v>
      </c>
      <c r="B195">
        <v>194</v>
      </c>
      <c r="C195">
        <v>9.0899999999999995E-2</v>
      </c>
      <c r="D195">
        <v>0.49</v>
      </c>
      <c r="E195">
        <v>0.28360000000000002</v>
      </c>
      <c r="F195">
        <v>0</v>
      </c>
      <c r="G195">
        <v>10</v>
      </c>
      <c r="H195">
        <v>10</v>
      </c>
    </row>
    <row r="196" spans="1:8">
      <c r="A196">
        <v>194</v>
      </c>
      <c r="B196">
        <v>195</v>
      </c>
      <c r="C196">
        <v>7.5800000000000006E-2</v>
      </c>
      <c r="D196">
        <v>0.46</v>
      </c>
      <c r="E196">
        <v>0.52239999999999998</v>
      </c>
      <c r="F196">
        <v>0</v>
      </c>
      <c r="G196">
        <v>19</v>
      </c>
      <c r="H196">
        <v>19</v>
      </c>
    </row>
    <row r="197" spans="1:8">
      <c r="A197">
        <v>195</v>
      </c>
      <c r="B197">
        <v>196</v>
      </c>
      <c r="C197">
        <v>0.1061</v>
      </c>
      <c r="D197">
        <v>0.43</v>
      </c>
      <c r="E197">
        <v>0.3881</v>
      </c>
      <c r="F197">
        <v>0</v>
      </c>
      <c r="G197">
        <v>49</v>
      </c>
      <c r="H197">
        <v>49</v>
      </c>
    </row>
    <row r="198" spans="1:8">
      <c r="A198">
        <v>196</v>
      </c>
      <c r="B198">
        <v>197</v>
      </c>
      <c r="C198">
        <v>0.1212</v>
      </c>
      <c r="D198">
        <v>0.4</v>
      </c>
      <c r="E198">
        <v>0.52239999999999998</v>
      </c>
      <c r="F198">
        <v>2</v>
      </c>
      <c r="G198">
        <v>47</v>
      </c>
      <c r="H198">
        <v>49</v>
      </c>
    </row>
    <row r="199" spans="1:8">
      <c r="A199">
        <v>197</v>
      </c>
      <c r="B199">
        <v>198</v>
      </c>
      <c r="C199">
        <v>0.13639999999999999</v>
      </c>
      <c r="D199">
        <v>0.37</v>
      </c>
      <c r="E199">
        <v>0.44779999999999998</v>
      </c>
      <c r="F199">
        <v>4</v>
      </c>
      <c r="G199">
        <v>79</v>
      </c>
      <c r="H199">
        <v>83</v>
      </c>
    </row>
    <row r="200" spans="1:8">
      <c r="A200">
        <v>198</v>
      </c>
      <c r="B200">
        <v>199</v>
      </c>
      <c r="C200">
        <v>0.16669999999999999</v>
      </c>
      <c r="D200">
        <v>0.34</v>
      </c>
      <c r="E200">
        <v>0.44779999999999998</v>
      </c>
      <c r="F200">
        <v>6</v>
      </c>
      <c r="G200">
        <v>69</v>
      </c>
      <c r="H200">
        <v>75</v>
      </c>
    </row>
    <row r="201" spans="1:8">
      <c r="A201">
        <v>199</v>
      </c>
      <c r="B201">
        <v>200</v>
      </c>
      <c r="C201">
        <v>0.18179999999999999</v>
      </c>
      <c r="D201">
        <v>0.32</v>
      </c>
      <c r="E201">
        <v>0.4627</v>
      </c>
      <c r="F201">
        <v>8</v>
      </c>
      <c r="G201">
        <v>64</v>
      </c>
      <c r="H201">
        <v>72</v>
      </c>
    </row>
    <row r="202" spans="1:8">
      <c r="A202">
        <v>200</v>
      </c>
      <c r="B202">
        <v>201</v>
      </c>
      <c r="C202">
        <v>0.19700000000000001</v>
      </c>
      <c r="D202">
        <v>0.35</v>
      </c>
      <c r="E202">
        <v>0.35820000000000002</v>
      </c>
      <c r="F202">
        <v>5</v>
      </c>
      <c r="G202">
        <v>77</v>
      </c>
      <c r="H202">
        <v>82</v>
      </c>
    </row>
    <row r="203" spans="1:8">
      <c r="A203">
        <v>201</v>
      </c>
      <c r="B203">
        <v>202</v>
      </c>
      <c r="C203">
        <v>0.16669999999999999</v>
      </c>
      <c r="D203">
        <v>0.34</v>
      </c>
      <c r="E203">
        <v>0.44779999999999998</v>
      </c>
      <c r="F203">
        <v>13</v>
      </c>
      <c r="G203">
        <v>79</v>
      </c>
      <c r="H203">
        <v>92</v>
      </c>
    </row>
    <row r="204" spans="1:8">
      <c r="A204">
        <v>202</v>
      </c>
      <c r="B204">
        <v>203</v>
      </c>
      <c r="C204">
        <v>0.1515</v>
      </c>
      <c r="D204">
        <v>0.37</v>
      </c>
      <c r="E204">
        <v>0.3881</v>
      </c>
      <c r="F204">
        <v>3</v>
      </c>
      <c r="G204">
        <v>59</v>
      </c>
      <c r="H204">
        <v>62</v>
      </c>
    </row>
    <row r="205" spans="1:8">
      <c r="A205">
        <v>203</v>
      </c>
      <c r="B205">
        <v>204</v>
      </c>
      <c r="C205">
        <v>0.13639999999999999</v>
      </c>
      <c r="D205">
        <v>0.4</v>
      </c>
      <c r="E205">
        <v>0.32840000000000003</v>
      </c>
      <c r="F205">
        <v>4</v>
      </c>
      <c r="G205">
        <v>44</v>
      </c>
      <c r="H205">
        <v>48</v>
      </c>
    </row>
    <row r="206" spans="1:8">
      <c r="A206">
        <v>204</v>
      </c>
      <c r="B206">
        <v>205</v>
      </c>
      <c r="C206">
        <v>0.13639999999999999</v>
      </c>
      <c r="D206">
        <v>0.43</v>
      </c>
      <c r="E206">
        <v>0.32840000000000003</v>
      </c>
      <c r="F206">
        <v>1</v>
      </c>
      <c r="G206">
        <v>40</v>
      </c>
      <c r="H206">
        <v>41</v>
      </c>
    </row>
    <row r="207" spans="1:8">
      <c r="A207">
        <v>205</v>
      </c>
      <c r="B207">
        <v>206</v>
      </c>
      <c r="C207">
        <v>0.1212</v>
      </c>
      <c r="D207">
        <v>0.46</v>
      </c>
      <c r="E207">
        <v>0.25369999999999998</v>
      </c>
      <c r="F207">
        <v>0</v>
      </c>
      <c r="G207">
        <v>38</v>
      </c>
      <c r="H207">
        <v>38</v>
      </c>
    </row>
    <row r="208" spans="1:8">
      <c r="A208">
        <v>206</v>
      </c>
      <c r="B208">
        <v>207</v>
      </c>
      <c r="C208">
        <v>0.1061</v>
      </c>
      <c r="D208">
        <v>0.46</v>
      </c>
      <c r="E208">
        <v>0.41789999999999999</v>
      </c>
      <c r="F208">
        <v>1</v>
      </c>
      <c r="G208">
        <v>19</v>
      </c>
      <c r="H208">
        <v>20</v>
      </c>
    </row>
    <row r="209" spans="1:8">
      <c r="A209">
        <v>207</v>
      </c>
      <c r="B209">
        <v>208</v>
      </c>
      <c r="C209">
        <v>0.1212</v>
      </c>
      <c r="D209">
        <v>0.46</v>
      </c>
      <c r="E209">
        <v>0.29849999999999999</v>
      </c>
      <c r="F209">
        <v>5</v>
      </c>
      <c r="G209">
        <v>10</v>
      </c>
      <c r="H209">
        <v>15</v>
      </c>
    </row>
    <row r="210" spans="1:8">
      <c r="A210">
        <v>208</v>
      </c>
      <c r="B210">
        <v>209</v>
      </c>
      <c r="C210">
        <v>0.13639999999999999</v>
      </c>
      <c r="D210">
        <v>0.5</v>
      </c>
      <c r="E210">
        <v>0.19400000000000001</v>
      </c>
      <c r="F210">
        <v>0</v>
      </c>
      <c r="G210">
        <v>6</v>
      </c>
      <c r="H210">
        <v>6</v>
      </c>
    </row>
    <row r="211" spans="1:8">
      <c r="A211">
        <v>209</v>
      </c>
      <c r="B211">
        <v>210</v>
      </c>
      <c r="C211">
        <v>0.1212</v>
      </c>
      <c r="D211">
        <v>0.5</v>
      </c>
      <c r="E211">
        <v>0.28360000000000002</v>
      </c>
      <c r="F211">
        <v>2</v>
      </c>
      <c r="G211">
        <v>3</v>
      </c>
      <c r="H211">
        <v>5</v>
      </c>
    </row>
    <row r="212" spans="1:8">
      <c r="A212">
        <v>210</v>
      </c>
      <c r="B212">
        <v>211</v>
      </c>
      <c r="C212">
        <v>0.1212</v>
      </c>
      <c r="D212">
        <v>0.5</v>
      </c>
      <c r="E212">
        <v>0.28360000000000002</v>
      </c>
      <c r="F212">
        <v>1</v>
      </c>
      <c r="G212">
        <v>0</v>
      </c>
      <c r="H212">
        <v>1</v>
      </c>
    </row>
    <row r="213" spans="1:8">
      <c r="A213">
        <v>211</v>
      </c>
      <c r="B213">
        <v>212</v>
      </c>
      <c r="C213">
        <v>0.1212</v>
      </c>
      <c r="D213">
        <v>0.5</v>
      </c>
      <c r="E213">
        <v>0.22389999999999999</v>
      </c>
      <c r="F213">
        <v>0</v>
      </c>
      <c r="G213">
        <v>3</v>
      </c>
      <c r="H213">
        <v>3</v>
      </c>
    </row>
    <row r="214" spans="1:8">
      <c r="A214">
        <v>212</v>
      </c>
      <c r="B214">
        <v>213</v>
      </c>
      <c r="C214">
        <v>0.1212</v>
      </c>
      <c r="D214">
        <v>0.5</v>
      </c>
      <c r="E214">
        <v>0.22389999999999999</v>
      </c>
      <c r="F214">
        <v>0</v>
      </c>
      <c r="G214">
        <v>1</v>
      </c>
      <c r="H214">
        <v>1</v>
      </c>
    </row>
    <row r="215" spans="1:8">
      <c r="A215">
        <v>213</v>
      </c>
      <c r="B215">
        <v>214</v>
      </c>
      <c r="C215">
        <v>0.1212</v>
      </c>
      <c r="D215">
        <v>0.54</v>
      </c>
      <c r="E215">
        <v>0.1343</v>
      </c>
      <c r="F215">
        <v>1</v>
      </c>
      <c r="G215">
        <v>2</v>
      </c>
      <c r="H215">
        <v>3</v>
      </c>
    </row>
    <row r="216" spans="1:8">
      <c r="A216">
        <v>214</v>
      </c>
      <c r="B216">
        <v>215</v>
      </c>
      <c r="C216">
        <v>0.1061</v>
      </c>
      <c r="D216">
        <v>0.54</v>
      </c>
      <c r="E216">
        <v>0.25369999999999998</v>
      </c>
      <c r="F216">
        <v>0</v>
      </c>
      <c r="G216">
        <v>3</v>
      </c>
      <c r="H216">
        <v>3</v>
      </c>
    </row>
    <row r="217" spans="1:8">
      <c r="A217">
        <v>215</v>
      </c>
      <c r="B217">
        <v>216</v>
      </c>
      <c r="C217">
        <v>0.1212</v>
      </c>
      <c r="D217">
        <v>0.5</v>
      </c>
      <c r="E217">
        <v>0.28360000000000002</v>
      </c>
      <c r="F217">
        <v>0</v>
      </c>
      <c r="G217">
        <v>31</v>
      </c>
      <c r="H217">
        <v>31</v>
      </c>
    </row>
    <row r="218" spans="1:8">
      <c r="A218">
        <v>216</v>
      </c>
      <c r="B218">
        <v>217</v>
      </c>
      <c r="C218">
        <v>0.1212</v>
      </c>
      <c r="D218">
        <v>0.5</v>
      </c>
      <c r="E218">
        <v>0.22389999999999999</v>
      </c>
      <c r="F218">
        <v>2</v>
      </c>
      <c r="G218">
        <v>75</v>
      </c>
      <c r="H218">
        <v>77</v>
      </c>
    </row>
    <row r="219" spans="1:8">
      <c r="A219">
        <v>217</v>
      </c>
      <c r="B219">
        <v>218</v>
      </c>
      <c r="C219">
        <v>0.1212</v>
      </c>
      <c r="D219">
        <v>0.5</v>
      </c>
      <c r="E219">
        <v>0.28360000000000002</v>
      </c>
      <c r="F219">
        <v>4</v>
      </c>
      <c r="G219">
        <v>184</v>
      </c>
      <c r="H219">
        <v>188</v>
      </c>
    </row>
    <row r="220" spans="1:8">
      <c r="A220">
        <v>218</v>
      </c>
      <c r="B220">
        <v>219</v>
      </c>
      <c r="C220">
        <v>0.1212</v>
      </c>
      <c r="D220">
        <v>0.5</v>
      </c>
      <c r="E220">
        <v>0.25369999999999998</v>
      </c>
      <c r="F220">
        <v>2</v>
      </c>
      <c r="G220">
        <v>92</v>
      </c>
      <c r="H220">
        <v>94</v>
      </c>
    </row>
    <row r="221" spans="1:8">
      <c r="A221">
        <v>219</v>
      </c>
      <c r="B221">
        <v>220</v>
      </c>
      <c r="C221">
        <v>0.1212</v>
      </c>
      <c r="D221">
        <v>0.5</v>
      </c>
      <c r="E221">
        <v>0.29849999999999999</v>
      </c>
      <c r="F221">
        <v>0</v>
      </c>
      <c r="G221">
        <v>31</v>
      </c>
      <c r="H221">
        <v>31</v>
      </c>
    </row>
    <row r="222" spans="1:8">
      <c r="A222">
        <v>220</v>
      </c>
      <c r="B222">
        <v>221</v>
      </c>
      <c r="C222">
        <v>0.13639999999999999</v>
      </c>
      <c r="D222">
        <v>0.47</v>
      </c>
      <c r="E222">
        <v>0.28360000000000002</v>
      </c>
      <c r="F222">
        <v>2</v>
      </c>
      <c r="G222">
        <v>28</v>
      </c>
      <c r="H222">
        <v>30</v>
      </c>
    </row>
    <row r="223" spans="1:8">
      <c r="A223">
        <v>221</v>
      </c>
      <c r="B223">
        <v>222</v>
      </c>
      <c r="C223">
        <v>0.18179999999999999</v>
      </c>
      <c r="D223">
        <v>0.4</v>
      </c>
      <c r="E223">
        <v>0.28360000000000002</v>
      </c>
      <c r="F223">
        <v>5</v>
      </c>
      <c r="G223">
        <v>47</v>
      </c>
      <c r="H223">
        <v>52</v>
      </c>
    </row>
    <row r="224" spans="1:8">
      <c r="A224">
        <v>222</v>
      </c>
      <c r="B224">
        <v>223</v>
      </c>
      <c r="C224">
        <v>0.18179999999999999</v>
      </c>
      <c r="D224">
        <v>0.4</v>
      </c>
      <c r="E224">
        <v>0.28360000000000002</v>
      </c>
      <c r="F224">
        <v>4</v>
      </c>
      <c r="G224">
        <v>50</v>
      </c>
      <c r="H224">
        <v>54</v>
      </c>
    </row>
    <row r="225" spans="1:8">
      <c r="A225">
        <v>223</v>
      </c>
      <c r="B225">
        <v>224</v>
      </c>
      <c r="C225">
        <v>0.19700000000000001</v>
      </c>
      <c r="D225">
        <v>0.4</v>
      </c>
      <c r="E225">
        <v>0.22389999999999999</v>
      </c>
      <c r="F225">
        <v>0</v>
      </c>
      <c r="G225">
        <v>47</v>
      </c>
      <c r="H225">
        <v>47</v>
      </c>
    </row>
    <row r="226" spans="1:8">
      <c r="A226">
        <v>224</v>
      </c>
      <c r="B226">
        <v>225</v>
      </c>
      <c r="C226">
        <v>0.19700000000000001</v>
      </c>
      <c r="D226">
        <v>0.4</v>
      </c>
      <c r="E226">
        <v>0.22389999999999999</v>
      </c>
      <c r="F226">
        <v>2</v>
      </c>
      <c r="G226">
        <v>43</v>
      </c>
      <c r="H226">
        <v>45</v>
      </c>
    </row>
    <row r="227" spans="1:8">
      <c r="A227">
        <v>225</v>
      </c>
      <c r="B227">
        <v>226</v>
      </c>
      <c r="C227">
        <v>0.21210000000000001</v>
      </c>
      <c r="D227">
        <v>0.4</v>
      </c>
      <c r="E227">
        <v>0.1343</v>
      </c>
      <c r="F227">
        <v>4</v>
      </c>
      <c r="G227">
        <v>70</v>
      </c>
      <c r="H227">
        <v>74</v>
      </c>
    </row>
    <row r="228" spans="1:8">
      <c r="A228">
        <v>226</v>
      </c>
      <c r="B228">
        <v>227</v>
      </c>
      <c r="C228">
        <v>0.2273</v>
      </c>
      <c r="D228">
        <v>0.4</v>
      </c>
      <c r="E228">
        <v>0.1045</v>
      </c>
      <c r="F228">
        <v>4</v>
      </c>
      <c r="G228">
        <v>174</v>
      </c>
      <c r="H228">
        <v>178</v>
      </c>
    </row>
    <row r="229" spans="1:8">
      <c r="A229">
        <v>227</v>
      </c>
      <c r="B229">
        <v>228</v>
      </c>
      <c r="C229">
        <v>0.19700000000000001</v>
      </c>
      <c r="D229">
        <v>0.4</v>
      </c>
      <c r="E229">
        <v>0.22389999999999999</v>
      </c>
      <c r="F229">
        <v>1</v>
      </c>
      <c r="G229">
        <v>154</v>
      </c>
      <c r="H229">
        <v>155</v>
      </c>
    </row>
    <row r="230" spans="1:8">
      <c r="A230">
        <v>228</v>
      </c>
      <c r="B230">
        <v>229</v>
      </c>
      <c r="C230">
        <v>0.16669999999999999</v>
      </c>
      <c r="D230">
        <v>0.47</v>
      </c>
      <c r="E230">
        <v>0.16420000000000001</v>
      </c>
      <c r="F230">
        <v>3</v>
      </c>
      <c r="G230">
        <v>92</v>
      </c>
      <c r="H230">
        <v>95</v>
      </c>
    </row>
    <row r="231" spans="1:8">
      <c r="A231">
        <v>229</v>
      </c>
      <c r="B231">
        <v>230</v>
      </c>
      <c r="C231">
        <v>0.16669999999999999</v>
      </c>
      <c r="D231">
        <v>0.5</v>
      </c>
      <c r="E231">
        <v>0.16420000000000001</v>
      </c>
      <c r="F231">
        <v>1</v>
      </c>
      <c r="G231">
        <v>73</v>
      </c>
      <c r="H231">
        <v>74</v>
      </c>
    </row>
    <row r="232" spans="1:8">
      <c r="A232">
        <v>230</v>
      </c>
      <c r="B232">
        <v>231</v>
      </c>
      <c r="C232">
        <v>0.13639999999999999</v>
      </c>
      <c r="D232">
        <v>0.59</v>
      </c>
      <c r="E232">
        <v>0.19400000000000001</v>
      </c>
      <c r="F232">
        <v>1</v>
      </c>
      <c r="G232">
        <v>37</v>
      </c>
      <c r="H232">
        <v>38</v>
      </c>
    </row>
    <row r="233" spans="1:8">
      <c r="A233">
        <v>231</v>
      </c>
      <c r="B233">
        <v>232</v>
      </c>
      <c r="C233">
        <v>0.1515</v>
      </c>
      <c r="D233">
        <v>0.59</v>
      </c>
      <c r="E233">
        <v>0.16420000000000001</v>
      </c>
      <c r="F233">
        <v>2</v>
      </c>
      <c r="G233">
        <v>22</v>
      </c>
      <c r="H233">
        <v>24</v>
      </c>
    </row>
    <row r="234" spans="1:8">
      <c r="A234">
        <v>232</v>
      </c>
      <c r="B234">
        <v>233</v>
      </c>
      <c r="C234">
        <v>0.1515</v>
      </c>
      <c r="D234">
        <v>0.59</v>
      </c>
      <c r="E234">
        <v>0.16420000000000001</v>
      </c>
      <c r="F234">
        <v>0</v>
      </c>
      <c r="G234">
        <v>18</v>
      </c>
      <c r="H234">
        <v>18</v>
      </c>
    </row>
    <row r="235" spans="1:8">
      <c r="A235">
        <v>233</v>
      </c>
      <c r="B235">
        <v>234</v>
      </c>
      <c r="C235">
        <v>0.16669999999999999</v>
      </c>
      <c r="D235">
        <v>0.59</v>
      </c>
      <c r="E235">
        <v>0.1045</v>
      </c>
      <c r="F235">
        <v>2</v>
      </c>
      <c r="G235">
        <v>10</v>
      </c>
      <c r="H235">
        <v>12</v>
      </c>
    </row>
    <row r="236" spans="1:8">
      <c r="A236">
        <v>234</v>
      </c>
      <c r="B236">
        <v>235</v>
      </c>
      <c r="C236">
        <v>0.1515</v>
      </c>
      <c r="D236">
        <v>0.59</v>
      </c>
      <c r="E236">
        <v>0.16420000000000001</v>
      </c>
      <c r="F236">
        <v>0</v>
      </c>
      <c r="G236">
        <v>3</v>
      </c>
      <c r="H236">
        <v>3</v>
      </c>
    </row>
    <row r="237" spans="1:8">
      <c r="A237">
        <v>235</v>
      </c>
      <c r="B237">
        <v>236</v>
      </c>
      <c r="C237">
        <v>0.1515</v>
      </c>
      <c r="D237">
        <v>0.55000000000000004</v>
      </c>
      <c r="E237">
        <v>0.19400000000000001</v>
      </c>
      <c r="F237">
        <v>0</v>
      </c>
      <c r="G237">
        <v>3</v>
      </c>
      <c r="H237">
        <v>3</v>
      </c>
    </row>
    <row r="238" spans="1:8">
      <c r="A238">
        <v>236</v>
      </c>
      <c r="B238">
        <v>237</v>
      </c>
      <c r="C238">
        <v>0.18179999999999999</v>
      </c>
      <c r="D238">
        <v>0.55000000000000004</v>
      </c>
      <c r="E238">
        <v>0.1343</v>
      </c>
      <c r="F238">
        <v>0</v>
      </c>
      <c r="G238">
        <v>6</v>
      </c>
      <c r="H238">
        <v>6</v>
      </c>
    </row>
    <row r="239" spans="1:8">
      <c r="A239">
        <v>237</v>
      </c>
      <c r="B239">
        <v>238</v>
      </c>
      <c r="C239">
        <v>0.18179999999999999</v>
      </c>
      <c r="D239">
        <v>0.55000000000000004</v>
      </c>
      <c r="E239">
        <v>0.1343</v>
      </c>
      <c r="F239">
        <v>0</v>
      </c>
      <c r="G239">
        <v>27</v>
      </c>
      <c r="H239">
        <v>27</v>
      </c>
    </row>
    <row r="240" spans="1:8">
      <c r="A240">
        <v>238</v>
      </c>
      <c r="B240">
        <v>239</v>
      </c>
      <c r="C240">
        <v>0.2273</v>
      </c>
      <c r="D240">
        <v>0.55000000000000004</v>
      </c>
      <c r="E240">
        <v>0</v>
      </c>
      <c r="F240">
        <v>2</v>
      </c>
      <c r="G240">
        <v>97</v>
      </c>
      <c r="H240">
        <v>99</v>
      </c>
    </row>
    <row r="241" spans="1:8">
      <c r="A241">
        <v>239</v>
      </c>
      <c r="B241">
        <v>240</v>
      </c>
      <c r="C241">
        <v>0.21210000000000001</v>
      </c>
      <c r="D241">
        <v>0.51</v>
      </c>
      <c r="E241">
        <v>8.9599999999999999E-2</v>
      </c>
      <c r="F241">
        <v>3</v>
      </c>
      <c r="G241">
        <v>214</v>
      </c>
      <c r="H241">
        <v>217</v>
      </c>
    </row>
    <row r="242" spans="1:8">
      <c r="A242">
        <v>240</v>
      </c>
      <c r="B242">
        <v>241</v>
      </c>
      <c r="C242">
        <v>0.19700000000000001</v>
      </c>
      <c r="D242">
        <v>0.51</v>
      </c>
      <c r="E242">
        <v>0.16420000000000001</v>
      </c>
      <c r="F242">
        <v>3</v>
      </c>
      <c r="G242">
        <v>127</v>
      </c>
      <c r="H242">
        <v>130</v>
      </c>
    </row>
    <row r="243" spans="1:8">
      <c r="A243">
        <v>241</v>
      </c>
      <c r="B243">
        <v>242</v>
      </c>
      <c r="C243">
        <v>0.21210000000000001</v>
      </c>
      <c r="D243">
        <v>0.51</v>
      </c>
      <c r="E243">
        <v>0.16420000000000001</v>
      </c>
      <c r="F243">
        <v>3</v>
      </c>
      <c r="G243">
        <v>51</v>
      </c>
      <c r="H243">
        <v>54</v>
      </c>
    </row>
    <row r="244" spans="1:8">
      <c r="A244">
        <v>242</v>
      </c>
      <c r="B244">
        <v>243</v>
      </c>
      <c r="C244">
        <v>0.21210000000000001</v>
      </c>
      <c r="D244">
        <v>0.47</v>
      </c>
      <c r="E244">
        <v>0.1343</v>
      </c>
      <c r="F244">
        <v>4</v>
      </c>
      <c r="G244">
        <v>31</v>
      </c>
      <c r="H244">
        <v>35</v>
      </c>
    </row>
    <row r="245" spans="1:8">
      <c r="A245">
        <v>243</v>
      </c>
      <c r="B245">
        <v>244</v>
      </c>
      <c r="C245">
        <v>0.2273</v>
      </c>
      <c r="D245">
        <v>0.51</v>
      </c>
      <c r="E245">
        <v>0.1045</v>
      </c>
      <c r="F245">
        <v>2</v>
      </c>
      <c r="G245">
        <v>55</v>
      </c>
      <c r="H245">
        <v>57</v>
      </c>
    </row>
    <row r="246" spans="1:8">
      <c r="A246">
        <v>244</v>
      </c>
      <c r="B246">
        <v>245</v>
      </c>
      <c r="C246">
        <v>0.2273</v>
      </c>
      <c r="D246">
        <v>0.59</v>
      </c>
      <c r="E246">
        <v>8.9599999999999999E-2</v>
      </c>
      <c r="F246">
        <v>6</v>
      </c>
      <c r="G246">
        <v>46</v>
      </c>
      <c r="H246">
        <v>52</v>
      </c>
    </row>
    <row r="247" spans="1:8">
      <c r="A247">
        <v>245</v>
      </c>
      <c r="B247">
        <v>246</v>
      </c>
      <c r="C247">
        <v>0.2273</v>
      </c>
      <c r="D247">
        <v>0.59</v>
      </c>
      <c r="E247">
        <v>8.9599999999999999E-2</v>
      </c>
      <c r="F247">
        <v>3</v>
      </c>
      <c r="G247">
        <v>60</v>
      </c>
      <c r="H247">
        <v>63</v>
      </c>
    </row>
    <row r="248" spans="1:8">
      <c r="A248">
        <v>246</v>
      </c>
      <c r="B248">
        <v>247</v>
      </c>
      <c r="C248">
        <v>0.19700000000000001</v>
      </c>
      <c r="D248">
        <v>0.8</v>
      </c>
      <c r="E248">
        <v>8.9599999999999999E-2</v>
      </c>
      <c r="F248">
        <v>2</v>
      </c>
      <c r="G248">
        <v>45</v>
      </c>
      <c r="H248">
        <v>47</v>
      </c>
    </row>
    <row r="249" spans="1:8">
      <c r="A249">
        <v>247</v>
      </c>
      <c r="B249">
        <v>248</v>
      </c>
      <c r="C249">
        <v>0.1515</v>
      </c>
      <c r="D249">
        <v>0.86</v>
      </c>
      <c r="E249">
        <v>0.22389999999999999</v>
      </c>
      <c r="F249">
        <v>4</v>
      </c>
      <c r="G249">
        <v>72</v>
      </c>
      <c r="H249">
        <v>76</v>
      </c>
    </row>
    <row r="250" spans="1:8">
      <c r="A250">
        <v>248</v>
      </c>
      <c r="B250">
        <v>249</v>
      </c>
      <c r="C250">
        <v>0.1515</v>
      </c>
      <c r="D250">
        <v>0.86</v>
      </c>
      <c r="E250">
        <v>0.22389999999999999</v>
      </c>
      <c r="F250">
        <v>6</v>
      </c>
      <c r="G250">
        <v>130</v>
      </c>
      <c r="H250">
        <v>136</v>
      </c>
    </row>
    <row r="251" spans="1:8">
      <c r="A251">
        <v>249</v>
      </c>
      <c r="B251">
        <v>250</v>
      </c>
      <c r="C251">
        <v>0.18179999999999999</v>
      </c>
      <c r="D251">
        <v>0.93</v>
      </c>
      <c r="E251">
        <v>0.1045</v>
      </c>
      <c r="F251">
        <v>1</v>
      </c>
      <c r="G251">
        <v>94</v>
      </c>
      <c r="H251">
        <v>95</v>
      </c>
    </row>
    <row r="252" spans="1:8">
      <c r="A252">
        <v>250</v>
      </c>
      <c r="B252">
        <v>251</v>
      </c>
      <c r="C252">
        <v>0.2273</v>
      </c>
      <c r="D252">
        <v>0.93</v>
      </c>
      <c r="E252">
        <v>0</v>
      </c>
      <c r="F252">
        <v>0</v>
      </c>
      <c r="G252">
        <v>51</v>
      </c>
      <c r="H252">
        <v>51</v>
      </c>
    </row>
    <row r="253" spans="1:8">
      <c r="A253">
        <v>251</v>
      </c>
      <c r="B253">
        <v>252</v>
      </c>
      <c r="C253">
        <v>0.1515</v>
      </c>
      <c r="D253">
        <v>0.93</v>
      </c>
      <c r="E253">
        <v>0.19400000000000001</v>
      </c>
      <c r="F253">
        <v>0</v>
      </c>
      <c r="G253">
        <v>32</v>
      </c>
      <c r="H253">
        <v>32</v>
      </c>
    </row>
    <row r="254" spans="1:8">
      <c r="A254">
        <v>252</v>
      </c>
      <c r="B254">
        <v>253</v>
      </c>
      <c r="C254">
        <v>0.19700000000000001</v>
      </c>
      <c r="D254">
        <v>0.86</v>
      </c>
      <c r="E254">
        <v>8.9599999999999999E-2</v>
      </c>
      <c r="F254">
        <v>0</v>
      </c>
      <c r="G254">
        <v>20</v>
      </c>
      <c r="H254">
        <v>20</v>
      </c>
    </row>
    <row r="255" spans="1:8">
      <c r="A255">
        <v>253</v>
      </c>
      <c r="B255">
        <v>254</v>
      </c>
      <c r="C255">
        <v>0.18179999999999999</v>
      </c>
      <c r="D255">
        <v>0.93</v>
      </c>
      <c r="E255">
        <v>0.1045</v>
      </c>
      <c r="F255">
        <v>1</v>
      </c>
      <c r="G255">
        <v>28</v>
      </c>
      <c r="H255">
        <v>29</v>
      </c>
    </row>
    <row r="256" spans="1:8">
      <c r="A256">
        <v>254</v>
      </c>
      <c r="B256">
        <v>255</v>
      </c>
      <c r="C256">
        <v>0.19700000000000001</v>
      </c>
      <c r="D256">
        <v>0.93</v>
      </c>
      <c r="E256">
        <v>8.9599999999999999E-2</v>
      </c>
      <c r="F256">
        <v>1</v>
      </c>
      <c r="G256">
        <v>18</v>
      </c>
      <c r="H256">
        <v>19</v>
      </c>
    </row>
    <row r="257" spans="1:8">
      <c r="A257">
        <v>255</v>
      </c>
      <c r="B257">
        <v>256</v>
      </c>
      <c r="C257">
        <v>0.19700000000000001</v>
      </c>
      <c r="D257">
        <v>0.86</v>
      </c>
      <c r="E257">
        <v>8.9599999999999999E-2</v>
      </c>
      <c r="F257">
        <v>0</v>
      </c>
      <c r="G257">
        <v>7</v>
      </c>
      <c r="H257">
        <v>7</v>
      </c>
    </row>
    <row r="258" spans="1:8">
      <c r="A258">
        <v>256</v>
      </c>
      <c r="B258">
        <v>257</v>
      </c>
      <c r="C258">
        <v>0.18179999999999999</v>
      </c>
      <c r="D258">
        <v>0.86</v>
      </c>
      <c r="E258">
        <v>0.1045</v>
      </c>
      <c r="F258">
        <v>0</v>
      </c>
      <c r="G258">
        <v>6</v>
      </c>
      <c r="H258">
        <v>6</v>
      </c>
    </row>
    <row r="259" spans="1:8">
      <c r="A259">
        <v>257</v>
      </c>
      <c r="B259">
        <v>258</v>
      </c>
      <c r="C259">
        <v>0.1515</v>
      </c>
      <c r="D259">
        <v>0.86</v>
      </c>
      <c r="E259">
        <v>0.1343</v>
      </c>
      <c r="F259">
        <v>0</v>
      </c>
      <c r="G259">
        <v>1</v>
      </c>
      <c r="H259">
        <v>1</v>
      </c>
    </row>
    <row r="260" spans="1:8">
      <c r="A260">
        <v>258</v>
      </c>
      <c r="B260">
        <v>259</v>
      </c>
      <c r="C260">
        <v>0.1515</v>
      </c>
      <c r="D260">
        <v>0.86</v>
      </c>
      <c r="E260">
        <v>0.16420000000000001</v>
      </c>
      <c r="F260">
        <v>0</v>
      </c>
      <c r="G260">
        <v>5</v>
      </c>
      <c r="H260">
        <v>5</v>
      </c>
    </row>
    <row r="261" spans="1:8">
      <c r="A261">
        <v>259</v>
      </c>
      <c r="B261">
        <v>260</v>
      </c>
      <c r="C261">
        <v>0.1515</v>
      </c>
      <c r="D261">
        <v>0.93</v>
      </c>
      <c r="E261">
        <v>0.1343</v>
      </c>
      <c r="F261">
        <v>0</v>
      </c>
      <c r="G261">
        <v>16</v>
      </c>
      <c r="H261">
        <v>16</v>
      </c>
    </row>
    <row r="262" spans="1:8">
      <c r="A262">
        <v>260</v>
      </c>
      <c r="B262">
        <v>261</v>
      </c>
      <c r="C262">
        <v>0.1515</v>
      </c>
      <c r="D262">
        <v>0.69</v>
      </c>
      <c r="E262">
        <v>0.1343</v>
      </c>
      <c r="F262">
        <v>0</v>
      </c>
      <c r="G262">
        <v>54</v>
      </c>
      <c r="H262">
        <v>54</v>
      </c>
    </row>
    <row r="263" spans="1:8">
      <c r="A263">
        <v>261</v>
      </c>
      <c r="B263">
        <v>262</v>
      </c>
      <c r="C263">
        <v>0.16669999999999999</v>
      </c>
      <c r="D263">
        <v>0.59</v>
      </c>
      <c r="E263">
        <v>0.16420000000000001</v>
      </c>
      <c r="F263">
        <v>3</v>
      </c>
      <c r="G263">
        <v>125</v>
      </c>
      <c r="H263">
        <v>128</v>
      </c>
    </row>
    <row r="264" spans="1:8">
      <c r="A264">
        <v>262</v>
      </c>
      <c r="B264">
        <v>263</v>
      </c>
      <c r="C264">
        <v>0.13639999999999999</v>
      </c>
      <c r="D264">
        <v>0.59</v>
      </c>
      <c r="E264">
        <v>0.32840000000000003</v>
      </c>
      <c r="F264">
        <v>3</v>
      </c>
      <c r="G264">
        <v>78</v>
      </c>
      <c r="H264">
        <v>81</v>
      </c>
    </row>
    <row r="265" spans="1:8">
      <c r="A265">
        <v>263</v>
      </c>
      <c r="B265">
        <v>264</v>
      </c>
      <c r="C265">
        <v>0.18179999999999999</v>
      </c>
      <c r="D265">
        <v>0.55000000000000004</v>
      </c>
      <c r="E265">
        <v>0.22389999999999999</v>
      </c>
      <c r="F265">
        <v>0</v>
      </c>
      <c r="G265">
        <v>39</v>
      </c>
      <c r="H265">
        <v>39</v>
      </c>
    </row>
    <row r="266" spans="1:8">
      <c r="A266">
        <v>264</v>
      </c>
      <c r="B266">
        <v>265</v>
      </c>
      <c r="C266">
        <v>0.18179999999999999</v>
      </c>
      <c r="D266">
        <v>0.51</v>
      </c>
      <c r="E266">
        <v>0.3881</v>
      </c>
      <c r="F266">
        <v>3</v>
      </c>
      <c r="G266">
        <v>32</v>
      </c>
      <c r="H266">
        <v>35</v>
      </c>
    </row>
    <row r="267" spans="1:8">
      <c r="A267">
        <v>265</v>
      </c>
      <c r="B267">
        <v>266</v>
      </c>
      <c r="C267">
        <v>0.1515</v>
      </c>
      <c r="D267">
        <v>0.47</v>
      </c>
      <c r="E267">
        <v>0.58209999999999995</v>
      </c>
      <c r="F267">
        <v>3</v>
      </c>
      <c r="G267">
        <v>52</v>
      </c>
      <c r="H267">
        <v>55</v>
      </c>
    </row>
    <row r="268" spans="1:8">
      <c r="A268">
        <v>266</v>
      </c>
      <c r="B268">
        <v>267</v>
      </c>
      <c r="C268">
        <v>0.19700000000000001</v>
      </c>
      <c r="D268">
        <v>0.44</v>
      </c>
      <c r="E268">
        <v>0.35820000000000002</v>
      </c>
      <c r="F268">
        <v>0</v>
      </c>
      <c r="G268">
        <v>49</v>
      </c>
      <c r="H268">
        <v>49</v>
      </c>
    </row>
    <row r="269" spans="1:8">
      <c r="A269">
        <v>267</v>
      </c>
      <c r="B269">
        <v>268</v>
      </c>
      <c r="C269">
        <v>0.18179999999999999</v>
      </c>
      <c r="D269">
        <v>0.47</v>
      </c>
      <c r="E269">
        <v>0.32840000000000003</v>
      </c>
      <c r="F269">
        <v>0</v>
      </c>
      <c r="G269">
        <v>44</v>
      </c>
      <c r="H269">
        <v>44</v>
      </c>
    </row>
    <row r="270" spans="1:8">
      <c r="A270">
        <v>268</v>
      </c>
      <c r="B270">
        <v>269</v>
      </c>
      <c r="C270">
        <v>0.16669999999999999</v>
      </c>
      <c r="D270">
        <v>0.47</v>
      </c>
      <c r="E270">
        <v>0.41789999999999999</v>
      </c>
      <c r="F270">
        <v>1</v>
      </c>
      <c r="G270">
        <v>48</v>
      </c>
      <c r="H270">
        <v>49</v>
      </c>
    </row>
    <row r="271" spans="1:8">
      <c r="A271">
        <v>269</v>
      </c>
      <c r="B271">
        <v>270</v>
      </c>
      <c r="C271">
        <v>0.19700000000000001</v>
      </c>
      <c r="D271">
        <v>0.44</v>
      </c>
      <c r="E271">
        <v>0.32840000000000003</v>
      </c>
      <c r="F271">
        <v>5</v>
      </c>
      <c r="G271">
        <v>63</v>
      </c>
      <c r="H271">
        <v>68</v>
      </c>
    </row>
    <row r="272" spans="1:8">
      <c r="A272">
        <v>270</v>
      </c>
      <c r="B272">
        <v>271</v>
      </c>
      <c r="C272">
        <v>0.18179999999999999</v>
      </c>
      <c r="D272">
        <v>0.47</v>
      </c>
      <c r="E272">
        <v>0.35820000000000002</v>
      </c>
      <c r="F272">
        <v>0</v>
      </c>
      <c r="G272">
        <v>139</v>
      </c>
      <c r="H272">
        <v>139</v>
      </c>
    </row>
    <row r="273" spans="1:8">
      <c r="A273">
        <v>271</v>
      </c>
      <c r="B273">
        <v>272</v>
      </c>
      <c r="C273">
        <v>0.1515</v>
      </c>
      <c r="D273">
        <v>0.47</v>
      </c>
      <c r="E273">
        <v>0.52239999999999998</v>
      </c>
      <c r="F273">
        <v>2</v>
      </c>
      <c r="G273">
        <v>135</v>
      </c>
      <c r="H273">
        <v>137</v>
      </c>
    </row>
    <row r="274" spans="1:8">
      <c r="A274">
        <v>272</v>
      </c>
      <c r="B274">
        <v>273</v>
      </c>
      <c r="C274">
        <v>0.1515</v>
      </c>
      <c r="D274">
        <v>0.47</v>
      </c>
      <c r="E274">
        <v>0.41789999999999999</v>
      </c>
      <c r="F274">
        <v>1</v>
      </c>
      <c r="G274">
        <v>82</v>
      </c>
      <c r="H274">
        <v>83</v>
      </c>
    </row>
    <row r="275" spans="1:8">
      <c r="A275">
        <v>273</v>
      </c>
      <c r="B275">
        <v>274</v>
      </c>
      <c r="C275">
        <v>0.13639999999999999</v>
      </c>
      <c r="D275">
        <v>0.5</v>
      </c>
      <c r="E275">
        <v>0.32840000000000003</v>
      </c>
      <c r="F275">
        <v>2</v>
      </c>
      <c r="G275">
        <v>54</v>
      </c>
      <c r="H275">
        <v>56</v>
      </c>
    </row>
    <row r="276" spans="1:8">
      <c r="A276">
        <v>274</v>
      </c>
      <c r="B276">
        <v>275</v>
      </c>
      <c r="C276">
        <v>0.13639999999999999</v>
      </c>
      <c r="D276">
        <v>0.55000000000000004</v>
      </c>
      <c r="E276">
        <v>0.32840000000000003</v>
      </c>
      <c r="F276">
        <v>0</v>
      </c>
      <c r="G276">
        <v>57</v>
      </c>
      <c r="H276">
        <v>57</v>
      </c>
    </row>
    <row r="277" spans="1:8">
      <c r="A277">
        <v>275</v>
      </c>
      <c r="B277">
        <v>276</v>
      </c>
      <c r="C277">
        <v>0.1212</v>
      </c>
      <c r="D277">
        <v>0.55000000000000004</v>
      </c>
      <c r="E277">
        <v>0.44779999999999998</v>
      </c>
      <c r="F277">
        <v>1</v>
      </c>
      <c r="G277">
        <v>32</v>
      </c>
      <c r="H277">
        <v>33</v>
      </c>
    </row>
    <row r="278" spans="1:8">
      <c r="A278">
        <v>276</v>
      </c>
      <c r="B278">
        <v>277</v>
      </c>
      <c r="C278">
        <v>0.1061</v>
      </c>
      <c r="D278">
        <v>0.59</v>
      </c>
      <c r="E278">
        <v>0.41789999999999999</v>
      </c>
      <c r="F278">
        <v>1</v>
      </c>
      <c r="G278">
        <v>19</v>
      </c>
      <c r="H278">
        <v>20</v>
      </c>
    </row>
    <row r="279" spans="1:8">
      <c r="A279">
        <v>277</v>
      </c>
      <c r="B279">
        <v>278</v>
      </c>
      <c r="C279">
        <v>0.1212</v>
      </c>
      <c r="D279">
        <v>0.59</v>
      </c>
      <c r="E279">
        <v>0.28360000000000002</v>
      </c>
      <c r="F279">
        <v>1</v>
      </c>
      <c r="G279">
        <v>6</v>
      </c>
      <c r="H279">
        <v>7</v>
      </c>
    </row>
    <row r="280" spans="1:8">
      <c r="A280">
        <v>278</v>
      </c>
      <c r="B280">
        <v>279</v>
      </c>
      <c r="C280">
        <v>0.1212</v>
      </c>
      <c r="D280">
        <v>0.5</v>
      </c>
      <c r="E280">
        <v>0.28360000000000002</v>
      </c>
      <c r="F280">
        <v>0</v>
      </c>
      <c r="G280">
        <v>2</v>
      </c>
      <c r="H280">
        <v>2</v>
      </c>
    </row>
    <row r="281" spans="1:8">
      <c r="A281">
        <v>279</v>
      </c>
      <c r="B281">
        <v>280</v>
      </c>
      <c r="C281">
        <v>0.1212</v>
      </c>
      <c r="D281">
        <v>0.5</v>
      </c>
      <c r="E281">
        <v>0.35820000000000002</v>
      </c>
      <c r="F281">
        <v>0</v>
      </c>
      <c r="G281">
        <v>2</v>
      </c>
      <c r="H281">
        <v>2</v>
      </c>
    </row>
    <row r="282" spans="1:8">
      <c r="A282">
        <v>280</v>
      </c>
      <c r="B282">
        <v>281</v>
      </c>
      <c r="C282">
        <v>0.1212</v>
      </c>
      <c r="D282">
        <v>0.5</v>
      </c>
      <c r="E282">
        <v>0.32840000000000003</v>
      </c>
      <c r="F282">
        <v>0</v>
      </c>
      <c r="G282">
        <v>3</v>
      </c>
      <c r="H282">
        <v>3</v>
      </c>
    </row>
    <row r="283" spans="1:8">
      <c r="A283">
        <v>281</v>
      </c>
      <c r="B283">
        <v>282</v>
      </c>
      <c r="C283">
        <v>0.1212</v>
      </c>
      <c r="D283">
        <v>0.5</v>
      </c>
      <c r="E283">
        <v>0.25369999999999998</v>
      </c>
      <c r="F283">
        <v>0</v>
      </c>
      <c r="G283">
        <v>4</v>
      </c>
      <c r="H283">
        <v>4</v>
      </c>
    </row>
    <row r="284" spans="1:8">
      <c r="A284">
        <v>282</v>
      </c>
      <c r="B284">
        <v>283</v>
      </c>
      <c r="C284">
        <v>0.1212</v>
      </c>
      <c r="D284">
        <v>0.5</v>
      </c>
      <c r="E284">
        <v>0.29849999999999999</v>
      </c>
      <c r="F284">
        <v>0</v>
      </c>
      <c r="G284">
        <v>3</v>
      </c>
      <c r="H284">
        <v>3</v>
      </c>
    </row>
    <row r="285" spans="1:8">
      <c r="A285">
        <v>283</v>
      </c>
      <c r="B285">
        <v>284</v>
      </c>
      <c r="C285">
        <v>0.1515</v>
      </c>
      <c r="D285">
        <v>0.54</v>
      </c>
      <c r="E285">
        <v>0.1343</v>
      </c>
      <c r="F285">
        <v>0</v>
      </c>
      <c r="G285">
        <v>28</v>
      </c>
      <c r="H285">
        <v>28</v>
      </c>
    </row>
    <row r="286" spans="1:8">
      <c r="A286">
        <v>284</v>
      </c>
      <c r="B286">
        <v>285</v>
      </c>
      <c r="C286">
        <v>0.1515</v>
      </c>
      <c r="D286">
        <v>0.54</v>
      </c>
      <c r="E286">
        <v>0.1343</v>
      </c>
      <c r="F286">
        <v>0</v>
      </c>
      <c r="G286">
        <v>72</v>
      </c>
      <c r="H286">
        <v>72</v>
      </c>
    </row>
    <row r="287" spans="1:8">
      <c r="A287">
        <v>285</v>
      </c>
      <c r="B287">
        <v>286</v>
      </c>
      <c r="C287">
        <v>0.13639999999999999</v>
      </c>
      <c r="D287">
        <v>0.5</v>
      </c>
      <c r="E287">
        <v>0.19400000000000001</v>
      </c>
      <c r="F287">
        <v>5</v>
      </c>
      <c r="G287">
        <v>197</v>
      </c>
      <c r="H287">
        <v>202</v>
      </c>
    </row>
    <row r="288" spans="1:8">
      <c r="A288">
        <v>286</v>
      </c>
      <c r="B288">
        <v>287</v>
      </c>
      <c r="C288">
        <v>0.1212</v>
      </c>
      <c r="D288">
        <v>0.5</v>
      </c>
      <c r="E288">
        <v>0.32840000000000003</v>
      </c>
      <c r="F288">
        <v>2</v>
      </c>
      <c r="G288">
        <v>137</v>
      </c>
      <c r="H288">
        <v>139</v>
      </c>
    </row>
    <row r="289" spans="1:8">
      <c r="A289">
        <v>287</v>
      </c>
      <c r="B289">
        <v>288</v>
      </c>
      <c r="C289">
        <v>0.13639999999999999</v>
      </c>
      <c r="D289">
        <v>0.5</v>
      </c>
      <c r="E289">
        <v>0.35820000000000002</v>
      </c>
      <c r="F289">
        <v>2</v>
      </c>
      <c r="G289">
        <v>36</v>
      </c>
      <c r="H289">
        <v>38</v>
      </c>
    </row>
    <row r="290" spans="1:8">
      <c r="A290">
        <v>288</v>
      </c>
      <c r="B290">
        <v>289</v>
      </c>
      <c r="C290">
        <v>0.16669999999999999</v>
      </c>
      <c r="D290">
        <v>0.44</v>
      </c>
      <c r="E290">
        <v>0.44779999999999998</v>
      </c>
      <c r="F290">
        <v>4</v>
      </c>
      <c r="G290">
        <v>33</v>
      </c>
      <c r="H290">
        <v>37</v>
      </c>
    </row>
    <row r="291" spans="1:8">
      <c r="A291">
        <v>289</v>
      </c>
      <c r="B291">
        <v>290</v>
      </c>
      <c r="C291">
        <v>0.16669999999999999</v>
      </c>
      <c r="D291">
        <v>0.44</v>
      </c>
      <c r="E291">
        <v>0.41789999999999999</v>
      </c>
      <c r="F291">
        <v>3</v>
      </c>
      <c r="G291">
        <v>49</v>
      </c>
      <c r="H291">
        <v>52</v>
      </c>
    </row>
    <row r="292" spans="1:8">
      <c r="A292">
        <v>290</v>
      </c>
      <c r="B292">
        <v>291</v>
      </c>
      <c r="C292">
        <v>0.19700000000000001</v>
      </c>
      <c r="D292">
        <v>0.41</v>
      </c>
      <c r="E292">
        <v>0.44779999999999998</v>
      </c>
      <c r="F292">
        <v>2</v>
      </c>
      <c r="G292">
        <v>81</v>
      </c>
      <c r="H292">
        <v>83</v>
      </c>
    </row>
    <row r="293" spans="1:8">
      <c r="A293">
        <v>291</v>
      </c>
      <c r="B293">
        <v>292</v>
      </c>
      <c r="C293">
        <v>0.19700000000000001</v>
      </c>
      <c r="D293">
        <v>0.41</v>
      </c>
      <c r="E293">
        <v>0.3881</v>
      </c>
      <c r="F293">
        <v>3</v>
      </c>
      <c r="G293">
        <v>39</v>
      </c>
      <c r="H293">
        <v>42</v>
      </c>
    </row>
    <row r="294" spans="1:8">
      <c r="A294">
        <v>292</v>
      </c>
      <c r="B294">
        <v>293</v>
      </c>
      <c r="C294">
        <v>0.21210000000000001</v>
      </c>
      <c r="D294">
        <v>0.38</v>
      </c>
      <c r="E294">
        <v>0.29849999999999999</v>
      </c>
      <c r="F294">
        <v>5</v>
      </c>
      <c r="G294">
        <v>55</v>
      </c>
      <c r="H294">
        <v>60</v>
      </c>
    </row>
    <row r="295" spans="1:8">
      <c r="A295">
        <v>293</v>
      </c>
      <c r="B295">
        <v>294</v>
      </c>
      <c r="C295">
        <v>0.21210000000000001</v>
      </c>
      <c r="D295">
        <v>0.38</v>
      </c>
      <c r="E295">
        <v>0.35820000000000002</v>
      </c>
      <c r="F295">
        <v>2</v>
      </c>
      <c r="G295">
        <v>76</v>
      </c>
      <c r="H295">
        <v>78</v>
      </c>
    </row>
    <row r="296" spans="1:8">
      <c r="A296">
        <v>294</v>
      </c>
      <c r="B296">
        <v>295</v>
      </c>
      <c r="C296">
        <v>0.18179999999999999</v>
      </c>
      <c r="D296">
        <v>0.4</v>
      </c>
      <c r="E296">
        <v>0.28360000000000002</v>
      </c>
      <c r="F296">
        <v>4</v>
      </c>
      <c r="G296">
        <v>158</v>
      </c>
      <c r="H296">
        <v>162</v>
      </c>
    </row>
    <row r="297" spans="1:8">
      <c r="A297">
        <v>295</v>
      </c>
      <c r="B297">
        <v>296</v>
      </c>
      <c r="C297">
        <v>0.18179999999999999</v>
      </c>
      <c r="D297">
        <v>0.4</v>
      </c>
      <c r="E297">
        <v>0.32840000000000003</v>
      </c>
      <c r="F297">
        <v>3</v>
      </c>
      <c r="G297">
        <v>141</v>
      </c>
      <c r="H297">
        <v>144</v>
      </c>
    </row>
    <row r="298" spans="1:8">
      <c r="A298">
        <v>296</v>
      </c>
      <c r="B298">
        <v>297</v>
      </c>
      <c r="C298">
        <v>0.1515</v>
      </c>
      <c r="D298">
        <v>0.47</v>
      </c>
      <c r="E298">
        <v>0.25369999999999998</v>
      </c>
      <c r="F298">
        <v>1</v>
      </c>
      <c r="G298">
        <v>98</v>
      </c>
      <c r="H298">
        <v>99</v>
      </c>
    </row>
    <row r="299" spans="1:8">
      <c r="A299">
        <v>297</v>
      </c>
      <c r="B299">
        <v>298</v>
      </c>
      <c r="C299">
        <v>0.1515</v>
      </c>
      <c r="D299">
        <v>0.47</v>
      </c>
      <c r="E299">
        <v>0.22389999999999999</v>
      </c>
      <c r="F299">
        <v>0</v>
      </c>
      <c r="G299">
        <v>64</v>
      </c>
      <c r="H299">
        <v>64</v>
      </c>
    </row>
    <row r="300" spans="1:8">
      <c r="A300">
        <v>298</v>
      </c>
      <c r="B300">
        <v>299</v>
      </c>
      <c r="C300">
        <v>0.1212</v>
      </c>
      <c r="D300">
        <v>0.46</v>
      </c>
      <c r="E300">
        <v>0.29849999999999999</v>
      </c>
      <c r="F300">
        <v>0</v>
      </c>
      <c r="G300">
        <v>40</v>
      </c>
      <c r="H300">
        <v>40</v>
      </c>
    </row>
    <row r="301" spans="1:8">
      <c r="A301">
        <v>299</v>
      </c>
      <c r="B301">
        <v>300</v>
      </c>
      <c r="C301">
        <v>0.1212</v>
      </c>
      <c r="D301">
        <v>0.46</v>
      </c>
      <c r="E301">
        <v>0.32840000000000003</v>
      </c>
      <c r="F301">
        <v>0</v>
      </c>
      <c r="G301">
        <v>30</v>
      </c>
      <c r="H301">
        <v>30</v>
      </c>
    </row>
    <row r="302" spans="1:8">
      <c r="A302">
        <v>300</v>
      </c>
      <c r="B302">
        <v>301</v>
      </c>
      <c r="C302">
        <v>0.13639999999999999</v>
      </c>
      <c r="D302">
        <v>0.5</v>
      </c>
      <c r="E302">
        <v>0.19400000000000001</v>
      </c>
      <c r="F302">
        <v>1</v>
      </c>
      <c r="G302">
        <v>14</v>
      </c>
      <c r="H302">
        <v>15</v>
      </c>
    </row>
    <row r="303" spans="1:8">
      <c r="A303">
        <v>301</v>
      </c>
      <c r="B303">
        <v>302</v>
      </c>
      <c r="C303">
        <v>0.13639999999999999</v>
      </c>
      <c r="D303">
        <v>0.5</v>
      </c>
      <c r="E303">
        <v>0.19400000000000001</v>
      </c>
      <c r="F303">
        <v>0</v>
      </c>
      <c r="G303">
        <v>14</v>
      </c>
      <c r="H303">
        <v>14</v>
      </c>
    </row>
    <row r="304" spans="1:8">
      <c r="A304">
        <v>302</v>
      </c>
      <c r="B304">
        <v>303</v>
      </c>
      <c r="C304">
        <v>0.1212</v>
      </c>
      <c r="D304">
        <v>0.54</v>
      </c>
      <c r="E304">
        <v>0.16420000000000001</v>
      </c>
      <c r="F304">
        <v>0</v>
      </c>
      <c r="G304">
        <v>5</v>
      </c>
      <c r="H304">
        <v>5</v>
      </c>
    </row>
    <row r="305" spans="1:8">
      <c r="A305">
        <v>303</v>
      </c>
      <c r="B305">
        <v>304</v>
      </c>
      <c r="C305">
        <v>0.1212</v>
      </c>
      <c r="D305">
        <v>0.54</v>
      </c>
      <c r="E305">
        <v>0.1343</v>
      </c>
      <c r="F305">
        <v>0</v>
      </c>
      <c r="G305">
        <v>1</v>
      </c>
      <c r="H305">
        <v>1</v>
      </c>
    </row>
    <row r="306" spans="1:8">
      <c r="A306">
        <v>304</v>
      </c>
      <c r="B306">
        <v>305</v>
      </c>
      <c r="C306">
        <v>0.13639999999999999</v>
      </c>
      <c r="D306">
        <v>0.54</v>
      </c>
      <c r="E306">
        <v>0.1045</v>
      </c>
      <c r="F306">
        <v>0</v>
      </c>
      <c r="G306">
        <v>1</v>
      </c>
      <c r="H306">
        <v>1</v>
      </c>
    </row>
    <row r="307" spans="1:8">
      <c r="A307">
        <v>305</v>
      </c>
      <c r="B307">
        <v>306</v>
      </c>
      <c r="C307">
        <v>0.13639999999999999</v>
      </c>
      <c r="D307">
        <v>0.54</v>
      </c>
      <c r="E307">
        <v>8.9599999999999999E-2</v>
      </c>
      <c r="F307">
        <v>0</v>
      </c>
      <c r="G307">
        <v>8</v>
      </c>
      <c r="H307">
        <v>8</v>
      </c>
    </row>
    <row r="308" spans="1:8">
      <c r="A308">
        <v>306</v>
      </c>
      <c r="B308">
        <v>307</v>
      </c>
      <c r="C308">
        <v>0.18179999999999999</v>
      </c>
      <c r="D308">
        <v>0.54</v>
      </c>
      <c r="E308">
        <v>0</v>
      </c>
      <c r="F308">
        <v>0</v>
      </c>
      <c r="G308">
        <v>17</v>
      </c>
      <c r="H308">
        <v>17</v>
      </c>
    </row>
    <row r="309" spans="1:8">
      <c r="A309">
        <v>307</v>
      </c>
      <c r="B309">
        <v>308</v>
      </c>
      <c r="C309">
        <v>0.1212</v>
      </c>
      <c r="D309">
        <v>0.74</v>
      </c>
      <c r="E309">
        <v>0.16420000000000001</v>
      </c>
      <c r="F309">
        <v>0</v>
      </c>
      <c r="G309">
        <v>70</v>
      </c>
      <c r="H309">
        <v>70</v>
      </c>
    </row>
    <row r="310" spans="1:8">
      <c r="A310">
        <v>308</v>
      </c>
      <c r="B310">
        <v>309</v>
      </c>
      <c r="C310">
        <v>0.16669999999999999</v>
      </c>
      <c r="D310">
        <v>0.68</v>
      </c>
      <c r="E310">
        <v>0</v>
      </c>
      <c r="F310">
        <v>2</v>
      </c>
      <c r="G310">
        <v>156</v>
      </c>
      <c r="H310">
        <v>158</v>
      </c>
    </row>
    <row r="311" spans="1:8">
      <c r="A311">
        <v>309</v>
      </c>
      <c r="B311">
        <v>310</v>
      </c>
      <c r="C311">
        <v>0.1515</v>
      </c>
      <c r="D311">
        <v>0.69</v>
      </c>
      <c r="E311">
        <v>0.1343</v>
      </c>
      <c r="F311">
        <v>0</v>
      </c>
      <c r="G311">
        <v>117</v>
      </c>
      <c r="H311">
        <v>117</v>
      </c>
    </row>
    <row r="312" spans="1:8">
      <c r="A312">
        <v>310</v>
      </c>
      <c r="B312">
        <v>311</v>
      </c>
      <c r="C312">
        <v>0.18179999999999999</v>
      </c>
      <c r="D312">
        <v>0.55000000000000004</v>
      </c>
      <c r="E312">
        <v>0.19400000000000001</v>
      </c>
      <c r="F312">
        <v>4</v>
      </c>
      <c r="G312">
        <v>40</v>
      </c>
      <c r="H312">
        <v>44</v>
      </c>
    </row>
    <row r="313" spans="1:8">
      <c r="A313">
        <v>311</v>
      </c>
      <c r="B313">
        <v>312</v>
      </c>
      <c r="C313">
        <v>0.16669999999999999</v>
      </c>
      <c r="D313">
        <v>0.51</v>
      </c>
      <c r="E313">
        <v>0.28360000000000002</v>
      </c>
      <c r="F313">
        <v>6</v>
      </c>
      <c r="G313">
        <v>47</v>
      </c>
      <c r="H313">
        <v>53</v>
      </c>
    </row>
    <row r="314" spans="1:8">
      <c r="A314">
        <v>312</v>
      </c>
      <c r="B314">
        <v>313</v>
      </c>
      <c r="C314">
        <v>0.19700000000000001</v>
      </c>
      <c r="D314">
        <v>0.44</v>
      </c>
      <c r="E314">
        <v>0.25369999999999998</v>
      </c>
      <c r="F314">
        <v>2</v>
      </c>
      <c r="G314">
        <v>59</v>
      </c>
      <c r="H314">
        <v>61</v>
      </c>
    </row>
    <row r="315" spans="1:8">
      <c r="A315">
        <v>313</v>
      </c>
      <c r="B315">
        <v>314</v>
      </c>
      <c r="C315">
        <v>0.19700000000000001</v>
      </c>
      <c r="D315">
        <v>0.37</v>
      </c>
      <c r="E315">
        <v>0.3881</v>
      </c>
      <c r="F315">
        <v>4</v>
      </c>
      <c r="G315">
        <v>73</v>
      </c>
      <c r="H315">
        <v>77</v>
      </c>
    </row>
    <row r="316" spans="1:8">
      <c r="A316">
        <v>314</v>
      </c>
      <c r="B316">
        <v>315</v>
      </c>
      <c r="C316">
        <v>0.21210000000000001</v>
      </c>
      <c r="D316">
        <v>0.41</v>
      </c>
      <c r="E316">
        <v>0.28360000000000002</v>
      </c>
      <c r="F316">
        <v>5</v>
      </c>
      <c r="G316">
        <v>59</v>
      </c>
      <c r="H316">
        <v>64</v>
      </c>
    </row>
    <row r="317" spans="1:8">
      <c r="A317">
        <v>315</v>
      </c>
      <c r="B317">
        <v>316</v>
      </c>
      <c r="C317">
        <v>0.2424</v>
      </c>
      <c r="D317">
        <v>0.38</v>
      </c>
      <c r="E317">
        <v>0.16420000000000001</v>
      </c>
      <c r="F317">
        <v>9</v>
      </c>
      <c r="G317">
        <v>59</v>
      </c>
      <c r="H317">
        <v>68</v>
      </c>
    </row>
    <row r="318" spans="1:8">
      <c r="A318">
        <v>316</v>
      </c>
      <c r="B318">
        <v>317</v>
      </c>
      <c r="C318">
        <v>0.2424</v>
      </c>
      <c r="D318">
        <v>0.41</v>
      </c>
      <c r="E318">
        <v>0.1045</v>
      </c>
      <c r="F318">
        <v>3</v>
      </c>
      <c r="G318">
        <v>87</v>
      </c>
      <c r="H318">
        <v>90</v>
      </c>
    </row>
    <row r="319" spans="1:8">
      <c r="A319">
        <v>317</v>
      </c>
      <c r="B319">
        <v>318</v>
      </c>
      <c r="C319">
        <v>0.2273</v>
      </c>
      <c r="D319">
        <v>0.41</v>
      </c>
      <c r="E319">
        <v>0.16420000000000001</v>
      </c>
      <c r="F319">
        <v>4</v>
      </c>
      <c r="G319">
        <v>155</v>
      </c>
      <c r="H319">
        <v>159</v>
      </c>
    </row>
    <row r="320" spans="1:8">
      <c r="A320">
        <v>318</v>
      </c>
      <c r="B320">
        <v>319</v>
      </c>
      <c r="C320">
        <v>0.2576</v>
      </c>
      <c r="D320">
        <v>0.47</v>
      </c>
      <c r="E320">
        <v>0</v>
      </c>
      <c r="F320">
        <v>5</v>
      </c>
      <c r="G320">
        <v>134</v>
      </c>
      <c r="H320">
        <v>139</v>
      </c>
    </row>
    <row r="321" spans="1:8">
      <c r="A321">
        <v>319</v>
      </c>
      <c r="B321">
        <v>320</v>
      </c>
      <c r="C321">
        <v>0.19700000000000001</v>
      </c>
      <c r="D321">
        <v>0.59</v>
      </c>
      <c r="E321">
        <v>8.9599999999999999E-2</v>
      </c>
      <c r="F321">
        <v>3</v>
      </c>
      <c r="G321">
        <v>89</v>
      </c>
      <c r="H321">
        <v>92</v>
      </c>
    </row>
    <row r="322" spans="1:8">
      <c r="A322">
        <v>320</v>
      </c>
      <c r="B322">
        <v>321</v>
      </c>
      <c r="C322">
        <v>0.2424</v>
      </c>
      <c r="D322">
        <v>0.59</v>
      </c>
      <c r="E322">
        <v>0</v>
      </c>
      <c r="F322">
        <v>0</v>
      </c>
      <c r="G322">
        <v>68</v>
      </c>
      <c r="H322">
        <v>68</v>
      </c>
    </row>
    <row r="323" spans="1:8">
      <c r="A323">
        <v>321</v>
      </c>
      <c r="B323">
        <v>322</v>
      </c>
      <c r="C323">
        <v>0.2273</v>
      </c>
      <c r="D323">
        <v>0.69</v>
      </c>
      <c r="E323">
        <v>0</v>
      </c>
      <c r="F323">
        <v>4</v>
      </c>
      <c r="G323">
        <v>48</v>
      </c>
      <c r="H323">
        <v>52</v>
      </c>
    </row>
    <row r="324" spans="1:8">
      <c r="A324">
        <v>322</v>
      </c>
      <c r="B324">
        <v>323</v>
      </c>
      <c r="C324">
        <v>0.2273</v>
      </c>
      <c r="D324">
        <v>0.69</v>
      </c>
      <c r="E324">
        <v>0</v>
      </c>
      <c r="F324">
        <v>2</v>
      </c>
      <c r="G324">
        <v>34</v>
      </c>
      <c r="H324">
        <v>36</v>
      </c>
    </row>
    <row r="325" spans="1:8">
      <c r="A325">
        <v>323</v>
      </c>
      <c r="B325">
        <v>324</v>
      </c>
      <c r="C325">
        <v>0.2424</v>
      </c>
      <c r="D325">
        <v>0.55000000000000004</v>
      </c>
      <c r="E325">
        <v>0</v>
      </c>
      <c r="F325">
        <v>1</v>
      </c>
      <c r="G325">
        <v>26</v>
      </c>
      <c r="H325">
        <v>27</v>
      </c>
    </row>
    <row r="326" spans="1:8">
      <c r="A326">
        <v>324</v>
      </c>
      <c r="B326">
        <v>325</v>
      </c>
      <c r="C326">
        <v>0.2424</v>
      </c>
      <c r="D326">
        <v>0.55000000000000004</v>
      </c>
      <c r="E326">
        <v>0</v>
      </c>
      <c r="F326">
        <v>3</v>
      </c>
      <c r="G326">
        <v>25</v>
      </c>
      <c r="H326">
        <v>28</v>
      </c>
    </row>
    <row r="327" spans="1:8">
      <c r="A327">
        <v>325</v>
      </c>
      <c r="B327">
        <v>326</v>
      </c>
      <c r="C327">
        <v>0.19700000000000001</v>
      </c>
      <c r="D327">
        <v>0.59</v>
      </c>
      <c r="E327">
        <v>8.9599999999999999E-2</v>
      </c>
      <c r="F327">
        <v>2</v>
      </c>
      <c r="G327">
        <v>18</v>
      </c>
      <c r="H327">
        <v>20</v>
      </c>
    </row>
    <row r="328" spans="1:8">
      <c r="A328">
        <v>326</v>
      </c>
      <c r="B328">
        <v>327</v>
      </c>
      <c r="C328">
        <v>0.19700000000000001</v>
      </c>
      <c r="D328">
        <v>0.59</v>
      </c>
      <c r="E328">
        <v>8.9599999999999999E-2</v>
      </c>
      <c r="F328">
        <v>0</v>
      </c>
      <c r="G328">
        <v>12</v>
      </c>
      <c r="H328">
        <v>12</v>
      </c>
    </row>
    <row r="329" spans="1:8">
      <c r="A329">
        <v>327</v>
      </c>
      <c r="B329">
        <v>328</v>
      </c>
      <c r="C329">
        <v>0.2273</v>
      </c>
      <c r="D329">
        <v>0.59</v>
      </c>
      <c r="E329">
        <v>0</v>
      </c>
      <c r="F329">
        <v>1</v>
      </c>
      <c r="G329">
        <v>7</v>
      </c>
      <c r="H329">
        <v>8</v>
      </c>
    </row>
    <row r="330" spans="1:8">
      <c r="A330">
        <v>328</v>
      </c>
      <c r="B330">
        <v>329</v>
      </c>
      <c r="C330">
        <v>0.2273</v>
      </c>
      <c r="D330">
        <v>0.59</v>
      </c>
      <c r="E330">
        <v>0</v>
      </c>
      <c r="F330">
        <v>0</v>
      </c>
      <c r="G330">
        <v>5</v>
      </c>
      <c r="H330">
        <v>5</v>
      </c>
    </row>
    <row r="331" spans="1:8">
      <c r="A331">
        <v>329</v>
      </c>
      <c r="B331">
        <v>330</v>
      </c>
      <c r="C331">
        <v>0.2273</v>
      </c>
      <c r="D331">
        <v>0.59</v>
      </c>
      <c r="E331">
        <v>0</v>
      </c>
      <c r="F331">
        <v>0</v>
      </c>
      <c r="G331">
        <v>1</v>
      </c>
      <c r="H331">
        <v>1</v>
      </c>
    </row>
    <row r="332" spans="1:8">
      <c r="A332">
        <v>330</v>
      </c>
      <c r="B332">
        <v>331</v>
      </c>
      <c r="C332">
        <v>0.16669999999999999</v>
      </c>
      <c r="D332">
        <v>0.63</v>
      </c>
      <c r="E332">
        <v>0.1045</v>
      </c>
      <c r="F332">
        <v>1</v>
      </c>
      <c r="G332">
        <v>2</v>
      </c>
      <c r="H332">
        <v>3</v>
      </c>
    </row>
    <row r="333" spans="1:8">
      <c r="A333">
        <v>331</v>
      </c>
      <c r="B333">
        <v>332</v>
      </c>
      <c r="C333">
        <v>0.21210000000000001</v>
      </c>
      <c r="D333">
        <v>0.63</v>
      </c>
      <c r="E333">
        <v>0</v>
      </c>
      <c r="F333">
        <v>1</v>
      </c>
      <c r="G333">
        <v>9</v>
      </c>
      <c r="H333">
        <v>10</v>
      </c>
    </row>
    <row r="334" spans="1:8">
      <c r="A334">
        <v>332</v>
      </c>
      <c r="B334">
        <v>333</v>
      </c>
      <c r="C334">
        <v>0.1515</v>
      </c>
      <c r="D334">
        <v>0.63</v>
      </c>
      <c r="E334">
        <v>0.1343</v>
      </c>
      <c r="F334">
        <v>1</v>
      </c>
      <c r="G334">
        <v>22</v>
      </c>
      <c r="H334">
        <v>23</v>
      </c>
    </row>
    <row r="335" spans="1:8">
      <c r="A335">
        <v>333</v>
      </c>
      <c r="B335">
        <v>334</v>
      </c>
      <c r="C335">
        <v>0.18179999999999999</v>
      </c>
      <c r="D335">
        <v>0.64</v>
      </c>
      <c r="E335">
        <v>0.1343</v>
      </c>
      <c r="F335">
        <v>2</v>
      </c>
      <c r="G335">
        <v>31</v>
      </c>
      <c r="H335">
        <v>33</v>
      </c>
    </row>
    <row r="336" spans="1:8">
      <c r="A336">
        <v>334</v>
      </c>
      <c r="B336">
        <v>335</v>
      </c>
      <c r="C336">
        <v>0.19700000000000001</v>
      </c>
      <c r="D336">
        <v>0.59</v>
      </c>
      <c r="E336">
        <v>0.16420000000000001</v>
      </c>
      <c r="F336">
        <v>2</v>
      </c>
      <c r="G336">
        <v>57</v>
      </c>
      <c r="H336">
        <v>59</v>
      </c>
    </row>
    <row r="337" spans="1:8">
      <c r="A337">
        <v>335</v>
      </c>
      <c r="B337">
        <v>336</v>
      </c>
      <c r="C337">
        <v>0.19700000000000001</v>
      </c>
      <c r="D337">
        <v>0.55000000000000004</v>
      </c>
      <c r="E337">
        <v>0.22389999999999999</v>
      </c>
      <c r="F337">
        <v>18</v>
      </c>
      <c r="G337">
        <v>54</v>
      </c>
      <c r="H337">
        <v>72</v>
      </c>
    </row>
    <row r="338" spans="1:8">
      <c r="A338">
        <v>336</v>
      </c>
      <c r="B338">
        <v>337</v>
      </c>
      <c r="C338">
        <v>0.2273</v>
      </c>
      <c r="D338">
        <v>0.48</v>
      </c>
      <c r="E338">
        <v>0.22389999999999999</v>
      </c>
      <c r="F338">
        <v>15</v>
      </c>
      <c r="G338">
        <v>74</v>
      </c>
      <c r="H338">
        <v>89</v>
      </c>
    </row>
    <row r="339" spans="1:8">
      <c r="A339">
        <v>337</v>
      </c>
      <c r="B339">
        <v>338</v>
      </c>
      <c r="C339">
        <v>0.2576</v>
      </c>
      <c r="D339">
        <v>0.38</v>
      </c>
      <c r="E339">
        <v>0.29849999999999999</v>
      </c>
      <c r="F339">
        <v>21</v>
      </c>
      <c r="G339">
        <v>80</v>
      </c>
      <c r="H339">
        <v>101</v>
      </c>
    </row>
    <row r="340" spans="1:8">
      <c r="A340">
        <v>338</v>
      </c>
      <c r="B340">
        <v>339</v>
      </c>
      <c r="C340">
        <v>0.28789999999999999</v>
      </c>
      <c r="D340">
        <v>0.39</v>
      </c>
      <c r="E340">
        <v>0.28360000000000002</v>
      </c>
      <c r="F340">
        <v>26</v>
      </c>
      <c r="G340">
        <v>92</v>
      </c>
      <c r="H340">
        <v>118</v>
      </c>
    </row>
    <row r="341" spans="1:8">
      <c r="A341">
        <v>339</v>
      </c>
      <c r="B341">
        <v>340</v>
      </c>
      <c r="C341">
        <v>0.31819999999999998</v>
      </c>
      <c r="D341">
        <v>0.36</v>
      </c>
      <c r="E341">
        <v>0.19400000000000001</v>
      </c>
      <c r="F341">
        <v>21</v>
      </c>
      <c r="G341">
        <v>108</v>
      </c>
      <c r="H341">
        <v>129</v>
      </c>
    </row>
    <row r="342" spans="1:8">
      <c r="A342">
        <v>340</v>
      </c>
      <c r="B342">
        <v>341</v>
      </c>
      <c r="C342">
        <v>0.33329999999999999</v>
      </c>
      <c r="D342">
        <v>0.34</v>
      </c>
      <c r="E342">
        <v>0.19400000000000001</v>
      </c>
      <c r="F342">
        <v>33</v>
      </c>
      <c r="G342">
        <v>95</v>
      </c>
      <c r="H342">
        <v>128</v>
      </c>
    </row>
    <row r="343" spans="1:8">
      <c r="A343">
        <v>341</v>
      </c>
      <c r="B343">
        <v>342</v>
      </c>
      <c r="C343">
        <v>0.30299999999999999</v>
      </c>
      <c r="D343">
        <v>0.36</v>
      </c>
      <c r="E343">
        <v>0.28360000000000002</v>
      </c>
      <c r="F343">
        <v>29</v>
      </c>
      <c r="G343">
        <v>54</v>
      </c>
      <c r="H343">
        <v>83</v>
      </c>
    </row>
    <row r="344" spans="1:8">
      <c r="A344">
        <v>342</v>
      </c>
      <c r="B344">
        <v>343</v>
      </c>
      <c r="C344">
        <v>0.28789999999999999</v>
      </c>
      <c r="D344">
        <v>0.45</v>
      </c>
      <c r="E344">
        <v>0.25369999999999998</v>
      </c>
      <c r="F344">
        <v>15</v>
      </c>
      <c r="G344">
        <v>69</v>
      </c>
      <c r="H344">
        <v>84</v>
      </c>
    </row>
    <row r="345" spans="1:8">
      <c r="A345">
        <v>343</v>
      </c>
      <c r="B345">
        <v>344</v>
      </c>
      <c r="C345">
        <v>0.30299999999999999</v>
      </c>
      <c r="D345">
        <v>0.39</v>
      </c>
      <c r="E345">
        <v>0.25369999999999998</v>
      </c>
      <c r="F345">
        <v>14</v>
      </c>
      <c r="G345">
        <v>60</v>
      </c>
      <c r="H345">
        <v>74</v>
      </c>
    </row>
    <row r="346" spans="1:8">
      <c r="A346">
        <v>344</v>
      </c>
      <c r="B346">
        <v>345</v>
      </c>
      <c r="C346">
        <v>0.30299999999999999</v>
      </c>
      <c r="D346">
        <v>0.39</v>
      </c>
      <c r="E346">
        <v>0.25369999999999998</v>
      </c>
      <c r="F346">
        <v>6</v>
      </c>
      <c r="G346">
        <v>35</v>
      </c>
      <c r="H346">
        <v>41</v>
      </c>
    </row>
    <row r="347" spans="1:8">
      <c r="A347">
        <v>345</v>
      </c>
      <c r="B347">
        <v>346</v>
      </c>
      <c r="C347">
        <v>0.30299999999999999</v>
      </c>
      <c r="D347">
        <v>0.39</v>
      </c>
      <c r="E347">
        <v>0.22389999999999999</v>
      </c>
      <c r="F347">
        <v>6</v>
      </c>
      <c r="G347">
        <v>51</v>
      </c>
      <c r="H347">
        <v>57</v>
      </c>
    </row>
    <row r="348" spans="1:8">
      <c r="A348">
        <v>346</v>
      </c>
      <c r="B348">
        <v>347</v>
      </c>
      <c r="C348">
        <v>0.31819999999999998</v>
      </c>
      <c r="D348">
        <v>0.42</v>
      </c>
      <c r="E348">
        <v>0.1045</v>
      </c>
      <c r="F348">
        <v>0</v>
      </c>
      <c r="G348">
        <v>26</v>
      </c>
      <c r="H348">
        <v>26</v>
      </c>
    </row>
    <row r="349" spans="1:8">
      <c r="A349">
        <v>347</v>
      </c>
      <c r="B349">
        <v>348</v>
      </c>
      <c r="C349">
        <v>0.28789999999999999</v>
      </c>
      <c r="D349">
        <v>0.45</v>
      </c>
      <c r="E349">
        <v>0.28360000000000002</v>
      </c>
      <c r="F349">
        <v>5</v>
      </c>
      <c r="G349">
        <v>39</v>
      </c>
      <c r="H349">
        <v>44</v>
      </c>
    </row>
    <row r="350" spans="1:8">
      <c r="A350">
        <v>348</v>
      </c>
      <c r="B350">
        <v>349</v>
      </c>
      <c r="C350">
        <v>0.30299999999999999</v>
      </c>
      <c r="D350">
        <v>0.56000000000000005</v>
      </c>
      <c r="E350">
        <v>0</v>
      </c>
      <c r="F350">
        <v>6</v>
      </c>
      <c r="G350">
        <v>33</v>
      </c>
      <c r="H350">
        <v>39</v>
      </c>
    </row>
    <row r="351" spans="1:8">
      <c r="A351">
        <v>349</v>
      </c>
      <c r="B351">
        <v>350</v>
      </c>
      <c r="C351">
        <v>0.2727</v>
      </c>
      <c r="D351">
        <v>0.56000000000000005</v>
      </c>
      <c r="E351">
        <v>0.1343</v>
      </c>
      <c r="F351">
        <v>4</v>
      </c>
      <c r="G351">
        <v>19</v>
      </c>
      <c r="H351">
        <v>23</v>
      </c>
    </row>
    <row r="352" spans="1:8">
      <c r="A352">
        <v>350</v>
      </c>
      <c r="B352">
        <v>351</v>
      </c>
      <c r="C352">
        <v>0.28789999999999999</v>
      </c>
      <c r="D352">
        <v>0.56000000000000005</v>
      </c>
      <c r="E352">
        <v>8.9599999999999999E-2</v>
      </c>
      <c r="F352">
        <v>3</v>
      </c>
      <c r="G352">
        <v>13</v>
      </c>
      <c r="H352">
        <v>16</v>
      </c>
    </row>
    <row r="353" spans="1:8">
      <c r="A353">
        <v>351</v>
      </c>
      <c r="B353">
        <v>352</v>
      </c>
      <c r="C353">
        <v>0.2727</v>
      </c>
      <c r="D353">
        <v>0.69</v>
      </c>
      <c r="E353">
        <v>0</v>
      </c>
      <c r="F353">
        <v>9</v>
      </c>
      <c r="G353">
        <v>6</v>
      </c>
      <c r="H353">
        <v>15</v>
      </c>
    </row>
    <row r="354" spans="1:8">
      <c r="A354">
        <v>352</v>
      </c>
      <c r="B354">
        <v>353</v>
      </c>
      <c r="C354">
        <v>0.2576</v>
      </c>
      <c r="D354">
        <v>0.56000000000000005</v>
      </c>
      <c r="E354">
        <v>0.16420000000000001</v>
      </c>
      <c r="F354">
        <v>0</v>
      </c>
      <c r="G354">
        <v>1</v>
      </c>
      <c r="H354">
        <v>1</v>
      </c>
    </row>
    <row r="355" spans="1:8">
      <c r="A355">
        <v>353</v>
      </c>
      <c r="B355">
        <v>354</v>
      </c>
      <c r="C355">
        <v>0.2576</v>
      </c>
      <c r="D355">
        <v>0.56000000000000005</v>
      </c>
      <c r="E355">
        <v>0.16420000000000001</v>
      </c>
      <c r="F355">
        <v>1</v>
      </c>
      <c r="G355">
        <v>1</v>
      </c>
      <c r="H355">
        <v>2</v>
      </c>
    </row>
    <row r="356" spans="1:8">
      <c r="A356">
        <v>354</v>
      </c>
      <c r="B356">
        <v>355</v>
      </c>
      <c r="C356">
        <v>0.2576</v>
      </c>
      <c r="D356">
        <v>0.56000000000000005</v>
      </c>
      <c r="E356">
        <v>0.16420000000000001</v>
      </c>
      <c r="F356">
        <v>0</v>
      </c>
      <c r="G356">
        <v>1</v>
      </c>
      <c r="H356">
        <v>1</v>
      </c>
    </row>
    <row r="357" spans="1:8">
      <c r="A357">
        <v>355</v>
      </c>
      <c r="B357">
        <v>356</v>
      </c>
      <c r="C357">
        <v>0.21210000000000001</v>
      </c>
      <c r="D357">
        <v>0.56000000000000005</v>
      </c>
      <c r="E357">
        <v>0.29849999999999999</v>
      </c>
      <c r="F357">
        <v>0</v>
      </c>
      <c r="G357">
        <v>3</v>
      </c>
      <c r="H357">
        <v>3</v>
      </c>
    </row>
    <row r="358" spans="1:8">
      <c r="A358">
        <v>356</v>
      </c>
      <c r="B358">
        <v>357</v>
      </c>
      <c r="C358">
        <v>0.21210000000000001</v>
      </c>
      <c r="D358">
        <v>0.55000000000000004</v>
      </c>
      <c r="E358">
        <v>0.28360000000000002</v>
      </c>
      <c r="F358">
        <v>0</v>
      </c>
      <c r="G358">
        <v>18</v>
      </c>
      <c r="H358">
        <v>18</v>
      </c>
    </row>
    <row r="359" spans="1:8">
      <c r="A359">
        <v>357</v>
      </c>
      <c r="B359">
        <v>358</v>
      </c>
      <c r="C359">
        <v>0.21210000000000001</v>
      </c>
      <c r="D359">
        <v>0.51</v>
      </c>
      <c r="E359">
        <v>0.25369999999999998</v>
      </c>
      <c r="F359">
        <v>3</v>
      </c>
      <c r="G359">
        <v>29</v>
      </c>
      <c r="H359">
        <v>32</v>
      </c>
    </row>
    <row r="360" spans="1:8">
      <c r="A360">
        <v>358</v>
      </c>
      <c r="B360">
        <v>359</v>
      </c>
      <c r="C360">
        <v>0.21210000000000001</v>
      </c>
      <c r="D360">
        <v>0.51</v>
      </c>
      <c r="E360">
        <v>0.28360000000000002</v>
      </c>
      <c r="F360">
        <v>8</v>
      </c>
      <c r="G360">
        <v>71</v>
      </c>
      <c r="H360">
        <v>79</v>
      </c>
    </row>
    <row r="361" spans="1:8">
      <c r="A361">
        <v>359</v>
      </c>
      <c r="B361">
        <v>360</v>
      </c>
      <c r="C361">
        <v>0.2273</v>
      </c>
      <c r="D361">
        <v>0.44</v>
      </c>
      <c r="E361">
        <v>0.25369999999999998</v>
      </c>
      <c r="F361">
        <v>23</v>
      </c>
      <c r="G361">
        <v>70</v>
      </c>
      <c r="H361">
        <v>93</v>
      </c>
    </row>
    <row r="362" spans="1:8">
      <c r="A362">
        <v>360</v>
      </c>
      <c r="B362">
        <v>361</v>
      </c>
      <c r="C362">
        <v>0.21210000000000001</v>
      </c>
      <c r="D362">
        <v>0.41</v>
      </c>
      <c r="E362">
        <v>0.28360000000000002</v>
      </c>
      <c r="F362">
        <v>29</v>
      </c>
      <c r="G362">
        <v>75</v>
      </c>
      <c r="H362">
        <v>104</v>
      </c>
    </row>
    <row r="363" spans="1:8">
      <c r="A363">
        <v>361</v>
      </c>
      <c r="B363">
        <v>362</v>
      </c>
      <c r="C363">
        <v>0.2273</v>
      </c>
      <c r="D363">
        <v>0.35</v>
      </c>
      <c r="E363">
        <v>0.29849999999999999</v>
      </c>
      <c r="F363">
        <v>23</v>
      </c>
      <c r="G363">
        <v>95</v>
      </c>
      <c r="H363">
        <v>118</v>
      </c>
    </row>
    <row r="364" spans="1:8">
      <c r="A364">
        <v>362</v>
      </c>
      <c r="B364">
        <v>363</v>
      </c>
      <c r="C364">
        <v>0.2727</v>
      </c>
      <c r="D364">
        <v>0.36</v>
      </c>
      <c r="E364">
        <v>0.25369999999999998</v>
      </c>
      <c r="F364">
        <v>22</v>
      </c>
      <c r="G364">
        <v>69</v>
      </c>
      <c r="H364">
        <v>91</v>
      </c>
    </row>
    <row r="365" spans="1:8">
      <c r="A365">
        <v>363</v>
      </c>
      <c r="B365">
        <v>364</v>
      </c>
      <c r="C365">
        <v>0.2424</v>
      </c>
      <c r="D365">
        <v>0.38</v>
      </c>
      <c r="E365">
        <v>0.25369999999999998</v>
      </c>
      <c r="F365">
        <v>35</v>
      </c>
      <c r="G365">
        <v>78</v>
      </c>
      <c r="H365">
        <v>113</v>
      </c>
    </row>
    <row r="366" spans="1:8">
      <c r="A366">
        <v>364</v>
      </c>
      <c r="B366">
        <v>365</v>
      </c>
      <c r="C366">
        <v>0.2273</v>
      </c>
      <c r="D366">
        <v>0.38</v>
      </c>
      <c r="E366">
        <v>0.22389999999999999</v>
      </c>
      <c r="F366">
        <v>22</v>
      </c>
      <c r="G366">
        <v>77</v>
      </c>
      <c r="H366">
        <v>99</v>
      </c>
    </row>
    <row r="367" spans="1:8">
      <c r="A367">
        <v>365</v>
      </c>
      <c r="B367">
        <v>366</v>
      </c>
      <c r="C367">
        <v>0.21210000000000001</v>
      </c>
      <c r="D367">
        <v>0.37</v>
      </c>
      <c r="E367">
        <v>0.25369999999999998</v>
      </c>
      <c r="F367">
        <v>23</v>
      </c>
      <c r="G367">
        <v>82</v>
      </c>
      <c r="H367">
        <v>105</v>
      </c>
    </row>
    <row r="368" spans="1:8">
      <c r="A368">
        <v>366</v>
      </c>
      <c r="B368">
        <v>367</v>
      </c>
      <c r="C368">
        <v>0.21210000000000001</v>
      </c>
      <c r="D368">
        <v>0.4</v>
      </c>
      <c r="E368">
        <v>0.16420000000000001</v>
      </c>
      <c r="F368">
        <v>11</v>
      </c>
      <c r="G368">
        <v>56</v>
      </c>
      <c r="H368">
        <v>67</v>
      </c>
    </row>
    <row r="369" spans="1:8">
      <c r="A369">
        <v>367</v>
      </c>
      <c r="B369">
        <v>368</v>
      </c>
      <c r="C369">
        <v>0.19700000000000001</v>
      </c>
      <c r="D369">
        <v>0.47</v>
      </c>
      <c r="E369">
        <v>0.1343</v>
      </c>
      <c r="F369">
        <v>14</v>
      </c>
      <c r="G369">
        <v>47</v>
      </c>
      <c r="H369">
        <v>61</v>
      </c>
    </row>
    <row r="370" spans="1:8">
      <c r="A370">
        <v>368</v>
      </c>
      <c r="B370">
        <v>369</v>
      </c>
      <c r="C370">
        <v>0.19700000000000001</v>
      </c>
      <c r="D370">
        <v>0.47</v>
      </c>
      <c r="E370">
        <v>0.16420000000000001</v>
      </c>
      <c r="F370">
        <v>7</v>
      </c>
      <c r="G370">
        <v>50</v>
      </c>
      <c r="H370">
        <v>57</v>
      </c>
    </row>
    <row r="371" spans="1:8">
      <c r="A371">
        <v>369</v>
      </c>
      <c r="B371">
        <v>370</v>
      </c>
      <c r="C371">
        <v>0.19700000000000001</v>
      </c>
      <c r="D371">
        <v>0.51</v>
      </c>
      <c r="E371">
        <v>0.16420000000000001</v>
      </c>
      <c r="F371">
        <v>6</v>
      </c>
      <c r="G371">
        <v>22</v>
      </c>
      <c r="H371">
        <v>28</v>
      </c>
    </row>
    <row r="372" spans="1:8">
      <c r="A372">
        <v>370</v>
      </c>
      <c r="B372">
        <v>371</v>
      </c>
      <c r="C372">
        <v>0.21210000000000001</v>
      </c>
      <c r="D372">
        <v>0.49</v>
      </c>
      <c r="E372">
        <v>0.1343</v>
      </c>
      <c r="F372">
        <v>2</v>
      </c>
      <c r="G372">
        <v>19</v>
      </c>
      <c r="H372">
        <v>21</v>
      </c>
    </row>
    <row r="373" spans="1:8">
      <c r="A373">
        <v>371</v>
      </c>
      <c r="B373">
        <v>372</v>
      </c>
      <c r="C373">
        <v>0.2273</v>
      </c>
      <c r="D373">
        <v>0.4</v>
      </c>
      <c r="E373">
        <v>0.1045</v>
      </c>
      <c r="F373">
        <v>0</v>
      </c>
      <c r="G373">
        <v>18</v>
      </c>
      <c r="H373">
        <v>18</v>
      </c>
    </row>
    <row r="374" spans="1:8">
      <c r="A374">
        <v>372</v>
      </c>
      <c r="B374">
        <v>373</v>
      </c>
      <c r="C374">
        <v>0.19700000000000001</v>
      </c>
      <c r="D374">
        <v>0.47</v>
      </c>
      <c r="E374">
        <v>0.22389999999999999</v>
      </c>
      <c r="F374">
        <v>1</v>
      </c>
      <c r="G374">
        <v>16</v>
      </c>
      <c r="H374">
        <v>17</v>
      </c>
    </row>
    <row r="375" spans="1:8">
      <c r="A375">
        <v>373</v>
      </c>
      <c r="B375">
        <v>374</v>
      </c>
      <c r="C375">
        <v>0.19700000000000001</v>
      </c>
      <c r="D375">
        <v>0.44</v>
      </c>
      <c r="E375">
        <v>0.19400000000000001</v>
      </c>
      <c r="F375">
        <v>1</v>
      </c>
      <c r="G375">
        <v>15</v>
      </c>
      <c r="H375">
        <v>16</v>
      </c>
    </row>
    <row r="376" spans="1:8">
      <c r="A376">
        <v>374</v>
      </c>
      <c r="B376">
        <v>375</v>
      </c>
      <c r="C376">
        <v>0.16669999999999999</v>
      </c>
      <c r="D376">
        <v>0.43</v>
      </c>
      <c r="E376">
        <v>0.25369999999999998</v>
      </c>
      <c r="F376">
        <v>0</v>
      </c>
      <c r="G376">
        <v>8</v>
      </c>
      <c r="H376">
        <v>8</v>
      </c>
    </row>
    <row r="377" spans="1:8">
      <c r="A377">
        <v>375</v>
      </c>
      <c r="B377">
        <v>376</v>
      </c>
      <c r="C377">
        <v>0.18179999999999999</v>
      </c>
      <c r="D377">
        <v>0.43</v>
      </c>
      <c r="E377">
        <v>0.19400000000000001</v>
      </c>
      <c r="F377">
        <v>0</v>
      </c>
      <c r="G377">
        <v>2</v>
      </c>
      <c r="H377">
        <v>2</v>
      </c>
    </row>
    <row r="378" spans="1:8">
      <c r="A378">
        <v>376</v>
      </c>
      <c r="B378">
        <v>377</v>
      </c>
      <c r="C378">
        <v>0.19700000000000001</v>
      </c>
      <c r="D378">
        <v>0.43</v>
      </c>
      <c r="E378">
        <v>0.1343</v>
      </c>
      <c r="F378">
        <v>1</v>
      </c>
      <c r="G378">
        <v>2</v>
      </c>
      <c r="H378">
        <v>3</v>
      </c>
    </row>
    <row r="379" spans="1:8">
      <c r="A379">
        <v>377</v>
      </c>
      <c r="B379">
        <v>378</v>
      </c>
      <c r="C379">
        <v>0.19700000000000001</v>
      </c>
      <c r="D379">
        <v>0.43</v>
      </c>
      <c r="E379">
        <v>0.16420000000000001</v>
      </c>
      <c r="F379">
        <v>0</v>
      </c>
      <c r="G379">
        <v>1</v>
      </c>
      <c r="H379">
        <v>1</v>
      </c>
    </row>
    <row r="380" spans="1:8">
      <c r="A380">
        <v>378</v>
      </c>
      <c r="B380">
        <v>379</v>
      </c>
      <c r="C380">
        <v>0.18179999999999999</v>
      </c>
      <c r="D380">
        <v>0.43</v>
      </c>
      <c r="E380">
        <v>0.19400000000000001</v>
      </c>
      <c r="F380">
        <v>0</v>
      </c>
      <c r="G380">
        <v>5</v>
      </c>
      <c r="H380">
        <v>5</v>
      </c>
    </row>
    <row r="381" spans="1:8">
      <c r="A381">
        <v>379</v>
      </c>
      <c r="B381">
        <v>380</v>
      </c>
      <c r="C381">
        <v>0.18179999999999999</v>
      </c>
      <c r="D381">
        <v>0.5</v>
      </c>
      <c r="E381">
        <v>0.1343</v>
      </c>
      <c r="F381">
        <v>4</v>
      </c>
      <c r="G381">
        <v>9</v>
      </c>
      <c r="H381">
        <v>13</v>
      </c>
    </row>
    <row r="382" spans="1:8">
      <c r="A382">
        <v>380</v>
      </c>
      <c r="B382">
        <v>381</v>
      </c>
      <c r="C382">
        <v>0.1515</v>
      </c>
      <c r="D382">
        <v>0.47</v>
      </c>
      <c r="E382">
        <v>0.22389999999999999</v>
      </c>
      <c r="F382">
        <v>3</v>
      </c>
      <c r="G382">
        <v>30</v>
      </c>
      <c r="H382">
        <v>33</v>
      </c>
    </row>
    <row r="383" spans="1:8">
      <c r="A383">
        <v>381</v>
      </c>
      <c r="B383">
        <v>382</v>
      </c>
      <c r="C383">
        <v>0.1515</v>
      </c>
      <c r="D383">
        <v>0.47</v>
      </c>
      <c r="E383">
        <v>0.22389999999999999</v>
      </c>
      <c r="F383">
        <v>8</v>
      </c>
      <c r="G383">
        <v>39</v>
      </c>
      <c r="H383">
        <v>47</v>
      </c>
    </row>
    <row r="384" spans="1:8">
      <c r="A384">
        <v>382</v>
      </c>
      <c r="B384">
        <v>383</v>
      </c>
      <c r="C384">
        <v>0.1515</v>
      </c>
      <c r="D384">
        <v>0.5</v>
      </c>
      <c r="E384">
        <v>0.25369999999999998</v>
      </c>
      <c r="F384">
        <v>7</v>
      </c>
      <c r="G384">
        <v>50</v>
      </c>
      <c r="H384">
        <v>57</v>
      </c>
    </row>
    <row r="385" spans="1:8">
      <c r="A385">
        <v>383</v>
      </c>
      <c r="B385">
        <v>384</v>
      </c>
      <c r="C385">
        <v>0.1515</v>
      </c>
      <c r="D385">
        <v>0.55000000000000004</v>
      </c>
      <c r="E385">
        <v>0.19400000000000001</v>
      </c>
      <c r="F385">
        <v>9</v>
      </c>
      <c r="G385">
        <v>55</v>
      </c>
      <c r="H385">
        <v>64</v>
      </c>
    </row>
    <row r="386" spans="1:8">
      <c r="A386">
        <v>384</v>
      </c>
      <c r="B386">
        <v>385</v>
      </c>
      <c r="C386">
        <v>0.19700000000000001</v>
      </c>
      <c r="D386">
        <v>0.47</v>
      </c>
      <c r="E386">
        <v>0.1343</v>
      </c>
      <c r="F386">
        <v>10</v>
      </c>
      <c r="G386">
        <v>70</v>
      </c>
      <c r="H386">
        <v>80</v>
      </c>
    </row>
    <row r="387" spans="1:8">
      <c r="A387">
        <v>385</v>
      </c>
      <c r="B387">
        <v>386</v>
      </c>
      <c r="C387">
        <v>0.19700000000000001</v>
      </c>
      <c r="D387">
        <v>0.47</v>
      </c>
      <c r="E387">
        <v>0.1343</v>
      </c>
      <c r="F387">
        <v>13</v>
      </c>
      <c r="G387">
        <v>80</v>
      </c>
      <c r="H387">
        <v>93</v>
      </c>
    </row>
    <row r="388" spans="1:8">
      <c r="A388">
        <v>386</v>
      </c>
      <c r="B388">
        <v>387</v>
      </c>
      <c r="C388">
        <v>0.21210000000000001</v>
      </c>
      <c r="D388">
        <v>0.43</v>
      </c>
      <c r="E388">
        <v>0.1045</v>
      </c>
      <c r="F388">
        <v>12</v>
      </c>
      <c r="G388">
        <v>74</v>
      </c>
      <c r="H388">
        <v>86</v>
      </c>
    </row>
    <row r="389" spans="1:8">
      <c r="A389">
        <v>387</v>
      </c>
      <c r="B389">
        <v>388</v>
      </c>
      <c r="C389">
        <v>0.21210000000000001</v>
      </c>
      <c r="D389">
        <v>0.47</v>
      </c>
      <c r="E389">
        <v>0.16420000000000001</v>
      </c>
      <c r="F389">
        <v>21</v>
      </c>
      <c r="G389">
        <v>72</v>
      </c>
      <c r="H389">
        <v>93</v>
      </c>
    </row>
    <row r="390" spans="1:8">
      <c r="A390">
        <v>388</v>
      </c>
      <c r="B390">
        <v>389</v>
      </c>
      <c r="C390">
        <v>0.21210000000000001</v>
      </c>
      <c r="D390">
        <v>0.47</v>
      </c>
      <c r="E390">
        <v>0.16420000000000001</v>
      </c>
      <c r="F390">
        <v>6</v>
      </c>
      <c r="G390">
        <v>76</v>
      </c>
      <c r="H390">
        <v>82</v>
      </c>
    </row>
    <row r="391" spans="1:8">
      <c r="A391">
        <v>389</v>
      </c>
      <c r="B391">
        <v>390</v>
      </c>
      <c r="C391">
        <v>0.19700000000000001</v>
      </c>
      <c r="D391">
        <v>0.51</v>
      </c>
      <c r="E391">
        <v>0.19400000000000001</v>
      </c>
      <c r="F391">
        <v>4</v>
      </c>
      <c r="G391">
        <v>67</v>
      </c>
      <c r="H391">
        <v>71</v>
      </c>
    </row>
    <row r="392" spans="1:8">
      <c r="A392">
        <v>390</v>
      </c>
      <c r="B392">
        <v>391</v>
      </c>
      <c r="C392">
        <v>0.16669999999999999</v>
      </c>
      <c r="D392">
        <v>0.55000000000000004</v>
      </c>
      <c r="E392">
        <v>0.25369999999999998</v>
      </c>
      <c r="F392">
        <v>7</v>
      </c>
      <c r="G392">
        <v>85</v>
      </c>
      <c r="H392">
        <v>92</v>
      </c>
    </row>
    <row r="393" spans="1:8">
      <c r="A393">
        <v>391</v>
      </c>
      <c r="B393">
        <v>392</v>
      </c>
      <c r="C393">
        <v>0.18179999999999999</v>
      </c>
      <c r="D393">
        <v>0.59</v>
      </c>
      <c r="E393">
        <v>0.19400000000000001</v>
      </c>
      <c r="F393">
        <v>2</v>
      </c>
      <c r="G393">
        <v>58</v>
      </c>
      <c r="H393">
        <v>60</v>
      </c>
    </row>
    <row r="394" spans="1:8">
      <c r="A394">
        <v>392</v>
      </c>
      <c r="B394">
        <v>393</v>
      </c>
      <c r="C394">
        <v>0.1515</v>
      </c>
      <c r="D394">
        <v>0.8</v>
      </c>
      <c r="E394">
        <v>0.19400000000000001</v>
      </c>
      <c r="F394">
        <v>4</v>
      </c>
      <c r="G394">
        <v>29</v>
      </c>
      <c r="H394">
        <v>33</v>
      </c>
    </row>
    <row r="395" spans="1:8">
      <c r="A395">
        <v>393</v>
      </c>
      <c r="B395">
        <v>394</v>
      </c>
      <c r="C395">
        <v>0.1515</v>
      </c>
      <c r="D395">
        <v>0.8</v>
      </c>
      <c r="E395">
        <v>0.19400000000000001</v>
      </c>
      <c r="F395">
        <v>3</v>
      </c>
      <c r="G395">
        <v>24</v>
      </c>
      <c r="H395">
        <v>27</v>
      </c>
    </row>
    <row r="396" spans="1:8">
      <c r="A396">
        <v>394</v>
      </c>
      <c r="B396">
        <v>395</v>
      </c>
      <c r="C396">
        <v>0.1212</v>
      </c>
      <c r="D396">
        <v>0.93</v>
      </c>
      <c r="E396">
        <v>0.25369999999999998</v>
      </c>
      <c r="F396">
        <v>0</v>
      </c>
      <c r="G396">
        <v>13</v>
      </c>
      <c r="H396">
        <v>13</v>
      </c>
    </row>
    <row r="397" spans="1:8">
      <c r="A397">
        <v>395</v>
      </c>
      <c r="B397">
        <v>396</v>
      </c>
      <c r="C397">
        <v>0.13639999999999999</v>
      </c>
      <c r="D397">
        <v>0.86</v>
      </c>
      <c r="E397">
        <v>0.28360000000000002</v>
      </c>
      <c r="F397">
        <v>1</v>
      </c>
      <c r="G397">
        <v>3</v>
      </c>
      <c r="H397">
        <v>4</v>
      </c>
    </row>
    <row r="398" spans="1:8">
      <c r="A398">
        <v>396</v>
      </c>
      <c r="B398">
        <v>397</v>
      </c>
      <c r="C398">
        <v>0.18179999999999999</v>
      </c>
      <c r="D398">
        <v>0.86</v>
      </c>
      <c r="E398">
        <v>0.32840000000000003</v>
      </c>
      <c r="F398">
        <v>0</v>
      </c>
      <c r="G398">
        <v>3</v>
      </c>
      <c r="H398">
        <v>3</v>
      </c>
    </row>
    <row r="399" spans="1:8">
      <c r="A399">
        <v>397</v>
      </c>
      <c r="B399">
        <v>398</v>
      </c>
      <c r="C399">
        <v>0.19700000000000001</v>
      </c>
      <c r="D399">
        <v>0.86</v>
      </c>
      <c r="E399">
        <v>0.22389999999999999</v>
      </c>
      <c r="F399">
        <v>0</v>
      </c>
      <c r="G399">
        <v>22</v>
      </c>
      <c r="H399">
        <v>22</v>
      </c>
    </row>
    <row r="400" spans="1:8">
      <c r="A400">
        <v>398</v>
      </c>
      <c r="B400">
        <v>399</v>
      </c>
      <c r="C400">
        <v>0.2273</v>
      </c>
      <c r="D400">
        <v>0.8</v>
      </c>
      <c r="E400">
        <v>0.16420000000000001</v>
      </c>
      <c r="F400">
        <v>2</v>
      </c>
      <c r="G400">
        <v>26</v>
      </c>
      <c r="H400">
        <v>28</v>
      </c>
    </row>
    <row r="401" spans="1:8">
      <c r="A401">
        <v>399</v>
      </c>
      <c r="B401">
        <v>400</v>
      </c>
      <c r="C401">
        <v>0.2273</v>
      </c>
      <c r="D401">
        <v>0.87</v>
      </c>
      <c r="E401">
        <v>0.16420000000000001</v>
      </c>
      <c r="F401">
        <v>3</v>
      </c>
      <c r="G401">
        <v>32</v>
      </c>
      <c r="H401">
        <v>35</v>
      </c>
    </row>
    <row r="402" spans="1:8">
      <c r="A402">
        <v>400</v>
      </c>
      <c r="B402">
        <v>401</v>
      </c>
      <c r="C402">
        <v>0.2273</v>
      </c>
      <c r="D402">
        <v>0.87</v>
      </c>
      <c r="E402">
        <v>0.19400000000000001</v>
      </c>
      <c r="F402">
        <v>0</v>
      </c>
      <c r="G402">
        <v>61</v>
      </c>
      <c r="H402">
        <v>61</v>
      </c>
    </row>
    <row r="403" spans="1:8">
      <c r="A403">
        <v>401</v>
      </c>
      <c r="B403">
        <v>402</v>
      </c>
      <c r="C403">
        <v>0.2273</v>
      </c>
      <c r="D403">
        <v>0.82</v>
      </c>
      <c r="E403">
        <v>0.19400000000000001</v>
      </c>
      <c r="F403">
        <v>1</v>
      </c>
      <c r="G403">
        <v>124</v>
      </c>
      <c r="H403">
        <v>125</v>
      </c>
    </row>
    <row r="404" spans="1:8">
      <c r="A404">
        <v>402</v>
      </c>
      <c r="B404">
        <v>403</v>
      </c>
      <c r="C404">
        <v>0.2273</v>
      </c>
      <c r="D404">
        <v>0.8</v>
      </c>
      <c r="E404">
        <v>0.16420000000000001</v>
      </c>
      <c r="F404">
        <v>1</v>
      </c>
      <c r="G404">
        <v>132</v>
      </c>
      <c r="H404">
        <v>133</v>
      </c>
    </row>
    <row r="405" spans="1:8">
      <c r="A405">
        <v>403</v>
      </c>
      <c r="B405">
        <v>404</v>
      </c>
      <c r="C405">
        <v>0.2273</v>
      </c>
      <c r="D405">
        <v>0.8</v>
      </c>
      <c r="E405">
        <v>0.1343</v>
      </c>
      <c r="F405">
        <v>1</v>
      </c>
      <c r="G405">
        <v>98</v>
      </c>
      <c r="H405">
        <v>99</v>
      </c>
    </row>
    <row r="406" spans="1:8">
      <c r="A406">
        <v>404</v>
      </c>
      <c r="B406">
        <v>405</v>
      </c>
      <c r="C406">
        <v>0.2727</v>
      </c>
      <c r="D406">
        <v>0.87</v>
      </c>
      <c r="E406">
        <v>0</v>
      </c>
      <c r="F406">
        <v>0</v>
      </c>
      <c r="G406">
        <v>83</v>
      </c>
      <c r="H406">
        <v>83</v>
      </c>
    </row>
    <row r="407" spans="1:8">
      <c r="A407">
        <v>405</v>
      </c>
      <c r="B407">
        <v>406</v>
      </c>
      <c r="C407">
        <v>0.2424</v>
      </c>
      <c r="D407">
        <v>0.93</v>
      </c>
      <c r="E407">
        <v>0.1045</v>
      </c>
      <c r="F407">
        <v>0</v>
      </c>
      <c r="G407">
        <v>41</v>
      </c>
      <c r="H407">
        <v>41</v>
      </c>
    </row>
    <row r="408" spans="1:8">
      <c r="A408">
        <v>406</v>
      </c>
      <c r="B408">
        <v>407</v>
      </c>
      <c r="C408">
        <v>0.2576</v>
      </c>
      <c r="D408">
        <v>0.93</v>
      </c>
      <c r="E408">
        <v>8.9599999999999999E-2</v>
      </c>
      <c r="F408">
        <v>0</v>
      </c>
      <c r="G408">
        <v>33</v>
      </c>
      <c r="H408">
        <v>33</v>
      </c>
    </row>
    <row r="409" spans="1:8">
      <c r="A409">
        <v>407</v>
      </c>
      <c r="B409">
        <v>408</v>
      </c>
      <c r="C409">
        <v>0.2727</v>
      </c>
      <c r="D409">
        <v>0.93</v>
      </c>
      <c r="E409">
        <v>0</v>
      </c>
      <c r="F409">
        <v>1</v>
      </c>
      <c r="G409">
        <v>19</v>
      </c>
      <c r="H409">
        <v>20</v>
      </c>
    </row>
    <row r="410" spans="1:8">
      <c r="A410">
        <v>408</v>
      </c>
      <c r="B410">
        <v>409</v>
      </c>
      <c r="C410">
        <v>0.2727</v>
      </c>
      <c r="D410">
        <v>0.93</v>
      </c>
      <c r="E410">
        <v>0</v>
      </c>
      <c r="F410">
        <v>0</v>
      </c>
      <c r="G410">
        <v>3</v>
      </c>
      <c r="H410">
        <v>3</v>
      </c>
    </row>
    <row r="411" spans="1:8">
      <c r="A411">
        <v>409</v>
      </c>
      <c r="B411">
        <v>410</v>
      </c>
      <c r="C411">
        <v>0.2273</v>
      </c>
      <c r="D411">
        <v>0.93</v>
      </c>
      <c r="E411">
        <v>0.1343</v>
      </c>
      <c r="F411">
        <v>1</v>
      </c>
      <c r="G411">
        <v>6</v>
      </c>
      <c r="H411">
        <v>7</v>
      </c>
    </row>
    <row r="412" spans="1:8">
      <c r="A412">
        <v>410</v>
      </c>
      <c r="B412">
        <v>411</v>
      </c>
      <c r="C412">
        <v>0.2273</v>
      </c>
      <c r="D412">
        <v>0.93</v>
      </c>
      <c r="E412">
        <v>0.1343</v>
      </c>
      <c r="F412">
        <v>0</v>
      </c>
      <c r="G412">
        <v>3</v>
      </c>
      <c r="H412">
        <v>3</v>
      </c>
    </row>
    <row r="413" spans="1:8">
      <c r="A413">
        <v>411</v>
      </c>
      <c r="B413">
        <v>412</v>
      </c>
      <c r="C413">
        <v>0.2273</v>
      </c>
      <c r="D413">
        <v>0.93</v>
      </c>
      <c r="E413">
        <v>0.1343</v>
      </c>
      <c r="F413">
        <v>1</v>
      </c>
      <c r="G413">
        <v>1</v>
      </c>
      <c r="H413">
        <v>2</v>
      </c>
    </row>
    <row r="414" spans="1:8">
      <c r="A414">
        <v>412</v>
      </c>
      <c r="B414">
        <v>413</v>
      </c>
      <c r="C414">
        <v>0.2576</v>
      </c>
      <c r="D414">
        <v>0.93</v>
      </c>
      <c r="E414">
        <v>8.9599999999999999E-2</v>
      </c>
      <c r="F414">
        <v>0</v>
      </c>
      <c r="G414">
        <v>7</v>
      </c>
      <c r="H414">
        <v>7</v>
      </c>
    </row>
    <row r="415" spans="1:8">
      <c r="A415">
        <v>413</v>
      </c>
      <c r="B415">
        <v>414</v>
      </c>
      <c r="C415">
        <v>0.2576</v>
      </c>
      <c r="D415">
        <v>0.93</v>
      </c>
      <c r="E415">
        <v>8.9599999999999999E-2</v>
      </c>
      <c r="F415">
        <v>0</v>
      </c>
      <c r="G415">
        <v>32</v>
      </c>
      <c r="H415">
        <v>32</v>
      </c>
    </row>
    <row r="416" spans="1:8">
      <c r="A416">
        <v>414</v>
      </c>
      <c r="B416">
        <v>415</v>
      </c>
      <c r="C416">
        <v>0.2576</v>
      </c>
      <c r="D416">
        <v>0.92</v>
      </c>
      <c r="E416">
        <v>0.1045</v>
      </c>
      <c r="F416">
        <v>1</v>
      </c>
      <c r="G416">
        <v>89</v>
      </c>
      <c r="H416">
        <v>90</v>
      </c>
    </row>
    <row r="417" spans="1:8">
      <c r="A417">
        <v>415</v>
      </c>
      <c r="B417">
        <v>416</v>
      </c>
      <c r="C417">
        <v>0.2576</v>
      </c>
      <c r="D417">
        <v>0.93</v>
      </c>
      <c r="E417">
        <v>0.1045</v>
      </c>
      <c r="F417">
        <v>1</v>
      </c>
      <c r="G417">
        <v>196</v>
      </c>
      <c r="H417">
        <v>197</v>
      </c>
    </row>
    <row r="418" spans="1:8">
      <c r="A418">
        <v>416</v>
      </c>
      <c r="B418">
        <v>417</v>
      </c>
      <c r="C418">
        <v>0.2576</v>
      </c>
      <c r="D418">
        <v>0.93</v>
      </c>
      <c r="E418">
        <v>0.1045</v>
      </c>
      <c r="F418">
        <v>2</v>
      </c>
      <c r="G418">
        <v>107</v>
      </c>
      <c r="H418">
        <v>109</v>
      </c>
    </row>
    <row r="419" spans="1:8">
      <c r="A419">
        <v>417</v>
      </c>
      <c r="B419">
        <v>418</v>
      </c>
      <c r="C419">
        <v>0.2727</v>
      </c>
      <c r="D419">
        <v>0.93</v>
      </c>
      <c r="E419">
        <v>0.1343</v>
      </c>
      <c r="F419">
        <v>1</v>
      </c>
      <c r="G419">
        <v>46</v>
      </c>
      <c r="H419">
        <v>47</v>
      </c>
    </row>
    <row r="420" spans="1:8">
      <c r="A420">
        <v>418</v>
      </c>
      <c r="B420">
        <v>419</v>
      </c>
      <c r="C420">
        <v>0.30299999999999999</v>
      </c>
      <c r="D420">
        <v>0.87</v>
      </c>
      <c r="E420">
        <v>8.9599999999999999E-2</v>
      </c>
      <c r="F420">
        <v>5</v>
      </c>
      <c r="G420">
        <v>47</v>
      </c>
      <c r="H420">
        <v>52</v>
      </c>
    </row>
    <row r="421" spans="1:8">
      <c r="A421">
        <v>419</v>
      </c>
      <c r="B421">
        <v>420</v>
      </c>
      <c r="C421">
        <v>0.31819999999999998</v>
      </c>
      <c r="D421">
        <v>0.81</v>
      </c>
      <c r="E421">
        <v>8.9599999999999999E-2</v>
      </c>
      <c r="F421">
        <v>5</v>
      </c>
      <c r="G421">
        <v>65</v>
      </c>
      <c r="H421">
        <v>70</v>
      </c>
    </row>
    <row r="422" spans="1:8">
      <c r="A422">
        <v>420</v>
      </c>
      <c r="B422">
        <v>421</v>
      </c>
      <c r="C422">
        <v>0.40910000000000002</v>
      </c>
      <c r="D422">
        <v>0.62</v>
      </c>
      <c r="E422">
        <v>0.28360000000000002</v>
      </c>
      <c r="F422">
        <v>11</v>
      </c>
      <c r="G422">
        <v>67</v>
      </c>
      <c r="H422">
        <v>78</v>
      </c>
    </row>
    <row r="423" spans="1:8">
      <c r="A423">
        <v>421</v>
      </c>
      <c r="B423">
        <v>422</v>
      </c>
      <c r="C423">
        <v>0.40910000000000002</v>
      </c>
      <c r="D423">
        <v>0.57999999999999996</v>
      </c>
      <c r="E423">
        <v>0.25369999999999998</v>
      </c>
      <c r="F423">
        <v>7</v>
      </c>
      <c r="G423">
        <v>68</v>
      </c>
      <c r="H423">
        <v>75</v>
      </c>
    </row>
    <row r="424" spans="1:8">
      <c r="A424">
        <v>422</v>
      </c>
      <c r="B424">
        <v>423</v>
      </c>
      <c r="C424">
        <v>0.40910000000000002</v>
      </c>
      <c r="D424">
        <v>0.54</v>
      </c>
      <c r="E424">
        <v>0.28360000000000002</v>
      </c>
      <c r="F424">
        <v>4</v>
      </c>
      <c r="G424">
        <v>78</v>
      </c>
      <c r="H424">
        <v>82</v>
      </c>
    </row>
    <row r="425" spans="1:8">
      <c r="A425">
        <v>423</v>
      </c>
      <c r="B425">
        <v>424</v>
      </c>
      <c r="C425">
        <v>0.39389999999999997</v>
      </c>
      <c r="D425">
        <v>0.57999999999999996</v>
      </c>
      <c r="E425">
        <v>0.3881</v>
      </c>
      <c r="F425">
        <v>10</v>
      </c>
      <c r="G425">
        <v>94</v>
      </c>
      <c r="H425">
        <v>104</v>
      </c>
    </row>
    <row r="426" spans="1:8">
      <c r="A426">
        <v>424</v>
      </c>
      <c r="B426">
        <v>425</v>
      </c>
      <c r="C426">
        <v>0.33329999999999999</v>
      </c>
      <c r="D426">
        <v>0.56999999999999995</v>
      </c>
      <c r="E426">
        <v>0.32840000000000003</v>
      </c>
      <c r="F426">
        <v>7</v>
      </c>
      <c r="G426">
        <v>190</v>
      </c>
      <c r="H426">
        <v>197</v>
      </c>
    </row>
    <row r="427" spans="1:8">
      <c r="A427">
        <v>425</v>
      </c>
      <c r="B427">
        <v>426</v>
      </c>
      <c r="C427">
        <v>0.31819999999999998</v>
      </c>
      <c r="D427">
        <v>0.61</v>
      </c>
      <c r="E427">
        <v>0.28360000000000002</v>
      </c>
      <c r="F427">
        <v>5</v>
      </c>
      <c r="G427">
        <v>156</v>
      </c>
      <c r="H427">
        <v>161</v>
      </c>
    </row>
    <row r="428" spans="1:8">
      <c r="A428">
        <v>426</v>
      </c>
      <c r="B428">
        <v>427</v>
      </c>
      <c r="C428">
        <v>0.28789999999999999</v>
      </c>
      <c r="D428">
        <v>0.56999999999999995</v>
      </c>
      <c r="E428">
        <v>0.41789999999999999</v>
      </c>
      <c r="F428">
        <v>4</v>
      </c>
      <c r="G428">
        <v>108</v>
      </c>
      <c r="H428">
        <v>112</v>
      </c>
    </row>
    <row r="429" spans="1:8">
      <c r="A429">
        <v>427</v>
      </c>
      <c r="B429">
        <v>428</v>
      </c>
      <c r="C429">
        <v>0.30299999999999999</v>
      </c>
      <c r="D429">
        <v>0.49</v>
      </c>
      <c r="E429">
        <v>0.29849999999999999</v>
      </c>
      <c r="F429">
        <v>2</v>
      </c>
      <c r="G429">
        <v>74</v>
      </c>
      <c r="H429">
        <v>76</v>
      </c>
    </row>
    <row r="430" spans="1:8">
      <c r="A430">
        <v>428</v>
      </c>
      <c r="B430">
        <v>429</v>
      </c>
      <c r="C430">
        <v>0.28789999999999999</v>
      </c>
      <c r="D430">
        <v>0.49</v>
      </c>
      <c r="E430">
        <v>0.41789999999999999</v>
      </c>
      <c r="F430">
        <v>4</v>
      </c>
      <c r="G430">
        <v>55</v>
      </c>
      <c r="H430">
        <v>59</v>
      </c>
    </row>
    <row r="431" spans="1:8">
      <c r="A431">
        <v>429</v>
      </c>
      <c r="B431">
        <v>430</v>
      </c>
      <c r="C431">
        <v>0.30299999999999999</v>
      </c>
      <c r="D431">
        <v>0.52</v>
      </c>
      <c r="E431">
        <v>0.16420000000000001</v>
      </c>
      <c r="F431">
        <v>6</v>
      </c>
      <c r="G431">
        <v>53</v>
      </c>
      <c r="H431">
        <v>59</v>
      </c>
    </row>
    <row r="432" spans="1:8">
      <c r="A432">
        <v>430</v>
      </c>
      <c r="B432">
        <v>431</v>
      </c>
      <c r="C432">
        <v>0.2727</v>
      </c>
      <c r="D432">
        <v>0.52</v>
      </c>
      <c r="E432">
        <v>0.4627</v>
      </c>
      <c r="F432">
        <v>1</v>
      </c>
      <c r="G432">
        <v>27</v>
      </c>
      <c r="H432">
        <v>28</v>
      </c>
    </row>
    <row r="433" spans="1:8">
      <c r="A433">
        <v>431</v>
      </c>
      <c r="B433">
        <v>432</v>
      </c>
      <c r="C433">
        <v>0.2273</v>
      </c>
      <c r="D433">
        <v>0.56000000000000005</v>
      </c>
      <c r="E433">
        <v>0.3881</v>
      </c>
      <c r="F433">
        <v>5</v>
      </c>
      <c r="G433">
        <v>8</v>
      </c>
      <c r="H433">
        <v>13</v>
      </c>
    </row>
    <row r="434" spans="1:8">
      <c r="A434">
        <v>432</v>
      </c>
      <c r="B434">
        <v>433</v>
      </c>
      <c r="C434">
        <v>0.2727</v>
      </c>
      <c r="D434">
        <v>0.56000000000000005</v>
      </c>
      <c r="E434">
        <v>0</v>
      </c>
      <c r="F434">
        <v>2</v>
      </c>
      <c r="G434">
        <v>3</v>
      </c>
      <c r="H434">
        <v>5</v>
      </c>
    </row>
    <row r="435" spans="1:8">
      <c r="A435">
        <v>433</v>
      </c>
      <c r="B435">
        <v>434</v>
      </c>
      <c r="C435">
        <v>0.2727</v>
      </c>
      <c r="D435">
        <v>0.56000000000000005</v>
      </c>
      <c r="E435">
        <v>0</v>
      </c>
      <c r="F435">
        <v>0</v>
      </c>
      <c r="G435">
        <v>2</v>
      </c>
      <c r="H435">
        <v>2</v>
      </c>
    </row>
    <row r="436" spans="1:8">
      <c r="A436">
        <v>434</v>
      </c>
      <c r="B436">
        <v>435</v>
      </c>
      <c r="C436">
        <v>0.2576</v>
      </c>
      <c r="D436">
        <v>0.56000000000000005</v>
      </c>
      <c r="E436">
        <v>0.16420000000000001</v>
      </c>
      <c r="F436">
        <v>0</v>
      </c>
      <c r="G436">
        <v>1</v>
      </c>
      <c r="H436">
        <v>1</v>
      </c>
    </row>
    <row r="437" spans="1:8">
      <c r="A437">
        <v>435</v>
      </c>
      <c r="B437">
        <v>436</v>
      </c>
      <c r="C437">
        <v>0.2576</v>
      </c>
      <c r="D437">
        <v>0.56000000000000005</v>
      </c>
      <c r="E437">
        <v>0.16420000000000001</v>
      </c>
      <c r="F437">
        <v>0</v>
      </c>
      <c r="G437">
        <v>1</v>
      </c>
      <c r="H437">
        <v>1</v>
      </c>
    </row>
    <row r="438" spans="1:8">
      <c r="A438">
        <v>436</v>
      </c>
      <c r="B438">
        <v>437</v>
      </c>
      <c r="C438">
        <v>0.2273</v>
      </c>
      <c r="D438">
        <v>0.6</v>
      </c>
      <c r="E438">
        <v>0.22389999999999999</v>
      </c>
      <c r="F438">
        <v>0</v>
      </c>
      <c r="G438">
        <v>6</v>
      </c>
      <c r="H438">
        <v>6</v>
      </c>
    </row>
    <row r="439" spans="1:8">
      <c r="A439">
        <v>437</v>
      </c>
      <c r="B439">
        <v>438</v>
      </c>
      <c r="C439">
        <v>0.21210000000000001</v>
      </c>
      <c r="D439">
        <v>0.6</v>
      </c>
      <c r="E439">
        <v>0.22389999999999999</v>
      </c>
      <c r="F439">
        <v>0</v>
      </c>
      <c r="G439">
        <v>35</v>
      </c>
      <c r="H439">
        <v>35</v>
      </c>
    </row>
    <row r="440" spans="1:8">
      <c r="A440">
        <v>438</v>
      </c>
      <c r="B440">
        <v>439</v>
      </c>
      <c r="C440">
        <v>0.21210000000000001</v>
      </c>
      <c r="D440">
        <v>0.55000000000000004</v>
      </c>
      <c r="E440">
        <v>0.22389999999999999</v>
      </c>
      <c r="F440">
        <v>1</v>
      </c>
      <c r="G440">
        <v>100</v>
      </c>
      <c r="H440">
        <v>101</v>
      </c>
    </row>
    <row r="441" spans="1:8">
      <c r="A441">
        <v>439</v>
      </c>
      <c r="B441">
        <v>440</v>
      </c>
      <c r="C441">
        <v>0.21210000000000001</v>
      </c>
      <c r="D441">
        <v>0.55000000000000004</v>
      </c>
      <c r="E441">
        <v>0.28360000000000002</v>
      </c>
      <c r="F441">
        <v>2</v>
      </c>
      <c r="G441">
        <v>247</v>
      </c>
      <c r="H441">
        <v>249</v>
      </c>
    </row>
    <row r="442" spans="1:8">
      <c r="A442">
        <v>440</v>
      </c>
      <c r="B442">
        <v>441</v>
      </c>
      <c r="C442">
        <v>0.2273</v>
      </c>
      <c r="D442">
        <v>0.52</v>
      </c>
      <c r="E442">
        <v>0.22389999999999999</v>
      </c>
      <c r="F442">
        <v>3</v>
      </c>
      <c r="G442">
        <v>140</v>
      </c>
      <c r="H442">
        <v>143</v>
      </c>
    </row>
    <row r="443" spans="1:8">
      <c r="A443">
        <v>441</v>
      </c>
      <c r="B443">
        <v>442</v>
      </c>
      <c r="C443">
        <v>0.2273</v>
      </c>
      <c r="D443">
        <v>0.48</v>
      </c>
      <c r="E443">
        <v>0.29849999999999999</v>
      </c>
      <c r="F443">
        <v>1</v>
      </c>
      <c r="G443">
        <v>56</v>
      </c>
      <c r="H443">
        <v>57</v>
      </c>
    </row>
    <row r="444" spans="1:8">
      <c r="A444">
        <v>442</v>
      </c>
      <c r="B444">
        <v>443</v>
      </c>
      <c r="C444">
        <v>0.2727</v>
      </c>
      <c r="D444">
        <v>0.45</v>
      </c>
      <c r="E444">
        <v>0.16420000000000001</v>
      </c>
      <c r="F444">
        <v>5</v>
      </c>
      <c r="G444">
        <v>63</v>
      </c>
      <c r="H444">
        <v>68</v>
      </c>
    </row>
    <row r="445" spans="1:8">
      <c r="A445">
        <v>443</v>
      </c>
      <c r="B445">
        <v>444</v>
      </c>
      <c r="C445">
        <v>0.33329999999999999</v>
      </c>
      <c r="D445">
        <v>0.42</v>
      </c>
      <c r="E445">
        <v>0</v>
      </c>
      <c r="F445">
        <v>7</v>
      </c>
      <c r="G445">
        <v>77</v>
      </c>
      <c r="H445">
        <v>84</v>
      </c>
    </row>
    <row r="446" spans="1:8">
      <c r="A446">
        <v>444</v>
      </c>
      <c r="B446">
        <v>445</v>
      </c>
      <c r="C446">
        <v>0.28789999999999999</v>
      </c>
      <c r="D446">
        <v>0.45</v>
      </c>
      <c r="E446">
        <v>0.1045</v>
      </c>
      <c r="F446">
        <v>12</v>
      </c>
      <c r="G446">
        <v>86</v>
      </c>
      <c r="H446">
        <v>98</v>
      </c>
    </row>
    <row r="447" spans="1:8">
      <c r="A447">
        <v>445</v>
      </c>
      <c r="B447">
        <v>446</v>
      </c>
      <c r="C447">
        <v>0.30299999999999999</v>
      </c>
      <c r="D447">
        <v>0.45</v>
      </c>
      <c r="E447">
        <v>0.1343</v>
      </c>
      <c r="F447">
        <v>6</v>
      </c>
      <c r="G447">
        <v>75</v>
      </c>
      <c r="H447">
        <v>81</v>
      </c>
    </row>
    <row r="448" spans="1:8">
      <c r="A448">
        <v>446</v>
      </c>
      <c r="B448">
        <v>447</v>
      </c>
      <c r="C448">
        <v>0.31819999999999998</v>
      </c>
      <c r="D448">
        <v>0.45</v>
      </c>
      <c r="E448">
        <v>0.19400000000000001</v>
      </c>
      <c r="F448">
        <v>8</v>
      </c>
      <c r="G448">
        <v>62</v>
      </c>
      <c r="H448">
        <v>70</v>
      </c>
    </row>
    <row r="449" spans="1:8">
      <c r="A449">
        <v>447</v>
      </c>
      <c r="B449">
        <v>448</v>
      </c>
      <c r="C449">
        <v>0.30299999999999999</v>
      </c>
      <c r="D449">
        <v>0.49</v>
      </c>
      <c r="E449">
        <v>0.1343</v>
      </c>
      <c r="F449">
        <v>8</v>
      </c>
      <c r="G449">
        <v>83</v>
      </c>
      <c r="H449">
        <v>91</v>
      </c>
    </row>
    <row r="450" spans="1:8">
      <c r="A450">
        <v>448</v>
      </c>
      <c r="B450">
        <v>449</v>
      </c>
      <c r="C450">
        <v>0.31819999999999998</v>
      </c>
      <c r="D450">
        <v>0.49</v>
      </c>
      <c r="E450">
        <v>0.1045</v>
      </c>
      <c r="F450">
        <v>8</v>
      </c>
      <c r="G450">
        <v>207</v>
      </c>
      <c r="H450">
        <v>215</v>
      </c>
    </row>
    <row r="451" spans="1:8">
      <c r="A451">
        <v>449</v>
      </c>
      <c r="B451">
        <v>450</v>
      </c>
      <c r="C451">
        <v>0.2576</v>
      </c>
      <c r="D451">
        <v>0.56000000000000005</v>
      </c>
      <c r="E451">
        <v>0.19400000000000001</v>
      </c>
      <c r="F451">
        <v>1</v>
      </c>
      <c r="G451">
        <v>184</v>
      </c>
      <c r="H451">
        <v>185</v>
      </c>
    </row>
    <row r="452" spans="1:8">
      <c r="A452">
        <v>450</v>
      </c>
      <c r="B452">
        <v>451</v>
      </c>
      <c r="C452">
        <v>0.2273</v>
      </c>
      <c r="D452">
        <v>0.56000000000000005</v>
      </c>
      <c r="E452">
        <v>0.32840000000000003</v>
      </c>
      <c r="F452">
        <v>6</v>
      </c>
      <c r="G452">
        <v>146</v>
      </c>
      <c r="H452">
        <v>152</v>
      </c>
    </row>
    <row r="453" spans="1:8">
      <c r="A453">
        <v>451</v>
      </c>
      <c r="B453">
        <v>452</v>
      </c>
      <c r="C453">
        <v>0.2424</v>
      </c>
      <c r="D453">
        <v>0.6</v>
      </c>
      <c r="E453">
        <v>0.28360000000000002</v>
      </c>
      <c r="F453">
        <v>2</v>
      </c>
      <c r="G453">
        <v>124</v>
      </c>
      <c r="H453">
        <v>126</v>
      </c>
    </row>
    <row r="454" spans="1:8">
      <c r="A454">
        <v>452</v>
      </c>
      <c r="B454">
        <v>453</v>
      </c>
      <c r="C454">
        <v>0.2273</v>
      </c>
      <c r="D454">
        <v>0.6</v>
      </c>
      <c r="E454">
        <v>0.25369999999999998</v>
      </c>
      <c r="F454">
        <v>3</v>
      </c>
      <c r="G454">
        <v>54</v>
      </c>
      <c r="H454">
        <v>57</v>
      </c>
    </row>
    <row r="455" spans="1:8">
      <c r="A455">
        <v>453</v>
      </c>
      <c r="B455">
        <v>454</v>
      </c>
      <c r="C455">
        <v>0.21210000000000001</v>
      </c>
      <c r="D455">
        <v>0.65</v>
      </c>
      <c r="E455">
        <v>0.28360000000000002</v>
      </c>
      <c r="F455">
        <v>0</v>
      </c>
      <c r="G455">
        <v>56</v>
      </c>
      <c r="H455">
        <v>56</v>
      </c>
    </row>
    <row r="456" spans="1:8">
      <c r="A456">
        <v>454</v>
      </c>
      <c r="B456">
        <v>455</v>
      </c>
      <c r="C456">
        <v>0.21210000000000001</v>
      </c>
      <c r="D456">
        <v>0.65</v>
      </c>
      <c r="E456">
        <v>0.32840000000000003</v>
      </c>
      <c r="F456">
        <v>3</v>
      </c>
      <c r="G456">
        <v>28</v>
      </c>
      <c r="H456">
        <v>31</v>
      </c>
    </row>
    <row r="457" spans="1:8">
      <c r="A457">
        <v>455</v>
      </c>
      <c r="B457">
        <v>456</v>
      </c>
      <c r="C457">
        <v>0.2273</v>
      </c>
      <c r="D457">
        <v>0.7</v>
      </c>
      <c r="E457">
        <v>0.25369999999999998</v>
      </c>
      <c r="F457">
        <v>1</v>
      </c>
      <c r="G457">
        <v>20</v>
      </c>
      <c r="H457">
        <v>21</v>
      </c>
    </row>
    <row r="458" spans="1:8">
      <c r="A458">
        <v>456</v>
      </c>
      <c r="B458">
        <v>457</v>
      </c>
      <c r="C458">
        <v>0.2273</v>
      </c>
      <c r="D458">
        <v>0.7</v>
      </c>
      <c r="E458">
        <v>0.25369999999999998</v>
      </c>
      <c r="F458">
        <v>0</v>
      </c>
      <c r="G458">
        <v>6</v>
      </c>
      <c r="H458">
        <v>6</v>
      </c>
    </row>
    <row r="459" spans="1:8">
      <c r="A459">
        <v>457</v>
      </c>
      <c r="B459">
        <v>458</v>
      </c>
      <c r="C459">
        <v>0.2424</v>
      </c>
      <c r="D459">
        <v>0.75</v>
      </c>
      <c r="E459">
        <v>0.16420000000000001</v>
      </c>
      <c r="F459">
        <v>0</v>
      </c>
      <c r="G459">
        <v>2</v>
      </c>
      <c r="H459">
        <v>2</v>
      </c>
    </row>
    <row r="460" spans="1:8">
      <c r="A460">
        <v>458</v>
      </c>
      <c r="B460">
        <v>459</v>
      </c>
      <c r="C460">
        <v>0.21210000000000001</v>
      </c>
      <c r="D460">
        <v>0.8</v>
      </c>
      <c r="E460">
        <v>0.29849999999999999</v>
      </c>
      <c r="F460">
        <v>0</v>
      </c>
      <c r="G460">
        <v>1</v>
      </c>
      <c r="H460">
        <v>1</v>
      </c>
    </row>
    <row r="461" spans="1:8">
      <c r="A461">
        <v>459</v>
      </c>
      <c r="B461">
        <v>460</v>
      </c>
      <c r="C461">
        <v>0.2576</v>
      </c>
      <c r="D461">
        <v>0.87</v>
      </c>
      <c r="E461">
        <v>8.9599999999999999E-2</v>
      </c>
      <c r="F461">
        <v>0</v>
      </c>
      <c r="G461">
        <v>1</v>
      </c>
      <c r="H461">
        <v>1</v>
      </c>
    </row>
    <row r="462" spans="1:8">
      <c r="A462">
        <v>460</v>
      </c>
      <c r="B462">
        <v>461</v>
      </c>
      <c r="C462">
        <v>0.19700000000000001</v>
      </c>
      <c r="D462">
        <v>0.6</v>
      </c>
      <c r="E462">
        <v>0.41789999999999999</v>
      </c>
      <c r="F462">
        <v>1</v>
      </c>
      <c r="G462">
        <v>4</v>
      </c>
      <c r="H462">
        <v>5</v>
      </c>
    </row>
    <row r="463" spans="1:8">
      <c r="A463">
        <v>461</v>
      </c>
      <c r="B463">
        <v>462</v>
      </c>
      <c r="C463">
        <v>0.21210000000000001</v>
      </c>
      <c r="D463">
        <v>0.55000000000000004</v>
      </c>
      <c r="E463">
        <v>0.25369999999999998</v>
      </c>
      <c r="F463">
        <v>0</v>
      </c>
      <c r="G463">
        <v>27</v>
      </c>
      <c r="H463">
        <v>27</v>
      </c>
    </row>
    <row r="464" spans="1:8">
      <c r="A464">
        <v>462</v>
      </c>
      <c r="B464">
        <v>463</v>
      </c>
      <c r="C464">
        <v>0.18179999999999999</v>
      </c>
      <c r="D464">
        <v>0.51</v>
      </c>
      <c r="E464">
        <v>0.28360000000000002</v>
      </c>
      <c r="F464">
        <v>2</v>
      </c>
      <c r="G464">
        <v>66</v>
      </c>
      <c r="H464">
        <v>68</v>
      </c>
    </row>
    <row r="465" spans="1:8">
      <c r="A465">
        <v>463</v>
      </c>
      <c r="B465">
        <v>464</v>
      </c>
      <c r="C465">
        <v>0.18179999999999999</v>
      </c>
      <c r="D465">
        <v>0.47</v>
      </c>
      <c r="E465">
        <v>0.32840000000000003</v>
      </c>
      <c r="F465">
        <v>7</v>
      </c>
      <c r="G465">
        <v>210</v>
      </c>
      <c r="H465">
        <v>217</v>
      </c>
    </row>
    <row r="466" spans="1:8">
      <c r="A466">
        <v>464</v>
      </c>
      <c r="B466">
        <v>465</v>
      </c>
      <c r="C466">
        <v>0.18179999999999999</v>
      </c>
      <c r="D466">
        <v>0.51</v>
      </c>
      <c r="E466">
        <v>0.35820000000000002</v>
      </c>
      <c r="F466">
        <v>7</v>
      </c>
      <c r="G466">
        <v>159</v>
      </c>
      <c r="H466">
        <v>166</v>
      </c>
    </row>
    <row r="467" spans="1:8">
      <c r="A467">
        <v>465</v>
      </c>
      <c r="B467">
        <v>466</v>
      </c>
      <c r="C467">
        <v>0.16669999999999999</v>
      </c>
      <c r="D467">
        <v>0.47</v>
      </c>
      <c r="E467">
        <v>0.4627</v>
      </c>
      <c r="F467">
        <v>6</v>
      </c>
      <c r="G467">
        <v>57</v>
      </c>
      <c r="H467">
        <v>63</v>
      </c>
    </row>
    <row r="468" spans="1:8">
      <c r="A468">
        <v>466</v>
      </c>
      <c r="B468">
        <v>467</v>
      </c>
      <c r="C468">
        <v>0.18179999999999999</v>
      </c>
      <c r="D468">
        <v>0.41</v>
      </c>
      <c r="E468">
        <v>0.4627</v>
      </c>
      <c r="F468">
        <v>6</v>
      </c>
      <c r="G468">
        <v>53</v>
      </c>
      <c r="H468">
        <v>59</v>
      </c>
    </row>
    <row r="469" spans="1:8">
      <c r="A469">
        <v>467</v>
      </c>
      <c r="B469">
        <v>468</v>
      </c>
      <c r="C469">
        <v>0.18179999999999999</v>
      </c>
      <c r="D469">
        <v>0.27</v>
      </c>
      <c r="E469">
        <v>0.58209999999999995</v>
      </c>
      <c r="F469">
        <v>11</v>
      </c>
      <c r="G469">
        <v>67</v>
      </c>
      <c r="H469">
        <v>78</v>
      </c>
    </row>
    <row r="470" spans="1:8">
      <c r="A470">
        <v>468</v>
      </c>
      <c r="B470">
        <v>469</v>
      </c>
      <c r="C470">
        <v>0.1515</v>
      </c>
      <c r="D470">
        <v>0.21</v>
      </c>
      <c r="E470">
        <v>0.58209999999999995</v>
      </c>
      <c r="F470">
        <v>8</v>
      </c>
      <c r="G470">
        <v>65</v>
      </c>
      <c r="H470">
        <v>73</v>
      </c>
    </row>
    <row r="471" spans="1:8">
      <c r="A471">
        <v>469</v>
      </c>
      <c r="B471">
        <v>470</v>
      </c>
      <c r="C471">
        <v>0.1515</v>
      </c>
      <c r="D471">
        <v>0.25</v>
      </c>
      <c r="E471">
        <v>0.52239999999999998</v>
      </c>
      <c r="F471">
        <v>6</v>
      </c>
      <c r="G471">
        <v>56</v>
      </c>
      <c r="H471">
        <v>62</v>
      </c>
    </row>
    <row r="472" spans="1:8">
      <c r="A472">
        <v>470</v>
      </c>
      <c r="B472">
        <v>471</v>
      </c>
      <c r="C472">
        <v>0.1212</v>
      </c>
      <c r="D472">
        <v>0.26</v>
      </c>
      <c r="E472">
        <v>0.44779999999999998</v>
      </c>
      <c r="F472">
        <v>4</v>
      </c>
      <c r="G472">
        <v>61</v>
      </c>
      <c r="H472">
        <v>65</v>
      </c>
    </row>
    <row r="473" spans="1:8">
      <c r="A473">
        <v>471</v>
      </c>
      <c r="B473">
        <v>472</v>
      </c>
      <c r="C473">
        <v>0.13639999999999999</v>
      </c>
      <c r="D473">
        <v>0.26</v>
      </c>
      <c r="E473">
        <v>0.35820000000000002</v>
      </c>
      <c r="F473">
        <v>0</v>
      </c>
      <c r="G473">
        <v>97</v>
      </c>
      <c r="H473">
        <v>97</v>
      </c>
    </row>
    <row r="474" spans="1:8">
      <c r="A474">
        <v>472</v>
      </c>
      <c r="B474">
        <v>473</v>
      </c>
      <c r="C474">
        <v>0.1212</v>
      </c>
      <c r="D474">
        <v>0.28000000000000003</v>
      </c>
      <c r="E474">
        <v>0.35820000000000002</v>
      </c>
      <c r="F474">
        <v>10</v>
      </c>
      <c r="G474">
        <v>151</v>
      </c>
      <c r="H474">
        <v>161</v>
      </c>
    </row>
    <row r="475" spans="1:8">
      <c r="A475">
        <v>473</v>
      </c>
      <c r="B475">
        <v>474</v>
      </c>
      <c r="C475">
        <v>0.1212</v>
      </c>
      <c r="D475">
        <v>0.3</v>
      </c>
      <c r="E475">
        <v>0.25369999999999998</v>
      </c>
      <c r="F475">
        <v>1</v>
      </c>
      <c r="G475">
        <v>119</v>
      </c>
      <c r="H475">
        <v>120</v>
      </c>
    </row>
    <row r="476" spans="1:8">
      <c r="A476">
        <v>474</v>
      </c>
      <c r="B476">
        <v>475</v>
      </c>
      <c r="C476">
        <v>0.1061</v>
      </c>
      <c r="D476">
        <v>0.3</v>
      </c>
      <c r="E476">
        <v>0.32840000000000003</v>
      </c>
      <c r="F476">
        <v>3</v>
      </c>
      <c r="G476">
        <v>93</v>
      </c>
      <c r="H476">
        <v>96</v>
      </c>
    </row>
    <row r="477" spans="1:8">
      <c r="A477">
        <v>475</v>
      </c>
      <c r="B477">
        <v>476</v>
      </c>
      <c r="C477">
        <v>7.5800000000000006E-2</v>
      </c>
      <c r="D477">
        <v>0.33</v>
      </c>
      <c r="E477">
        <v>0.41789999999999999</v>
      </c>
      <c r="F477">
        <v>1</v>
      </c>
      <c r="G477">
        <v>52</v>
      </c>
      <c r="H477">
        <v>53</v>
      </c>
    </row>
    <row r="478" spans="1:8">
      <c r="A478">
        <v>476</v>
      </c>
      <c r="B478">
        <v>477</v>
      </c>
      <c r="C478">
        <v>7.5800000000000006E-2</v>
      </c>
      <c r="D478">
        <v>0.38</v>
      </c>
      <c r="E478">
        <v>0.28360000000000002</v>
      </c>
      <c r="F478">
        <v>0</v>
      </c>
      <c r="G478">
        <v>41</v>
      </c>
      <c r="H478">
        <v>41</v>
      </c>
    </row>
    <row r="479" spans="1:8">
      <c r="A479">
        <v>477</v>
      </c>
      <c r="B479">
        <v>478</v>
      </c>
      <c r="C479">
        <v>3.0300000000000001E-2</v>
      </c>
      <c r="D479">
        <v>0.41</v>
      </c>
      <c r="E479">
        <v>0.3881</v>
      </c>
      <c r="F479">
        <v>1</v>
      </c>
      <c r="G479">
        <v>33</v>
      </c>
      <c r="H479">
        <v>34</v>
      </c>
    </row>
    <row r="480" spans="1:8">
      <c r="A480">
        <v>478</v>
      </c>
      <c r="B480">
        <v>479</v>
      </c>
      <c r="C480">
        <v>4.5499999999999999E-2</v>
      </c>
      <c r="D480">
        <v>0.38</v>
      </c>
      <c r="E480">
        <v>0.32840000000000003</v>
      </c>
      <c r="F480">
        <v>0</v>
      </c>
      <c r="G480">
        <v>27</v>
      </c>
      <c r="H480">
        <v>27</v>
      </c>
    </row>
    <row r="481" spans="1:8">
      <c r="A481">
        <v>479</v>
      </c>
      <c r="B481">
        <v>480</v>
      </c>
      <c r="C481">
        <v>3.0300000000000001E-2</v>
      </c>
      <c r="D481">
        <v>0.45</v>
      </c>
      <c r="E481">
        <v>0.25369999999999998</v>
      </c>
      <c r="F481">
        <v>0</v>
      </c>
      <c r="G481">
        <v>13</v>
      </c>
      <c r="H481">
        <v>13</v>
      </c>
    </row>
    <row r="482" spans="1:8">
      <c r="A482">
        <v>480</v>
      </c>
      <c r="B482">
        <v>481</v>
      </c>
      <c r="C482">
        <v>0</v>
      </c>
      <c r="D482">
        <v>0.41</v>
      </c>
      <c r="E482">
        <v>0.3881</v>
      </c>
      <c r="F482">
        <v>3</v>
      </c>
      <c r="G482">
        <v>9</v>
      </c>
      <c r="H482">
        <v>12</v>
      </c>
    </row>
    <row r="483" spans="1:8">
      <c r="A483">
        <v>481</v>
      </c>
      <c r="B483">
        <v>482</v>
      </c>
      <c r="C483">
        <v>3.0300000000000001E-2</v>
      </c>
      <c r="D483">
        <v>0.41</v>
      </c>
      <c r="E483">
        <v>0.25369999999999998</v>
      </c>
      <c r="F483">
        <v>0</v>
      </c>
      <c r="G483">
        <v>11</v>
      </c>
      <c r="H483">
        <v>11</v>
      </c>
    </row>
    <row r="484" spans="1:8">
      <c r="A484">
        <v>482</v>
      </c>
      <c r="B484">
        <v>483</v>
      </c>
      <c r="C484">
        <v>3.0300000000000001E-2</v>
      </c>
      <c r="D484">
        <v>0.41</v>
      </c>
      <c r="E484">
        <v>0.28360000000000002</v>
      </c>
      <c r="F484">
        <v>1</v>
      </c>
      <c r="G484">
        <v>6</v>
      </c>
      <c r="H484">
        <v>7</v>
      </c>
    </row>
    <row r="485" spans="1:8">
      <c r="A485">
        <v>483</v>
      </c>
      <c r="B485">
        <v>484</v>
      </c>
      <c r="C485">
        <v>1.52E-2</v>
      </c>
      <c r="D485">
        <v>0.48</v>
      </c>
      <c r="E485">
        <v>0.29849999999999999</v>
      </c>
      <c r="F485">
        <v>0</v>
      </c>
      <c r="G485">
        <v>3</v>
      </c>
      <c r="H485">
        <v>3</v>
      </c>
    </row>
    <row r="486" spans="1:8">
      <c r="A486">
        <v>484</v>
      </c>
      <c r="B486">
        <v>485</v>
      </c>
      <c r="C486">
        <v>3.0300000000000001E-2</v>
      </c>
      <c r="D486">
        <v>0.44</v>
      </c>
      <c r="E486">
        <v>0.22389999999999999</v>
      </c>
      <c r="F486">
        <v>0</v>
      </c>
      <c r="G486">
        <v>2</v>
      </c>
      <c r="H486">
        <v>2</v>
      </c>
    </row>
    <row r="487" spans="1:8">
      <c r="A487">
        <v>485</v>
      </c>
      <c r="B487">
        <v>486</v>
      </c>
      <c r="C487">
        <v>1.52E-2</v>
      </c>
      <c r="D487">
        <v>0.44</v>
      </c>
      <c r="E487">
        <v>0.28360000000000002</v>
      </c>
      <c r="F487">
        <v>0</v>
      </c>
      <c r="G487">
        <v>8</v>
      </c>
      <c r="H487">
        <v>8</v>
      </c>
    </row>
    <row r="488" spans="1:8">
      <c r="A488">
        <v>486</v>
      </c>
      <c r="B488">
        <v>487</v>
      </c>
      <c r="C488">
        <v>0</v>
      </c>
      <c r="D488">
        <v>0.44</v>
      </c>
      <c r="E488">
        <v>0.32840000000000003</v>
      </c>
      <c r="F488">
        <v>1</v>
      </c>
      <c r="G488">
        <v>26</v>
      </c>
      <c r="H488">
        <v>27</v>
      </c>
    </row>
    <row r="489" spans="1:8">
      <c r="A489">
        <v>487</v>
      </c>
      <c r="B489">
        <v>488</v>
      </c>
      <c r="C489">
        <v>3.0300000000000001E-2</v>
      </c>
      <c r="D489">
        <v>0.41</v>
      </c>
      <c r="E489">
        <v>0.25369999999999998</v>
      </c>
      <c r="F489">
        <v>3</v>
      </c>
      <c r="G489">
        <v>37</v>
      </c>
      <c r="H489">
        <v>40</v>
      </c>
    </row>
    <row r="490" spans="1:8">
      <c r="A490">
        <v>488</v>
      </c>
      <c r="B490">
        <v>489</v>
      </c>
      <c r="C490">
        <v>6.0600000000000001E-2</v>
      </c>
      <c r="D490">
        <v>0.41</v>
      </c>
      <c r="E490">
        <v>0.16420000000000001</v>
      </c>
      <c r="F490">
        <v>3</v>
      </c>
      <c r="G490">
        <v>50</v>
      </c>
      <c r="H490">
        <v>53</v>
      </c>
    </row>
    <row r="491" spans="1:8">
      <c r="A491">
        <v>489</v>
      </c>
      <c r="B491">
        <v>490</v>
      </c>
      <c r="C491">
        <v>7.5800000000000006E-2</v>
      </c>
      <c r="D491">
        <v>0.38</v>
      </c>
      <c r="E491">
        <v>0.1343</v>
      </c>
      <c r="F491">
        <v>4</v>
      </c>
      <c r="G491">
        <v>59</v>
      </c>
      <c r="H491">
        <v>63</v>
      </c>
    </row>
    <row r="492" spans="1:8">
      <c r="A492">
        <v>490</v>
      </c>
      <c r="B492">
        <v>491</v>
      </c>
      <c r="C492">
        <v>0.1061</v>
      </c>
      <c r="D492">
        <v>0.38</v>
      </c>
      <c r="E492">
        <v>0.1045</v>
      </c>
      <c r="F492">
        <v>10</v>
      </c>
      <c r="G492">
        <v>60</v>
      </c>
      <c r="H492">
        <v>70</v>
      </c>
    </row>
    <row r="493" spans="1:8">
      <c r="A493">
        <v>491</v>
      </c>
      <c r="B493">
        <v>492</v>
      </c>
      <c r="C493">
        <v>0.16669999999999999</v>
      </c>
      <c r="D493">
        <v>0.35</v>
      </c>
      <c r="E493">
        <v>0</v>
      </c>
      <c r="F493">
        <v>12</v>
      </c>
      <c r="G493">
        <v>72</v>
      </c>
      <c r="H493">
        <v>84</v>
      </c>
    </row>
    <row r="494" spans="1:8">
      <c r="A494">
        <v>492</v>
      </c>
      <c r="B494">
        <v>493</v>
      </c>
      <c r="C494">
        <v>0.13639999999999999</v>
      </c>
      <c r="D494">
        <v>0.33</v>
      </c>
      <c r="E494">
        <v>0.1045</v>
      </c>
      <c r="F494">
        <v>11</v>
      </c>
      <c r="G494">
        <v>64</v>
      </c>
      <c r="H494">
        <v>75</v>
      </c>
    </row>
    <row r="495" spans="1:8">
      <c r="A495">
        <v>493</v>
      </c>
      <c r="B495">
        <v>494</v>
      </c>
      <c r="C495">
        <v>0.1515</v>
      </c>
      <c r="D495">
        <v>0.28000000000000003</v>
      </c>
      <c r="E495">
        <v>0</v>
      </c>
      <c r="F495">
        <v>10</v>
      </c>
      <c r="G495">
        <v>93</v>
      </c>
      <c r="H495">
        <v>103</v>
      </c>
    </row>
    <row r="496" spans="1:8">
      <c r="A496">
        <v>494</v>
      </c>
      <c r="B496">
        <v>495</v>
      </c>
      <c r="C496">
        <v>0.13639999999999999</v>
      </c>
      <c r="D496">
        <v>0.28000000000000003</v>
      </c>
      <c r="E496">
        <v>0.19400000000000001</v>
      </c>
      <c r="F496">
        <v>11</v>
      </c>
      <c r="G496">
        <v>72</v>
      </c>
      <c r="H496">
        <v>83</v>
      </c>
    </row>
    <row r="497" spans="1:8">
      <c r="A497">
        <v>495</v>
      </c>
      <c r="B497">
        <v>496</v>
      </c>
      <c r="C497">
        <v>0.19700000000000001</v>
      </c>
      <c r="D497">
        <v>0.28000000000000003</v>
      </c>
      <c r="E497">
        <v>0</v>
      </c>
      <c r="F497">
        <v>8</v>
      </c>
      <c r="G497">
        <v>59</v>
      </c>
      <c r="H497">
        <v>67</v>
      </c>
    </row>
    <row r="498" spans="1:8">
      <c r="A498">
        <v>496</v>
      </c>
      <c r="B498">
        <v>497</v>
      </c>
      <c r="C498">
        <v>9.0899999999999995E-2</v>
      </c>
      <c r="D498">
        <v>0.35</v>
      </c>
      <c r="E498">
        <v>0.19400000000000001</v>
      </c>
      <c r="F498">
        <v>0</v>
      </c>
      <c r="G498">
        <v>54</v>
      </c>
      <c r="H498">
        <v>54</v>
      </c>
    </row>
    <row r="499" spans="1:8">
      <c r="A499">
        <v>497</v>
      </c>
      <c r="B499">
        <v>498</v>
      </c>
      <c r="C499">
        <v>0.1061</v>
      </c>
      <c r="D499">
        <v>0.35</v>
      </c>
      <c r="E499">
        <v>0.1343</v>
      </c>
      <c r="F499">
        <v>6</v>
      </c>
      <c r="G499">
        <v>53</v>
      </c>
      <c r="H499">
        <v>59</v>
      </c>
    </row>
    <row r="500" spans="1:8">
      <c r="A500">
        <v>498</v>
      </c>
      <c r="B500">
        <v>499</v>
      </c>
      <c r="C500">
        <v>7.5800000000000006E-2</v>
      </c>
      <c r="D500">
        <v>0.45</v>
      </c>
      <c r="E500">
        <v>0.16420000000000001</v>
      </c>
      <c r="F500">
        <v>1</v>
      </c>
      <c r="G500">
        <v>44</v>
      </c>
      <c r="H500">
        <v>45</v>
      </c>
    </row>
    <row r="501" spans="1:8">
      <c r="A501">
        <v>499</v>
      </c>
      <c r="B501">
        <v>500</v>
      </c>
      <c r="C501">
        <v>0.1061</v>
      </c>
      <c r="D501">
        <v>0.41</v>
      </c>
      <c r="E501">
        <v>8.9599999999999999E-2</v>
      </c>
      <c r="F501">
        <v>0</v>
      </c>
      <c r="G501">
        <v>39</v>
      </c>
      <c r="H501">
        <v>39</v>
      </c>
    </row>
    <row r="502" spans="1:8">
      <c r="A502">
        <v>500</v>
      </c>
      <c r="B502">
        <v>501</v>
      </c>
      <c r="C502">
        <v>0.1515</v>
      </c>
      <c r="D502">
        <v>0.49</v>
      </c>
      <c r="E502">
        <v>0</v>
      </c>
      <c r="F502">
        <v>7</v>
      </c>
      <c r="G502">
        <v>23</v>
      </c>
      <c r="H502">
        <v>30</v>
      </c>
    </row>
    <row r="503" spans="1:8">
      <c r="A503">
        <v>501</v>
      </c>
      <c r="B503">
        <v>502</v>
      </c>
      <c r="C503">
        <v>7.5800000000000006E-2</v>
      </c>
      <c r="D503">
        <v>0.56999999999999995</v>
      </c>
      <c r="E503">
        <v>0.1045</v>
      </c>
      <c r="F503">
        <v>2</v>
      </c>
      <c r="G503">
        <v>31</v>
      </c>
      <c r="H503">
        <v>33</v>
      </c>
    </row>
    <row r="504" spans="1:8">
      <c r="A504">
        <v>502</v>
      </c>
      <c r="B504">
        <v>503</v>
      </c>
      <c r="C504">
        <v>7.5800000000000006E-2</v>
      </c>
      <c r="D504">
        <v>0.56999999999999995</v>
      </c>
      <c r="E504">
        <v>0.1045</v>
      </c>
      <c r="F504">
        <v>2</v>
      </c>
      <c r="G504">
        <v>20</v>
      </c>
      <c r="H504">
        <v>22</v>
      </c>
    </row>
    <row r="505" spans="1:8">
      <c r="A505">
        <v>503</v>
      </c>
      <c r="B505">
        <v>504</v>
      </c>
      <c r="C505">
        <v>7.5800000000000006E-2</v>
      </c>
      <c r="D505">
        <v>0.56999999999999995</v>
      </c>
      <c r="E505">
        <v>0.1045</v>
      </c>
      <c r="F505">
        <v>1</v>
      </c>
      <c r="G505">
        <v>12</v>
      </c>
      <c r="H505">
        <v>13</v>
      </c>
    </row>
    <row r="506" spans="1:8">
      <c r="A506">
        <v>504</v>
      </c>
      <c r="B506">
        <v>505</v>
      </c>
      <c r="C506">
        <v>6.0600000000000001E-2</v>
      </c>
      <c r="D506">
        <v>0.62</v>
      </c>
      <c r="E506">
        <v>0.1343</v>
      </c>
      <c r="F506">
        <v>3</v>
      </c>
      <c r="G506">
        <v>15</v>
      </c>
      <c r="H506">
        <v>18</v>
      </c>
    </row>
    <row r="507" spans="1:8">
      <c r="A507">
        <v>505</v>
      </c>
      <c r="B507">
        <v>506</v>
      </c>
      <c r="C507">
        <v>6.0600000000000001E-2</v>
      </c>
      <c r="D507">
        <v>0.62</v>
      </c>
      <c r="E507">
        <v>0.1343</v>
      </c>
      <c r="F507">
        <v>1</v>
      </c>
      <c r="G507">
        <v>4</v>
      </c>
      <c r="H507">
        <v>5</v>
      </c>
    </row>
    <row r="508" spans="1:8">
      <c r="A508">
        <v>506</v>
      </c>
      <c r="B508">
        <v>507</v>
      </c>
      <c r="C508">
        <v>7.5800000000000006E-2</v>
      </c>
      <c r="D508">
        <v>0.56999999999999995</v>
      </c>
      <c r="E508">
        <v>0.1045</v>
      </c>
      <c r="F508">
        <v>0</v>
      </c>
      <c r="G508">
        <v>3</v>
      </c>
      <c r="H508">
        <v>3</v>
      </c>
    </row>
    <row r="509" spans="1:8">
      <c r="A509">
        <v>507</v>
      </c>
      <c r="B509">
        <v>508</v>
      </c>
      <c r="C509">
        <v>7.5800000000000006E-2</v>
      </c>
      <c r="D509">
        <v>0.56999999999999995</v>
      </c>
      <c r="E509">
        <v>0.1045</v>
      </c>
      <c r="F509">
        <v>0</v>
      </c>
      <c r="G509">
        <v>1</v>
      </c>
      <c r="H509">
        <v>1</v>
      </c>
    </row>
    <row r="510" spans="1:8">
      <c r="A510">
        <v>508</v>
      </c>
      <c r="B510">
        <v>509</v>
      </c>
      <c r="C510">
        <v>0.1061</v>
      </c>
      <c r="D510">
        <v>0.57999999999999996</v>
      </c>
      <c r="E510">
        <v>0.16420000000000001</v>
      </c>
      <c r="F510">
        <v>1</v>
      </c>
      <c r="G510">
        <v>1</v>
      </c>
      <c r="H510">
        <v>2</v>
      </c>
    </row>
    <row r="511" spans="1:8">
      <c r="A511">
        <v>509</v>
      </c>
      <c r="B511">
        <v>510</v>
      </c>
      <c r="C511">
        <v>7.5800000000000006E-2</v>
      </c>
      <c r="D511">
        <v>0.62</v>
      </c>
      <c r="E511">
        <v>0.16420000000000001</v>
      </c>
      <c r="F511">
        <v>2</v>
      </c>
      <c r="G511">
        <v>17</v>
      </c>
      <c r="H511">
        <v>19</v>
      </c>
    </row>
    <row r="512" spans="1:8">
      <c r="A512">
        <v>510</v>
      </c>
      <c r="B512">
        <v>511</v>
      </c>
      <c r="C512">
        <v>7.5800000000000006E-2</v>
      </c>
      <c r="D512">
        <v>0.54</v>
      </c>
      <c r="E512">
        <v>0.35820000000000002</v>
      </c>
      <c r="F512">
        <v>3</v>
      </c>
      <c r="G512">
        <v>25</v>
      </c>
      <c r="H512">
        <v>28</v>
      </c>
    </row>
    <row r="513" spans="1:8">
      <c r="A513">
        <v>511</v>
      </c>
      <c r="B513">
        <v>512</v>
      </c>
      <c r="C513">
        <v>0.1061</v>
      </c>
      <c r="D513">
        <v>0.46</v>
      </c>
      <c r="E513">
        <v>0.3881</v>
      </c>
      <c r="F513">
        <v>7</v>
      </c>
      <c r="G513">
        <v>51</v>
      </c>
      <c r="H513">
        <v>58</v>
      </c>
    </row>
    <row r="514" spans="1:8">
      <c r="A514">
        <v>512</v>
      </c>
      <c r="B514">
        <v>513</v>
      </c>
      <c r="C514">
        <v>0.13639999999999999</v>
      </c>
      <c r="D514">
        <v>0.43</v>
      </c>
      <c r="E514">
        <v>0.22389999999999999</v>
      </c>
      <c r="F514">
        <v>22</v>
      </c>
      <c r="G514">
        <v>77</v>
      </c>
      <c r="H514">
        <v>99</v>
      </c>
    </row>
    <row r="515" spans="1:8">
      <c r="A515">
        <v>513</v>
      </c>
      <c r="B515">
        <v>514</v>
      </c>
      <c r="C515">
        <v>0.1212</v>
      </c>
      <c r="D515">
        <v>0.37</v>
      </c>
      <c r="E515">
        <v>0.4627</v>
      </c>
      <c r="F515">
        <v>24</v>
      </c>
      <c r="G515">
        <v>92</v>
      </c>
      <c r="H515">
        <v>116</v>
      </c>
    </row>
    <row r="516" spans="1:8">
      <c r="A516">
        <v>514</v>
      </c>
      <c r="B516">
        <v>515</v>
      </c>
      <c r="C516">
        <v>0.1061</v>
      </c>
      <c r="D516">
        <v>0.33</v>
      </c>
      <c r="E516">
        <v>0.3881</v>
      </c>
      <c r="F516">
        <v>12</v>
      </c>
      <c r="G516">
        <v>75</v>
      </c>
      <c r="H516">
        <v>87</v>
      </c>
    </row>
    <row r="517" spans="1:8">
      <c r="A517">
        <v>515</v>
      </c>
      <c r="B517">
        <v>516</v>
      </c>
      <c r="C517">
        <v>0.13639999999999999</v>
      </c>
      <c r="D517">
        <v>0.28000000000000003</v>
      </c>
      <c r="E517">
        <v>0.35820000000000002</v>
      </c>
      <c r="F517">
        <v>17</v>
      </c>
      <c r="G517">
        <v>93</v>
      </c>
      <c r="H517">
        <v>110</v>
      </c>
    </row>
    <row r="518" spans="1:8">
      <c r="A518">
        <v>516</v>
      </c>
      <c r="B518">
        <v>517</v>
      </c>
      <c r="C518">
        <v>0.13639999999999999</v>
      </c>
      <c r="D518">
        <v>0.28000000000000003</v>
      </c>
      <c r="E518">
        <v>0.35820000000000002</v>
      </c>
      <c r="F518">
        <v>13</v>
      </c>
      <c r="G518">
        <v>64</v>
      </c>
      <c r="H518">
        <v>77</v>
      </c>
    </row>
    <row r="519" spans="1:8">
      <c r="A519">
        <v>517</v>
      </c>
      <c r="B519">
        <v>518</v>
      </c>
      <c r="C519">
        <v>0.13639999999999999</v>
      </c>
      <c r="D519">
        <v>0.26</v>
      </c>
      <c r="E519">
        <v>0.32840000000000003</v>
      </c>
      <c r="F519">
        <v>9</v>
      </c>
      <c r="G519">
        <v>56</v>
      </c>
      <c r="H519">
        <v>65</v>
      </c>
    </row>
    <row r="520" spans="1:8">
      <c r="A520">
        <v>518</v>
      </c>
      <c r="B520">
        <v>519</v>
      </c>
      <c r="C520">
        <v>0.1061</v>
      </c>
      <c r="D520">
        <v>0.26</v>
      </c>
      <c r="E520">
        <v>0.3881</v>
      </c>
      <c r="F520">
        <v>5</v>
      </c>
      <c r="G520">
        <v>50</v>
      </c>
      <c r="H520">
        <v>55</v>
      </c>
    </row>
    <row r="521" spans="1:8">
      <c r="A521">
        <v>519</v>
      </c>
      <c r="B521">
        <v>520</v>
      </c>
      <c r="C521">
        <v>0.1212</v>
      </c>
      <c r="D521">
        <v>0.3</v>
      </c>
      <c r="E521">
        <v>0.25369999999999998</v>
      </c>
      <c r="F521">
        <v>5</v>
      </c>
      <c r="G521">
        <v>44</v>
      </c>
      <c r="H521">
        <v>49</v>
      </c>
    </row>
    <row r="522" spans="1:8">
      <c r="A522">
        <v>520</v>
      </c>
      <c r="B522">
        <v>521</v>
      </c>
      <c r="C522">
        <v>0.1212</v>
      </c>
      <c r="D522">
        <v>0.3</v>
      </c>
      <c r="E522">
        <v>0.28360000000000002</v>
      </c>
      <c r="F522">
        <v>5</v>
      </c>
      <c r="G522">
        <v>45</v>
      </c>
      <c r="H522">
        <v>50</v>
      </c>
    </row>
    <row r="523" spans="1:8">
      <c r="A523">
        <v>521</v>
      </c>
      <c r="B523">
        <v>522</v>
      </c>
      <c r="C523">
        <v>0.1061</v>
      </c>
      <c r="D523">
        <v>0.36</v>
      </c>
      <c r="E523">
        <v>0.25369999999999998</v>
      </c>
      <c r="F523">
        <v>4</v>
      </c>
      <c r="G523">
        <v>31</v>
      </c>
      <c r="H523">
        <v>35</v>
      </c>
    </row>
    <row r="524" spans="1:8">
      <c r="A524">
        <v>522</v>
      </c>
      <c r="B524">
        <v>523</v>
      </c>
      <c r="C524">
        <v>0.1061</v>
      </c>
      <c r="D524">
        <v>0.36</v>
      </c>
      <c r="E524">
        <v>0.19400000000000001</v>
      </c>
      <c r="F524">
        <v>5</v>
      </c>
      <c r="G524">
        <v>20</v>
      </c>
      <c r="H524">
        <v>25</v>
      </c>
    </row>
    <row r="525" spans="1:8">
      <c r="A525">
        <v>523</v>
      </c>
      <c r="B525">
        <v>524</v>
      </c>
      <c r="C525">
        <v>9.0899999999999995E-2</v>
      </c>
      <c r="D525">
        <v>0.38</v>
      </c>
      <c r="E525">
        <v>0.19400000000000001</v>
      </c>
      <c r="F525">
        <v>5</v>
      </c>
      <c r="G525">
        <v>23</v>
      </c>
      <c r="H525">
        <v>28</v>
      </c>
    </row>
    <row r="526" spans="1:8">
      <c r="A526">
        <v>524</v>
      </c>
      <c r="B526">
        <v>525</v>
      </c>
      <c r="C526">
        <v>6.0600000000000001E-2</v>
      </c>
      <c r="D526">
        <v>0.41</v>
      </c>
      <c r="E526">
        <v>0.22389999999999999</v>
      </c>
      <c r="F526">
        <v>4</v>
      </c>
      <c r="G526">
        <v>17</v>
      </c>
      <c r="H526">
        <v>21</v>
      </c>
    </row>
    <row r="527" spans="1:8">
      <c r="A527">
        <v>525</v>
      </c>
      <c r="B527">
        <v>526</v>
      </c>
      <c r="C527">
        <v>6.0600000000000001E-2</v>
      </c>
      <c r="D527">
        <v>0.41</v>
      </c>
      <c r="E527">
        <v>0.19400000000000001</v>
      </c>
      <c r="F527">
        <v>0</v>
      </c>
      <c r="G527">
        <v>7</v>
      </c>
      <c r="H527">
        <v>7</v>
      </c>
    </row>
    <row r="528" spans="1:8">
      <c r="A528">
        <v>526</v>
      </c>
      <c r="B528">
        <v>527</v>
      </c>
      <c r="C528">
        <v>4.5499999999999999E-2</v>
      </c>
      <c r="D528">
        <v>0.45</v>
      </c>
      <c r="E528">
        <v>0.19400000000000001</v>
      </c>
      <c r="F528">
        <v>0</v>
      </c>
      <c r="G528">
        <v>1</v>
      </c>
      <c r="H528">
        <v>1</v>
      </c>
    </row>
    <row r="529" spans="1:8">
      <c r="A529">
        <v>527</v>
      </c>
      <c r="B529">
        <v>528</v>
      </c>
      <c r="C529">
        <v>3.0300000000000001E-2</v>
      </c>
      <c r="D529">
        <v>0.45</v>
      </c>
      <c r="E529">
        <v>0.25369999999999998</v>
      </c>
      <c r="F529">
        <v>0</v>
      </c>
      <c r="G529">
        <v>1</v>
      </c>
      <c r="H529">
        <v>1</v>
      </c>
    </row>
    <row r="530" spans="1:8">
      <c r="A530">
        <v>528</v>
      </c>
      <c r="B530">
        <v>529</v>
      </c>
      <c r="C530">
        <v>6.0600000000000001E-2</v>
      </c>
      <c r="D530">
        <v>0.48</v>
      </c>
      <c r="E530">
        <v>0.1343</v>
      </c>
      <c r="F530">
        <v>0</v>
      </c>
      <c r="G530">
        <v>1</v>
      </c>
      <c r="H530">
        <v>1</v>
      </c>
    </row>
    <row r="531" spans="1:8">
      <c r="A531">
        <v>529</v>
      </c>
      <c r="B531">
        <v>530</v>
      </c>
      <c r="C531">
        <v>6.0600000000000001E-2</v>
      </c>
      <c r="D531">
        <v>0.48</v>
      </c>
      <c r="E531">
        <v>0.1343</v>
      </c>
      <c r="F531">
        <v>0</v>
      </c>
      <c r="G531">
        <v>5</v>
      </c>
      <c r="H531">
        <v>5</v>
      </c>
    </row>
    <row r="532" spans="1:8">
      <c r="A532">
        <v>530</v>
      </c>
      <c r="B532">
        <v>531</v>
      </c>
      <c r="C532">
        <v>7.5800000000000006E-2</v>
      </c>
      <c r="D532">
        <v>0.48</v>
      </c>
      <c r="E532">
        <v>8.9599999999999999E-2</v>
      </c>
      <c r="F532">
        <v>0</v>
      </c>
      <c r="G532">
        <v>15</v>
      </c>
      <c r="H532">
        <v>15</v>
      </c>
    </row>
    <row r="533" spans="1:8">
      <c r="A533">
        <v>531</v>
      </c>
      <c r="B533">
        <v>532</v>
      </c>
      <c r="C533">
        <v>0.1212</v>
      </c>
      <c r="D533">
        <v>0.48</v>
      </c>
      <c r="E533">
        <v>0</v>
      </c>
      <c r="F533">
        <v>5</v>
      </c>
      <c r="G533">
        <v>79</v>
      </c>
      <c r="H533">
        <v>84</v>
      </c>
    </row>
    <row r="534" spans="1:8">
      <c r="A534">
        <v>532</v>
      </c>
      <c r="B534">
        <v>533</v>
      </c>
      <c r="C534">
        <v>0.13639999999999999</v>
      </c>
      <c r="D534">
        <v>0.49</v>
      </c>
      <c r="E534">
        <v>0</v>
      </c>
      <c r="F534">
        <v>6</v>
      </c>
      <c r="G534">
        <v>171</v>
      </c>
      <c r="H534">
        <v>177</v>
      </c>
    </row>
    <row r="535" spans="1:8">
      <c r="A535">
        <v>533</v>
      </c>
      <c r="B535">
        <v>534</v>
      </c>
      <c r="C535">
        <v>0.1515</v>
      </c>
      <c r="D535">
        <v>0.41</v>
      </c>
      <c r="E535">
        <v>0</v>
      </c>
      <c r="F535">
        <v>4</v>
      </c>
      <c r="G535">
        <v>98</v>
      </c>
      <c r="H535">
        <v>102</v>
      </c>
    </row>
    <row r="536" spans="1:8">
      <c r="A536">
        <v>534</v>
      </c>
      <c r="B536">
        <v>535</v>
      </c>
      <c r="C536">
        <v>0.13639999999999999</v>
      </c>
      <c r="D536">
        <v>0.42</v>
      </c>
      <c r="E536">
        <v>0</v>
      </c>
      <c r="F536">
        <v>6</v>
      </c>
      <c r="G536">
        <v>34</v>
      </c>
      <c r="H536">
        <v>40</v>
      </c>
    </row>
    <row r="537" spans="1:8">
      <c r="A537">
        <v>535</v>
      </c>
      <c r="B537">
        <v>536</v>
      </c>
      <c r="C537">
        <v>0.1212</v>
      </c>
      <c r="D537">
        <v>0.46</v>
      </c>
      <c r="E537">
        <v>0.1343</v>
      </c>
      <c r="F537">
        <v>3</v>
      </c>
      <c r="G537">
        <v>43</v>
      </c>
      <c r="H537">
        <v>46</v>
      </c>
    </row>
    <row r="538" spans="1:8">
      <c r="A538">
        <v>536</v>
      </c>
      <c r="B538">
        <v>537</v>
      </c>
      <c r="C538">
        <v>0.13639999999999999</v>
      </c>
      <c r="D538">
        <v>0.42</v>
      </c>
      <c r="E538">
        <v>0.19400000000000001</v>
      </c>
      <c r="F538">
        <v>11</v>
      </c>
      <c r="G538">
        <v>52</v>
      </c>
      <c r="H538">
        <v>63</v>
      </c>
    </row>
    <row r="539" spans="1:8">
      <c r="A539">
        <v>537</v>
      </c>
      <c r="B539">
        <v>538</v>
      </c>
      <c r="C539">
        <v>0.13639999999999999</v>
      </c>
      <c r="D539">
        <v>0.43</v>
      </c>
      <c r="E539">
        <v>0.22389999999999999</v>
      </c>
      <c r="F539">
        <v>6</v>
      </c>
      <c r="G539">
        <v>54</v>
      </c>
      <c r="H539">
        <v>60</v>
      </c>
    </row>
    <row r="540" spans="1:8">
      <c r="A540">
        <v>538</v>
      </c>
      <c r="B540">
        <v>539</v>
      </c>
      <c r="C540">
        <v>0.13639999999999999</v>
      </c>
      <c r="D540">
        <v>0.46</v>
      </c>
      <c r="E540">
        <v>0.22389999999999999</v>
      </c>
      <c r="F540">
        <v>2</v>
      </c>
      <c r="G540">
        <v>43</v>
      </c>
      <c r="H540">
        <v>45</v>
      </c>
    </row>
    <row r="541" spans="1:8">
      <c r="A541">
        <v>539</v>
      </c>
      <c r="B541">
        <v>540</v>
      </c>
      <c r="C541">
        <v>0.16669999999999999</v>
      </c>
      <c r="D541">
        <v>0.4</v>
      </c>
      <c r="E541">
        <v>0.16420000000000001</v>
      </c>
      <c r="F541">
        <v>7</v>
      </c>
      <c r="G541">
        <v>50</v>
      </c>
      <c r="H541">
        <v>57</v>
      </c>
    </row>
    <row r="542" spans="1:8">
      <c r="A542">
        <v>540</v>
      </c>
      <c r="B542">
        <v>541</v>
      </c>
      <c r="C542">
        <v>0.1515</v>
      </c>
      <c r="D542">
        <v>0.47</v>
      </c>
      <c r="E542">
        <v>0.25369999999999998</v>
      </c>
      <c r="F542">
        <v>4</v>
      </c>
      <c r="G542">
        <v>66</v>
      </c>
      <c r="H542">
        <v>70</v>
      </c>
    </row>
    <row r="543" spans="1:8">
      <c r="A543">
        <v>541</v>
      </c>
      <c r="B543">
        <v>542</v>
      </c>
      <c r="C543">
        <v>0.1212</v>
      </c>
      <c r="D543">
        <v>0.5</v>
      </c>
      <c r="E543">
        <v>0.25369999999999998</v>
      </c>
      <c r="F543">
        <v>6</v>
      </c>
      <c r="G543">
        <v>178</v>
      </c>
      <c r="H543">
        <v>184</v>
      </c>
    </row>
    <row r="544" spans="1:8">
      <c r="A544">
        <v>542</v>
      </c>
      <c r="B544">
        <v>543</v>
      </c>
      <c r="C544">
        <v>0.13639999999999999</v>
      </c>
      <c r="D544">
        <v>0.59</v>
      </c>
      <c r="E544">
        <v>0.19400000000000001</v>
      </c>
      <c r="F544">
        <v>8</v>
      </c>
      <c r="G544">
        <v>145</v>
      </c>
      <c r="H544">
        <v>153</v>
      </c>
    </row>
    <row r="545" spans="1:8">
      <c r="A545">
        <v>543</v>
      </c>
      <c r="B545">
        <v>544</v>
      </c>
      <c r="C545">
        <v>0.1515</v>
      </c>
      <c r="D545">
        <v>0.54</v>
      </c>
      <c r="E545">
        <v>0.16420000000000001</v>
      </c>
      <c r="F545">
        <v>5</v>
      </c>
      <c r="G545">
        <v>101</v>
      </c>
      <c r="H545">
        <v>106</v>
      </c>
    </row>
    <row r="546" spans="1:8">
      <c r="A546">
        <v>544</v>
      </c>
      <c r="B546">
        <v>545</v>
      </c>
      <c r="C546">
        <v>0.13639999999999999</v>
      </c>
      <c r="D546">
        <v>0.59</v>
      </c>
      <c r="E546">
        <v>0.19400000000000001</v>
      </c>
      <c r="F546">
        <v>1</v>
      </c>
      <c r="G546">
        <v>80</v>
      </c>
      <c r="H546">
        <v>81</v>
      </c>
    </row>
    <row r="547" spans="1:8">
      <c r="A547">
        <v>545</v>
      </c>
      <c r="B547">
        <v>546</v>
      </c>
      <c r="C547">
        <v>0.1515</v>
      </c>
      <c r="D547">
        <v>0.63</v>
      </c>
      <c r="E547">
        <v>0.16420000000000001</v>
      </c>
      <c r="F547">
        <v>6</v>
      </c>
      <c r="G547">
        <v>53</v>
      </c>
      <c r="H547">
        <v>59</v>
      </c>
    </row>
    <row r="548" spans="1:8">
      <c r="A548">
        <v>546</v>
      </c>
      <c r="B548">
        <v>547</v>
      </c>
      <c r="C548">
        <v>0.13639999999999999</v>
      </c>
      <c r="D548">
        <v>0.63</v>
      </c>
      <c r="E548">
        <v>0.22389999999999999</v>
      </c>
      <c r="F548">
        <v>3</v>
      </c>
      <c r="G548">
        <v>32</v>
      </c>
      <c r="H548">
        <v>35</v>
      </c>
    </row>
    <row r="549" spans="1:8">
      <c r="A549">
        <v>547</v>
      </c>
      <c r="B549">
        <v>548</v>
      </c>
      <c r="C549">
        <v>0.1515</v>
      </c>
      <c r="D549">
        <v>0.64</v>
      </c>
      <c r="E549">
        <v>0.25369999999999998</v>
      </c>
      <c r="F549">
        <v>3</v>
      </c>
      <c r="G549">
        <v>21</v>
      </c>
      <c r="H549">
        <v>24</v>
      </c>
    </row>
    <row r="550" spans="1:8">
      <c r="A550">
        <v>548</v>
      </c>
      <c r="B550">
        <v>549</v>
      </c>
      <c r="C550">
        <v>0.13639999999999999</v>
      </c>
      <c r="D550">
        <v>0.69</v>
      </c>
      <c r="E550">
        <v>0.28360000000000002</v>
      </c>
      <c r="F550">
        <v>3</v>
      </c>
      <c r="G550">
        <v>6</v>
      </c>
      <c r="H550">
        <v>9</v>
      </c>
    </row>
    <row r="551" spans="1:8">
      <c r="A551">
        <v>549</v>
      </c>
      <c r="B551">
        <v>550</v>
      </c>
      <c r="C551">
        <v>0.16669999999999999</v>
      </c>
      <c r="D551">
        <v>0.69</v>
      </c>
      <c r="E551">
        <v>0.16420000000000001</v>
      </c>
      <c r="F551">
        <v>0</v>
      </c>
      <c r="G551">
        <v>5</v>
      </c>
      <c r="H551">
        <v>5</v>
      </c>
    </row>
    <row r="552" spans="1:8">
      <c r="A552">
        <v>550</v>
      </c>
      <c r="B552">
        <v>551</v>
      </c>
      <c r="C552">
        <v>0.1515</v>
      </c>
      <c r="D552">
        <v>0.69</v>
      </c>
      <c r="E552">
        <v>0.22389999999999999</v>
      </c>
      <c r="F552">
        <v>0</v>
      </c>
      <c r="G552">
        <v>2</v>
      </c>
      <c r="H552">
        <v>2</v>
      </c>
    </row>
    <row r="553" spans="1:8">
      <c r="A553">
        <v>551</v>
      </c>
      <c r="B553">
        <v>552</v>
      </c>
      <c r="C553">
        <v>0.16669999999999999</v>
      </c>
      <c r="D553">
        <v>0.74</v>
      </c>
      <c r="E553">
        <v>0.1045</v>
      </c>
      <c r="F553">
        <v>0</v>
      </c>
      <c r="G553">
        <v>1</v>
      </c>
      <c r="H553">
        <v>1</v>
      </c>
    </row>
    <row r="554" spans="1:8">
      <c r="A554">
        <v>552</v>
      </c>
      <c r="B554">
        <v>553</v>
      </c>
      <c r="C554">
        <v>0.13639999999999999</v>
      </c>
      <c r="D554">
        <v>0.74</v>
      </c>
      <c r="E554">
        <v>0.22389999999999999</v>
      </c>
      <c r="F554">
        <v>0</v>
      </c>
      <c r="G554">
        <v>9</v>
      </c>
      <c r="H554">
        <v>9</v>
      </c>
    </row>
    <row r="555" spans="1:8">
      <c r="A555">
        <v>553</v>
      </c>
      <c r="B555">
        <v>554</v>
      </c>
      <c r="C555">
        <v>0.18179999999999999</v>
      </c>
      <c r="D555">
        <v>0.74</v>
      </c>
      <c r="E555">
        <v>0.1045</v>
      </c>
      <c r="F555">
        <v>1</v>
      </c>
      <c r="G555">
        <v>35</v>
      </c>
      <c r="H555">
        <v>36</v>
      </c>
    </row>
    <row r="556" spans="1:8">
      <c r="A556">
        <v>554</v>
      </c>
      <c r="B556">
        <v>555</v>
      </c>
      <c r="C556">
        <v>0.1515</v>
      </c>
      <c r="D556">
        <v>0.74</v>
      </c>
      <c r="E556">
        <v>0.22389999999999999</v>
      </c>
      <c r="F556">
        <v>5</v>
      </c>
      <c r="G556">
        <v>103</v>
      </c>
      <c r="H556">
        <v>108</v>
      </c>
    </row>
    <row r="557" spans="1:8">
      <c r="A557">
        <v>555</v>
      </c>
      <c r="B557">
        <v>556</v>
      </c>
      <c r="C557">
        <v>0.18179999999999999</v>
      </c>
      <c r="D557">
        <v>0.74</v>
      </c>
      <c r="E557">
        <v>0.1343</v>
      </c>
      <c r="F557">
        <v>5</v>
      </c>
      <c r="G557">
        <v>233</v>
      </c>
      <c r="H557">
        <v>238</v>
      </c>
    </row>
    <row r="558" spans="1:8">
      <c r="A558">
        <v>556</v>
      </c>
      <c r="B558">
        <v>557</v>
      </c>
      <c r="C558">
        <v>0.2273</v>
      </c>
      <c r="D558">
        <v>0.64</v>
      </c>
      <c r="E558">
        <v>8.9599999999999999E-2</v>
      </c>
      <c r="F558">
        <v>10</v>
      </c>
      <c r="G558">
        <v>134</v>
      </c>
      <c r="H558">
        <v>144</v>
      </c>
    </row>
    <row r="559" spans="1:8">
      <c r="A559">
        <v>557</v>
      </c>
      <c r="B559">
        <v>558</v>
      </c>
      <c r="C559">
        <v>0.2424</v>
      </c>
      <c r="D559">
        <v>0.6</v>
      </c>
      <c r="E559">
        <v>0.1045</v>
      </c>
      <c r="F559">
        <v>6</v>
      </c>
      <c r="G559">
        <v>49</v>
      </c>
      <c r="H559">
        <v>55</v>
      </c>
    </row>
    <row r="560" spans="1:8">
      <c r="A560">
        <v>558</v>
      </c>
      <c r="B560">
        <v>559</v>
      </c>
      <c r="C560">
        <v>0.2424</v>
      </c>
      <c r="D560">
        <v>0.6</v>
      </c>
      <c r="E560">
        <v>0.1343</v>
      </c>
      <c r="F560">
        <v>6</v>
      </c>
      <c r="G560">
        <v>55</v>
      </c>
      <c r="H560">
        <v>61</v>
      </c>
    </row>
    <row r="561" spans="1:8">
      <c r="A561">
        <v>559</v>
      </c>
      <c r="B561">
        <v>560</v>
      </c>
      <c r="C561">
        <v>0.28789999999999999</v>
      </c>
      <c r="D561">
        <v>0.56000000000000005</v>
      </c>
      <c r="E561">
        <v>8.9599999999999999E-2</v>
      </c>
      <c r="F561">
        <v>21</v>
      </c>
      <c r="G561">
        <v>85</v>
      </c>
      <c r="H561">
        <v>106</v>
      </c>
    </row>
    <row r="562" spans="1:8">
      <c r="A562">
        <v>560</v>
      </c>
      <c r="B562">
        <v>561</v>
      </c>
      <c r="C562">
        <v>0.2727</v>
      </c>
      <c r="D562">
        <v>0.56000000000000005</v>
      </c>
      <c r="E562">
        <v>0.1343</v>
      </c>
      <c r="F562">
        <v>21</v>
      </c>
      <c r="G562">
        <v>72</v>
      </c>
      <c r="H562">
        <v>93</v>
      </c>
    </row>
    <row r="563" spans="1:8">
      <c r="A563">
        <v>561</v>
      </c>
      <c r="B563">
        <v>562</v>
      </c>
      <c r="C563">
        <v>0.33329999999999999</v>
      </c>
      <c r="D563">
        <v>0.45</v>
      </c>
      <c r="E563">
        <v>0</v>
      </c>
      <c r="F563">
        <v>11</v>
      </c>
      <c r="G563">
        <v>57</v>
      </c>
      <c r="H563">
        <v>68</v>
      </c>
    </row>
    <row r="564" spans="1:8">
      <c r="A564">
        <v>562</v>
      </c>
      <c r="B564">
        <v>563</v>
      </c>
      <c r="C564">
        <v>0.34849999999999998</v>
      </c>
      <c r="D564">
        <v>0.42</v>
      </c>
      <c r="E564">
        <v>0</v>
      </c>
      <c r="F564">
        <v>21</v>
      </c>
      <c r="G564">
        <v>63</v>
      </c>
      <c r="H564">
        <v>84</v>
      </c>
    </row>
    <row r="565" spans="1:8">
      <c r="A565">
        <v>563</v>
      </c>
      <c r="B565">
        <v>564</v>
      </c>
      <c r="C565">
        <v>0.34849999999999998</v>
      </c>
      <c r="D565">
        <v>0.42</v>
      </c>
      <c r="E565">
        <v>0</v>
      </c>
      <c r="F565">
        <v>14</v>
      </c>
      <c r="G565">
        <v>102</v>
      </c>
      <c r="H565">
        <v>116</v>
      </c>
    </row>
    <row r="566" spans="1:8">
      <c r="A566">
        <v>564</v>
      </c>
      <c r="B566">
        <v>565</v>
      </c>
      <c r="C566">
        <v>0.33329999999999999</v>
      </c>
      <c r="D566">
        <v>0.45</v>
      </c>
      <c r="E566">
        <v>0</v>
      </c>
      <c r="F566">
        <v>14</v>
      </c>
      <c r="G566">
        <v>208</v>
      </c>
      <c r="H566">
        <v>222</v>
      </c>
    </row>
    <row r="567" spans="1:8">
      <c r="A567">
        <v>565</v>
      </c>
      <c r="B567">
        <v>566</v>
      </c>
      <c r="C567">
        <v>0.31819999999999998</v>
      </c>
      <c r="D567">
        <v>0.49</v>
      </c>
      <c r="E567">
        <v>8.9599999999999999E-2</v>
      </c>
      <c r="F567">
        <v>7</v>
      </c>
      <c r="G567">
        <v>218</v>
      </c>
      <c r="H567">
        <v>225</v>
      </c>
    </row>
    <row r="568" spans="1:8">
      <c r="A568">
        <v>566</v>
      </c>
      <c r="B568">
        <v>567</v>
      </c>
      <c r="C568">
        <v>0.2576</v>
      </c>
      <c r="D568">
        <v>0.65</v>
      </c>
      <c r="E568">
        <v>0.16420000000000001</v>
      </c>
      <c r="F568">
        <v>13</v>
      </c>
      <c r="G568">
        <v>133</v>
      </c>
      <c r="H568">
        <v>146</v>
      </c>
    </row>
    <row r="569" spans="1:8">
      <c r="A569">
        <v>567</v>
      </c>
      <c r="B569">
        <v>568</v>
      </c>
      <c r="C569">
        <v>0.2273</v>
      </c>
      <c r="D569">
        <v>0.65</v>
      </c>
      <c r="E569">
        <v>0.19400000000000001</v>
      </c>
      <c r="F569">
        <v>16</v>
      </c>
      <c r="G569">
        <v>103</v>
      </c>
      <c r="H569">
        <v>119</v>
      </c>
    </row>
    <row r="570" spans="1:8">
      <c r="A570">
        <v>568</v>
      </c>
      <c r="B570">
        <v>569</v>
      </c>
      <c r="C570">
        <v>0.2273</v>
      </c>
      <c r="D570">
        <v>0.65</v>
      </c>
      <c r="E570">
        <v>0.19400000000000001</v>
      </c>
      <c r="F570">
        <v>5</v>
      </c>
      <c r="G570">
        <v>40</v>
      </c>
      <c r="H570">
        <v>45</v>
      </c>
    </row>
    <row r="571" spans="1:8">
      <c r="A571">
        <v>569</v>
      </c>
      <c r="B571">
        <v>570</v>
      </c>
      <c r="C571">
        <v>0.2273</v>
      </c>
      <c r="D571">
        <v>0.64</v>
      </c>
      <c r="E571">
        <v>0.16420000000000001</v>
      </c>
      <c r="F571">
        <v>4</v>
      </c>
      <c r="G571">
        <v>49</v>
      </c>
      <c r="H571">
        <v>53</v>
      </c>
    </row>
    <row r="572" spans="1:8">
      <c r="A572">
        <v>570</v>
      </c>
      <c r="B572">
        <v>571</v>
      </c>
      <c r="C572">
        <v>0.2273</v>
      </c>
      <c r="D572">
        <v>0.64</v>
      </c>
      <c r="E572">
        <v>0.16420000000000001</v>
      </c>
      <c r="F572">
        <v>3</v>
      </c>
      <c r="G572">
        <v>37</v>
      </c>
      <c r="H572">
        <v>40</v>
      </c>
    </row>
    <row r="573" spans="1:8">
      <c r="A573">
        <v>571</v>
      </c>
      <c r="B573">
        <v>572</v>
      </c>
      <c r="C573">
        <v>0.2273</v>
      </c>
      <c r="D573">
        <v>0.69</v>
      </c>
      <c r="E573">
        <v>0.1343</v>
      </c>
      <c r="F573">
        <v>3</v>
      </c>
      <c r="G573">
        <v>14</v>
      </c>
      <c r="H573">
        <v>17</v>
      </c>
    </row>
    <row r="574" spans="1:8">
      <c r="A574">
        <v>572</v>
      </c>
      <c r="B574">
        <v>573</v>
      </c>
      <c r="C574">
        <v>0.2424</v>
      </c>
      <c r="D574">
        <v>0.65</v>
      </c>
      <c r="E574">
        <v>0.1343</v>
      </c>
      <c r="F574">
        <v>0</v>
      </c>
      <c r="G574">
        <v>5</v>
      </c>
      <c r="H574">
        <v>5</v>
      </c>
    </row>
    <row r="575" spans="1:8">
      <c r="A575">
        <v>573</v>
      </c>
      <c r="B575">
        <v>574</v>
      </c>
      <c r="C575">
        <v>0.2273</v>
      </c>
      <c r="D575">
        <v>0.69</v>
      </c>
      <c r="E575">
        <v>0.19400000000000001</v>
      </c>
      <c r="F575">
        <v>3</v>
      </c>
      <c r="G575">
        <v>7</v>
      </c>
      <c r="H575">
        <v>10</v>
      </c>
    </row>
    <row r="576" spans="1:8">
      <c r="A576">
        <v>574</v>
      </c>
      <c r="B576">
        <v>575</v>
      </c>
      <c r="C576">
        <v>0.18179999999999999</v>
      </c>
      <c r="D576">
        <v>0.86</v>
      </c>
      <c r="E576">
        <v>0.28360000000000002</v>
      </c>
      <c r="F576">
        <v>0</v>
      </c>
      <c r="G576">
        <v>1</v>
      </c>
      <c r="H576">
        <v>1</v>
      </c>
    </row>
    <row r="577" spans="1:8">
      <c r="A577">
        <v>575</v>
      </c>
      <c r="B577">
        <v>576</v>
      </c>
      <c r="C577">
        <v>0.18179999999999999</v>
      </c>
      <c r="D577">
        <v>0.86</v>
      </c>
      <c r="E577">
        <v>0.28360000000000002</v>
      </c>
      <c r="F577">
        <v>0</v>
      </c>
      <c r="G577">
        <v>8</v>
      </c>
      <c r="H577">
        <v>8</v>
      </c>
    </row>
    <row r="578" spans="1:8">
      <c r="A578">
        <v>576</v>
      </c>
      <c r="B578">
        <v>577</v>
      </c>
      <c r="C578">
        <v>0.21210000000000001</v>
      </c>
      <c r="D578">
        <v>0.87</v>
      </c>
      <c r="E578">
        <v>0.29849999999999999</v>
      </c>
      <c r="F578">
        <v>1</v>
      </c>
      <c r="G578">
        <v>29</v>
      </c>
      <c r="H578">
        <v>30</v>
      </c>
    </row>
    <row r="579" spans="1:8">
      <c r="A579">
        <v>577</v>
      </c>
      <c r="B579">
        <v>578</v>
      </c>
      <c r="C579">
        <v>0.21210000000000001</v>
      </c>
      <c r="D579">
        <v>0.87</v>
      </c>
      <c r="E579">
        <v>0.29849999999999999</v>
      </c>
      <c r="F579">
        <v>3</v>
      </c>
      <c r="G579">
        <v>69</v>
      </c>
      <c r="H579">
        <v>72</v>
      </c>
    </row>
    <row r="580" spans="1:8">
      <c r="A580">
        <v>578</v>
      </c>
      <c r="B580">
        <v>579</v>
      </c>
      <c r="C580">
        <v>0.21210000000000001</v>
      </c>
      <c r="D580">
        <v>0.87</v>
      </c>
      <c r="E580">
        <v>0.29849999999999999</v>
      </c>
      <c r="F580">
        <v>3</v>
      </c>
      <c r="G580">
        <v>55</v>
      </c>
      <c r="H580">
        <v>58</v>
      </c>
    </row>
    <row r="581" spans="1:8">
      <c r="A581">
        <v>579</v>
      </c>
      <c r="B581">
        <v>580</v>
      </c>
      <c r="C581">
        <v>0.21210000000000001</v>
      </c>
      <c r="D581">
        <v>0.93</v>
      </c>
      <c r="E581">
        <v>0.28360000000000002</v>
      </c>
      <c r="F581">
        <v>2</v>
      </c>
      <c r="G581">
        <v>26</v>
      </c>
      <c r="H581">
        <v>28</v>
      </c>
    </row>
    <row r="582" spans="1:8">
      <c r="A582">
        <v>580</v>
      </c>
      <c r="B582">
        <v>581</v>
      </c>
      <c r="C582">
        <v>0.19700000000000001</v>
      </c>
      <c r="D582">
        <v>0.93</v>
      </c>
      <c r="E582">
        <v>0.32840000000000003</v>
      </c>
      <c r="F582">
        <v>6</v>
      </c>
      <c r="G582">
        <v>35</v>
      </c>
      <c r="H582">
        <v>41</v>
      </c>
    </row>
    <row r="583" spans="1:8">
      <c r="A583">
        <v>581</v>
      </c>
      <c r="B583">
        <v>582</v>
      </c>
      <c r="C583">
        <v>0.19700000000000001</v>
      </c>
      <c r="D583">
        <v>0.93</v>
      </c>
      <c r="E583">
        <v>0.32840000000000003</v>
      </c>
      <c r="F583">
        <v>7</v>
      </c>
      <c r="G583">
        <v>41</v>
      </c>
      <c r="H583">
        <v>48</v>
      </c>
    </row>
    <row r="584" spans="1:8">
      <c r="A584">
        <v>582</v>
      </c>
      <c r="B584">
        <v>583</v>
      </c>
      <c r="C584">
        <v>0.19700000000000001</v>
      </c>
      <c r="D584">
        <v>0.93</v>
      </c>
      <c r="E584">
        <v>0.32840000000000003</v>
      </c>
      <c r="F584">
        <v>4</v>
      </c>
      <c r="G584">
        <v>43</v>
      </c>
      <c r="H584">
        <v>47</v>
      </c>
    </row>
    <row r="585" spans="1:8">
      <c r="A585">
        <v>583</v>
      </c>
      <c r="B585">
        <v>584</v>
      </c>
      <c r="C585">
        <v>0.19700000000000001</v>
      </c>
      <c r="D585">
        <v>0.93</v>
      </c>
      <c r="E585">
        <v>0.35820000000000002</v>
      </c>
      <c r="F585">
        <v>0</v>
      </c>
      <c r="G585">
        <v>36</v>
      </c>
      <c r="H585">
        <v>36</v>
      </c>
    </row>
    <row r="586" spans="1:8">
      <c r="A586">
        <v>584</v>
      </c>
      <c r="B586">
        <v>585</v>
      </c>
      <c r="C586">
        <v>0.18179999999999999</v>
      </c>
      <c r="D586">
        <v>0.93</v>
      </c>
      <c r="E586">
        <v>0.4627</v>
      </c>
      <c r="F586">
        <v>1</v>
      </c>
      <c r="G586">
        <v>42</v>
      </c>
      <c r="H586">
        <v>43</v>
      </c>
    </row>
    <row r="587" spans="1:8">
      <c r="A587">
        <v>585</v>
      </c>
      <c r="B587">
        <v>586</v>
      </c>
      <c r="C587">
        <v>0.19700000000000001</v>
      </c>
      <c r="D587">
        <v>0.93</v>
      </c>
      <c r="E587">
        <v>0.32840000000000003</v>
      </c>
      <c r="F587">
        <v>1</v>
      </c>
      <c r="G587">
        <v>35</v>
      </c>
      <c r="H587">
        <v>36</v>
      </c>
    </row>
    <row r="588" spans="1:8">
      <c r="A588">
        <v>586</v>
      </c>
      <c r="B588">
        <v>587</v>
      </c>
      <c r="C588">
        <v>0.18179999999999999</v>
      </c>
      <c r="D588">
        <v>0.93</v>
      </c>
      <c r="E588">
        <v>0.35820000000000002</v>
      </c>
      <c r="F588">
        <v>0</v>
      </c>
      <c r="G588">
        <v>26</v>
      </c>
      <c r="H588">
        <v>26</v>
      </c>
    </row>
    <row r="589" spans="1:8">
      <c r="A589">
        <v>587</v>
      </c>
      <c r="B589">
        <v>588</v>
      </c>
      <c r="C589">
        <v>0.2273</v>
      </c>
      <c r="D589">
        <v>0.55000000000000004</v>
      </c>
      <c r="E589">
        <v>0.19400000000000001</v>
      </c>
      <c r="F589">
        <v>1</v>
      </c>
      <c r="G589">
        <v>23</v>
      </c>
      <c r="H589">
        <v>24</v>
      </c>
    </row>
    <row r="590" spans="1:8">
      <c r="A590">
        <v>588</v>
      </c>
      <c r="B590">
        <v>589</v>
      </c>
      <c r="C590">
        <v>0.2424</v>
      </c>
      <c r="D590">
        <v>0.55000000000000004</v>
      </c>
      <c r="E590">
        <v>0.1045</v>
      </c>
      <c r="F590">
        <v>2</v>
      </c>
      <c r="G590">
        <v>82</v>
      </c>
      <c r="H590">
        <v>84</v>
      </c>
    </row>
    <row r="591" spans="1:8">
      <c r="A591">
        <v>589</v>
      </c>
      <c r="B591">
        <v>590</v>
      </c>
      <c r="C591">
        <v>0.2273</v>
      </c>
      <c r="D591">
        <v>0.69</v>
      </c>
      <c r="E591">
        <v>8.9599999999999999E-2</v>
      </c>
      <c r="F591">
        <v>3</v>
      </c>
      <c r="G591">
        <v>101</v>
      </c>
      <c r="H591">
        <v>104</v>
      </c>
    </row>
    <row r="592" spans="1:8">
      <c r="A592">
        <v>590</v>
      </c>
      <c r="B592">
        <v>591</v>
      </c>
      <c r="C592">
        <v>0.2273</v>
      </c>
      <c r="D592">
        <v>0.69</v>
      </c>
      <c r="E592">
        <v>8.9599999999999999E-2</v>
      </c>
      <c r="F592">
        <v>3</v>
      </c>
      <c r="G592">
        <v>76</v>
      </c>
      <c r="H592">
        <v>79</v>
      </c>
    </row>
    <row r="593" spans="1:8">
      <c r="A593">
        <v>591</v>
      </c>
      <c r="B593">
        <v>592</v>
      </c>
      <c r="C593">
        <v>0.21210000000000001</v>
      </c>
      <c r="D593">
        <v>0.74</v>
      </c>
      <c r="E593">
        <v>8.9599999999999999E-2</v>
      </c>
      <c r="F593">
        <v>4</v>
      </c>
      <c r="G593">
        <v>55</v>
      </c>
      <c r="H593">
        <v>59</v>
      </c>
    </row>
    <row r="594" spans="1:8">
      <c r="A594">
        <v>592</v>
      </c>
      <c r="B594">
        <v>593</v>
      </c>
      <c r="C594">
        <v>0.21210000000000001</v>
      </c>
      <c r="D594">
        <v>0.74</v>
      </c>
      <c r="E594">
        <v>8.9599999999999999E-2</v>
      </c>
      <c r="F594">
        <v>2</v>
      </c>
      <c r="G594">
        <v>36</v>
      </c>
      <c r="H594">
        <v>38</v>
      </c>
    </row>
    <row r="595" spans="1:8">
      <c r="A595">
        <v>593</v>
      </c>
      <c r="B595">
        <v>594</v>
      </c>
      <c r="C595">
        <v>0.21210000000000001</v>
      </c>
      <c r="D595">
        <v>0.74</v>
      </c>
      <c r="E595">
        <v>8.9599999999999999E-2</v>
      </c>
      <c r="F595">
        <v>0</v>
      </c>
      <c r="G595">
        <v>27</v>
      </c>
      <c r="H595">
        <v>27</v>
      </c>
    </row>
    <row r="596" spans="1:8">
      <c r="A596">
        <v>594</v>
      </c>
      <c r="B596">
        <v>595</v>
      </c>
      <c r="C596">
        <v>0.19700000000000001</v>
      </c>
      <c r="D596">
        <v>0.8</v>
      </c>
      <c r="E596">
        <v>0.16420000000000001</v>
      </c>
      <c r="F596">
        <v>0</v>
      </c>
      <c r="G596">
        <v>16</v>
      </c>
      <c r="H596">
        <v>16</v>
      </c>
    </row>
    <row r="597" spans="1:8">
      <c r="A597">
        <v>595</v>
      </c>
      <c r="B597">
        <v>596</v>
      </c>
      <c r="C597">
        <v>0.21210000000000001</v>
      </c>
      <c r="D597">
        <v>0.75</v>
      </c>
      <c r="E597">
        <v>0.1343</v>
      </c>
      <c r="F597">
        <v>0</v>
      </c>
      <c r="G597">
        <v>9</v>
      </c>
      <c r="H597">
        <v>9</v>
      </c>
    </row>
    <row r="598" spans="1:8">
      <c r="A598">
        <v>596</v>
      </c>
      <c r="B598">
        <v>597</v>
      </c>
      <c r="C598">
        <v>0.21210000000000001</v>
      </c>
      <c r="D598">
        <v>0.75</v>
      </c>
      <c r="E598">
        <v>0.1343</v>
      </c>
      <c r="F598">
        <v>1</v>
      </c>
      <c r="G598">
        <v>2</v>
      </c>
      <c r="H598">
        <v>3</v>
      </c>
    </row>
    <row r="599" spans="1:8">
      <c r="A599">
        <v>597</v>
      </c>
      <c r="B599">
        <v>598</v>
      </c>
      <c r="C599">
        <v>0.21210000000000001</v>
      </c>
      <c r="D599">
        <v>0.75</v>
      </c>
      <c r="E599">
        <v>0.16420000000000001</v>
      </c>
      <c r="F599">
        <v>0</v>
      </c>
      <c r="G599">
        <v>2</v>
      </c>
      <c r="H599">
        <v>2</v>
      </c>
    </row>
    <row r="600" spans="1:8">
      <c r="A600">
        <v>598</v>
      </c>
      <c r="B600">
        <v>599</v>
      </c>
      <c r="C600">
        <v>0.2273</v>
      </c>
      <c r="D600">
        <v>0.75</v>
      </c>
      <c r="E600">
        <v>0.1045</v>
      </c>
      <c r="F600">
        <v>1</v>
      </c>
      <c r="G600">
        <v>0</v>
      </c>
      <c r="H600">
        <v>1</v>
      </c>
    </row>
    <row r="601" spans="1:8">
      <c r="A601">
        <v>599</v>
      </c>
      <c r="B601">
        <v>600</v>
      </c>
      <c r="C601">
        <v>0.21210000000000001</v>
      </c>
      <c r="D601">
        <v>0.8</v>
      </c>
      <c r="E601">
        <v>0.1045</v>
      </c>
      <c r="F601">
        <v>0</v>
      </c>
      <c r="G601">
        <v>4</v>
      </c>
      <c r="H601">
        <v>4</v>
      </c>
    </row>
    <row r="602" spans="1:8">
      <c r="A602">
        <v>600</v>
      </c>
      <c r="B602">
        <v>601</v>
      </c>
      <c r="C602">
        <v>0.19700000000000001</v>
      </c>
      <c r="D602">
        <v>0.8</v>
      </c>
      <c r="E602">
        <v>0.1343</v>
      </c>
      <c r="F602">
        <v>0</v>
      </c>
      <c r="G602">
        <v>16</v>
      </c>
      <c r="H602">
        <v>16</v>
      </c>
    </row>
    <row r="603" spans="1:8">
      <c r="A603">
        <v>601</v>
      </c>
      <c r="B603">
        <v>602</v>
      </c>
      <c r="C603">
        <v>0.19700000000000001</v>
      </c>
      <c r="D603">
        <v>0.86</v>
      </c>
      <c r="E603">
        <v>8.9599999999999999E-2</v>
      </c>
      <c r="F603">
        <v>2</v>
      </c>
      <c r="G603">
        <v>58</v>
      </c>
      <c r="H603">
        <v>60</v>
      </c>
    </row>
    <row r="604" spans="1:8">
      <c r="A604">
        <v>602</v>
      </c>
      <c r="B604">
        <v>603</v>
      </c>
      <c r="C604">
        <v>0.19700000000000001</v>
      </c>
      <c r="D604">
        <v>0.86</v>
      </c>
      <c r="E604">
        <v>8.9599999999999999E-2</v>
      </c>
      <c r="F604">
        <v>2</v>
      </c>
      <c r="G604">
        <v>155</v>
      </c>
      <c r="H604">
        <v>157</v>
      </c>
    </row>
    <row r="605" spans="1:8">
      <c r="A605">
        <v>603</v>
      </c>
      <c r="B605">
        <v>604</v>
      </c>
      <c r="C605">
        <v>0.21210000000000001</v>
      </c>
      <c r="D605">
        <v>0.86</v>
      </c>
      <c r="E605">
        <v>8.9599999999999999E-2</v>
      </c>
      <c r="F605">
        <v>6</v>
      </c>
      <c r="G605">
        <v>95</v>
      </c>
      <c r="H605">
        <v>101</v>
      </c>
    </row>
    <row r="606" spans="1:8">
      <c r="A606">
        <v>604</v>
      </c>
      <c r="B606">
        <v>605</v>
      </c>
      <c r="C606">
        <v>0.21210000000000001</v>
      </c>
      <c r="D606">
        <v>0.86</v>
      </c>
      <c r="E606">
        <v>0.1045</v>
      </c>
      <c r="F606">
        <v>0</v>
      </c>
      <c r="G606">
        <v>49</v>
      </c>
      <c r="H606">
        <v>49</v>
      </c>
    </row>
    <row r="607" spans="1:8">
      <c r="A607">
        <v>605</v>
      </c>
      <c r="B607">
        <v>606</v>
      </c>
      <c r="C607">
        <v>0.21210000000000001</v>
      </c>
      <c r="D607">
        <v>0.93</v>
      </c>
      <c r="E607">
        <v>0.1045</v>
      </c>
      <c r="F607">
        <v>0</v>
      </c>
      <c r="G607">
        <v>30</v>
      </c>
      <c r="H607">
        <v>30</v>
      </c>
    </row>
    <row r="608" spans="1:8">
      <c r="A608">
        <v>606</v>
      </c>
      <c r="B608">
        <v>607</v>
      </c>
      <c r="C608">
        <v>0.21210000000000001</v>
      </c>
      <c r="D608">
        <v>0.93</v>
      </c>
      <c r="E608">
        <v>0.1045</v>
      </c>
      <c r="F608">
        <v>1</v>
      </c>
      <c r="G608">
        <v>28</v>
      </c>
      <c r="H608">
        <v>29</v>
      </c>
    </row>
    <row r="609" spans="1:8">
      <c r="A609">
        <v>607</v>
      </c>
      <c r="B609">
        <v>608</v>
      </c>
      <c r="C609">
        <v>0.21210000000000001</v>
      </c>
      <c r="D609">
        <v>0.93</v>
      </c>
      <c r="E609">
        <v>0.1045</v>
      </c>
      <c r="F609">
        <v>0</v>
      </c>
      <c r="G609">
        <v>31</v>
      </c>
      <c r="H609">
        <v>31</v>
      </c>
    </row>
    <row r="610" spans="1:8">
      <c r="A610">
        <v>608</v>
      </c>
      <c r="B610">
        <v>609</v>
      </c>
      <c r="C610">
        <v>0.2727</v>
      </c>
      <c r="D610">
        <v>0.8</v>
      </c>
      <c r="E610">
        <v>0</v>
      </c>
      <c r="F610">
        <v>2</v>
      </c>
      <c r="G610">
        <v>36</v>
      </c>
      <c r="H610">
        <v>38</v>
      </c>
    </row>
    <row r="611" spans="1:8">
      <c r="A611">
        <v>609</v>
      </c>
      <c r="B611">
        <v>610</v>
      </c>
      <c r="C611">
        <v>0.2576</v>
      </c>
      <c r="D611">
        <v>0.86</v>
      </c>
      <c r="E611">
        <v>0</v>
      </c>
      <c r="F611">
        <v>1</v>
      </c>
      <c r="G611">
        <v>40</v>
      </c>
      <c r="H611">
        <v>41</v>
      </c>
    </row>
    <row r="612" spans="1:8">
      <c r="F612">
        <v>2746</v>
      </c>
      <c r="G612">
        <v>31152</v>
      </c>
      <c r="H612">
        <v>33898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11"/>
  <sheetViews>
    <sheetView topLeftCell="A602" workbookViewId="0">
      <selection activeCell="L611" sqref="L611"/>
    </sheetView>
  </sheetViews>
  <sheetFormatPr defaultRowHeight="14.4"/>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88671875" bestFit="1" customWidth="1"/>
    <col min="12" max="12" width="7.21875" bestFit="1" customWidth="1"/>
    <col min="13" max="13" width="12.6640625" bestFit="1" customWidth="1"/>
    <col min="14" max="14" width="8.6640625" bestFit="1" customWidth="1"/>
    <col min="15" max="15" width="12" bestFit="1" customWidth="1"/>
    <col min="16" max="16" width="6.109375" bestFit="1" customWidth="1"/>
  </cols>
  <sheetData>
    <row r="1" spans="1:16">
      <c r="A1" t="s">
        <v>1</v>
      </c>
      <c r="B1" t="s">
        <v>40</v>
      </c>
      <c r="C1" t="s">
        <v>41</v>
      </c>
      <c r="D1" t="s">
        <v>42</v>
      </c>
      <c r="E1" t="s">
        <v>43</v>
      </c>
      <c r="F1" t="s">
        <v>44</v>
      </c>
      <c r="G1" t="s">
        <v>45</v>
      </c>
      <c r="H1" t="s">
        <v>46</v>
      </c>
      <c r="I1" t="s">
        <v>47</v>
      </c>
      <c r="J1" t="s">
        <v>48</v>
      </c>
      <c r="K1" t="s">
        <v>49</v>
      </c>
      <c r="L1" t="s">
        <v>50</v>
      </c>
      <c r="M1" t="s">
        <v>51</v>
      </c>
      <c r="N1" t="s">
        <v>52</v>
      </c>
      <c r="O1" t="s">
        <v>53</v>
      </c>
      <c r="P1" t="s">
        <v>54</v>
      </c>
    </row>
    <row r="2" spans="1:16">
      <c r="A2">
        <v>1</v>
      </c>
      <c r="B2" s="1">
        <v>40544</v>
      </c>
      <c r="C2">
        <v>1</v>
      </c>
      <c r="D2">
        <v>0</v>
      </c>
      <c r="E2">
        <v>1</v>
      </c>
      <c r="F2">
        <v>0</v>
      </c>
      <c r="G2" t="b">
        <v>0</v>
      </c>
      <c r="H2">
        <v>6</v>
      </c>
      <c r="I2">
        <v>1</v>
      </c>
      <c r="J2">
        <v>0.24</v>
      </c>
      <c r="K2">
        <v>0.28789999999999999</v>
      </c>
      <c r="L2">
        <v>0.81</v>
      </c>
      <c r="M2">
        <v>0</v>
      </c>
      <c r="N2">
        <v>3</v>
      </c>
      <c r="O2">
        <v>13</v>
      </c>
      <c r="P2">
        <v>16</v>
      </c>
    </row>
    <row r="3" spans="1:16">
      <c r="A3">
        <v>2</v>
      </c>
      <c r="B3" s="1">
        <v>40544</v>
      </c>
      <c r="C3">
        <v>1</v>
      </c>
      <c r="D3">
        <v>0</v>
      </c>
      <c r="E3">
        <v>1</v>
      </c>
      <c r="F3">
        <v>1</v>
      </c>
      <c r="G3" t="b">
        <v>0</v>
      </c>
      <c r="H3">
        <v>6</v>
      </c>
      <c r="I3">
        <v>1</v>
      </c>
      <c r="J3">
        <v>0.22</v>
      </c>
      <c r="K3">
        <v>0.2727</v>
      </c>
      <c r="L3">
        <v>0.8</v>
      </c>
      <c r="M3">
        <v>0</v>
      </c>
      <c r="N3">
        <v>8</v>
      </c>
      <c r="O3">
        <v>32</v>
      </c>
      <c r="P3">
        <v>40</v>
      </c>
    </row>
    <row r="4" spans="1:16">
      <c r="A4">
        <v>3</v>
      </c>
      <c r="B4" s="1">
        <v>40544</v>
      </c>
      <c r="C4">
        <v>1</v>
      </c>
      <c r="D4">
        <v>0</v>
      </c>
      <c r="E4">
        <v>1</v>
      </c>
      <c r="F4">
        <v>2</v>
      </c>
      <c r="G4" t="b">
        <v>0</v>
      </c>
      <c r="H4">
        <v>6</v>
      </c>
      <c r="I4">
        <v>1</v>
      </c>
      <c r="J4">
        <v>0.22</v>
      </c>
      <c r="K4">
        <v>0.2727</v>
      </c>
      <c r="L4">
        <v>0.8</v>
      </c>
      <c r="M4">
        <v>0</v>
      </c>
      <c r="N4">
        <v>5</v>
      </c>
      <c r="O4">
        <v>27</v>
      </c>
      <c r="P4">
        <v>32</v>
      </c>
    </row>
    <row r="5" spans="1:16">
      <c r="A5">
        <v>4</v>
      </c>
      <c r="B5" s="1">
        <v>40544</v>
      </c>
      <c r="C5">
        <v>1</v>
      </c>
      <c r="D5">
        <v>0</v>
      </c>
      <c r="E5">
        <v>1</v>
      </c>
      <c r="F5">
        <v>3</v>
      </c>
      <c r="G5" t="b">
        <v>0</v>
      </c>
      <c r="H5">
        <v>6</v>
      </c>
      <c r="I5">
        <v>1</v>
      </c>
      <c r="J5">
        <v>0.24</v>
      </c>
      <c r="K5">
        <v>0.28789999999999999</v>
      </c>
      <c r="L5">
        <v>0.75</v>
      </c>
      <c r="M5">
        <v>0</v>
      </c>
      <c r="N5">
        <v>3</v>
      </c>
      <c r="O5">
        <v>10</v>
      </c>
      <c r="P5">
        <v>13</v>
      </c>
    </row>
    <row r="6" spans="1:16">
      <c r="A6">
        <v>5</v>
      </c>
      <c r="B6" s="1">
        <v>40544</v>
      </c>
      <c r="C6">
        <v>1</v>
      </c>
      <c r="D6">
        <v>0</v>
      </c>
      <c r="E6">
        <v>1</v>
      </c>
      <c r="F6">
        <v>4</v>
      </c>
      <c r="G6" t="b">
        <v>0</v>
      </c>
      <c r="H6">
        <v>6</v>
      </c>
      <c r="I6">
        <v>1</v>
      </c>
      <c r="J6">
        <v>0.24</v>
      </c>
      <c r="K6">
        <v>0.28789999999999999</v>
      </c>
      <c r="L6">
        <v>0.75</v>
      </c>
      <c r="M6">
        <v>0</v>
      </c>
      <c r="N6">
        <v>0</v>
      </c>
      <c r="O6">
        <v>1</v>
      </c>
      <c r="P6">
        <v>1</v>
      </c>
    </row>
    <row r="7" spans="1:16">
      <c r="A7">
        <v>6</v>
      </c>
      <c r="B7" s="1">
        <v>40544</v>
      </c>
      <c r="C7">
        <v>1</v>
      </c>
      <c r="D7">
        <v>0</v>
      </c>
      <c r="E7">
        <v>1</v>
      </c>
      <c r="F7">
        <v>5</v>
      </c>
      <c r="G7" t="b">
        <v>0</v>
      </c>
      <c r="H7">
        <v>6</v>
      </c>
      <c r="I7">
        <v>2</v>
      </c>
      <c r="J7">
        <v>0.24</v>
      </c>
      <c r="K7">
        <v>0.2576</v>
      </c>
      <c r="L7">
        <v>0.75</v>
      </c>
      <c r="M7">
        <v>8.9599999999999999E-2</v>
      </c>
      <c r="N7">
        <v>0</v>
      </c>
      <c r="O7">
        <v>1</v>
      </c>
      <c r="P7">
        <v>1</v>
      </c>
    </row>
    <row r="8" spans="1:16">
      <c r="A8">
        <v>7</v>
      </c>
      <c r="B8" s="1">
        <v>40544</v>
      </c>
      <c r="C8">
        <v>1</v>
      </c>
      <c r="D8">
        <v>0</v>
      </c>
      <c r="E8">
        <v>1</v>
      </c>
      <c r="F8">
        <v>6</v>
      </c>
      <c r="G8" t="b">
        <v>0</v>
      </c>
      <c r="H8">
        <v>6</v>
      </c>
      <c r="I8">
        <v>1</v>
      </c>
      <c r="J8">
        <v>0.22</v>
      </c>
      <c r="K8">
        <v>0.2727</v>
      </c>
      <c r="L8">
        <v>0.8</v>
      </c>
      <c r="M8">
        <v>0</v>
      </c>
      <c r="N8">
        <v>2</v>
      </c>
      <c r="O8">
        <v>0</v>
      </c>
      <c r="P8">
        <v>2</v>
      </c>
    </row>
    <row r="9" spans="1:16">
      <c r="A9">
        <v>8</v>
      </c>
      <c r="B9" s="1">
        <v>40544</v>
      </c>
      <c r="C9">
        <v>1</v>
      </c>
      <c r="D9">
        <v>0</v>
      </c>
      <c r="E9">
        <v>1</v>
      </c>
      <c r="F9">
        <v>7</v>
      </c>
      <c r="G9" t="b">
        <v>0</v>
      </c>
      <c r="H9">
        <v>6</v>
      </c>
      <c r="I9">
        <v>1</v>
      </c>
      <c r="J9">
        <v>0.2</v>
      </c>
      <c r="K9">
        <v>0.2576</v>
      </c>
      <c r="L9">
        <v>0.86</v>
      </c>
      <c r="M9">
        <v>0</v>
      </c>
      <c r="N9">
        <v>1</v>
      </c>
      <c r="O9">
        <v>2</v>
      </c>
      <c r="P9">
        <v>3</v>
      </c>
    </row>
    <row r="10" spans="1:16">
      <c r="A10">
        <v>9</v>
      </c>
      <c r="B10" s="1">
        <v>40544</v>
      </c>
      <c r="C10">
        <v>1</v>
      </c>
      <c r="D10">
        <v>0</v>
      </c>
      <c r="E10">
        <v>1</v>
      </c>
      <c r="F10">
        <v>8</v>
      </c>
      <c r="G10" t="b">
        <v>0</v>
      </c>
      <c r="H10">
        <v>6</v>
      </c>
      <c r="I10">
        <v>1</v>
      </c>
      <c r="J10">
        <v>0.24</v>
      </c>
      <c r="L10">
        <v>0.75</v>
      </c>
      <c r="M10">
        <v>0</v>
      </c>
      <c r="N10">
        <v>1</v>
      </c>
      <c r="O10">
        <v>7</v>
      </c>
      <c r="P10">
        <v>8</v>
      </c>
    </row>
    <row r="11" spans="1:16">
      <c r="A11">
        <v>10</v>
      </c>
      <c r="B11" s="1">
        <v>40544</v>
      </c>
      <c r="C11">
        <v>1</v>
      </c>
      <c r="D11">
        <v>0</v>
      </c>
      <c r="E11">
        <v>1</v>
      </c>
      <c r="F11">
        <v>9</v>
      </c>
      <c r="G11" t="b">
        <v>0</v>
      </c>
      <c r="H11">
        <v>6</v>
      </c>
      <c r="I11">
        <v>1</v>
      </c>
      <c r="J11">
        <v>0.32</v>
      </c>
      <c r="K11">
        <v>0.34849999999999998</v>
      </c>
      <c r="L11">
        <v>0.76</v>
      </c>
      <c r="M11">
        <v>0</v>
      </c>
      <c r="N11">
        <v>8</v>
      </c>
      <c r="O11">
        <v>6</v>
      </c>
      <c r="P11">
        <v>14</v>
      </c>
    </row>
    <row r="12" spans="1:16">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c r="A19">
        <v>18</v>
      </c>
      <c r="B19" s="1">
        <v>40544</v>
      </c>
      <c r="C19">
        <v>1</v>
      </c>
      <c r="D19">
        <v>0</v>
      </c>
      <c r="E19">
        <v>1</v>
      </c>
      <c r="F19">
        <v>17</v>
      </c>
      <c r="G19" t="b">
        <v>0</v>
      </c>
      <c r="H19">
        <v>6</v>
      </c>
      <c r="I19">
        <v>2</v>
      </c>
      <c r="J19">
        <v>0.44</v>
      </c>
      <c r="L19">
        <v>0.82</v>
      </c>
      <c r="M19">
        <v>0.28360000000000002</v>
      </c>
      <c r="N19">
        <v>15</v>
      </c>
      <c r="O19">
        <v>52</v>
      </c>
      <c r="P19">
        <v>67</v>
      </c>
    </row>
    <row r="20" spans="1:16">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c r="A25">
        <v>24</v>
      </c>
      <c r="B25" s="1">
        <v>40544</v>
      </c>
      <c r="C25">
        <v>1</v>
      </c>
      <c r="D25">
        <v>0</v>
      </c>
      <c r="E25">
        <v>1</v>
      </c>
      <c r="F25">
        <v>23</v>
      </c>
      <c r="G25" t="b">
        <v>0</v>
      </c>
      <c r="H25">
        <v>6</v>
      </c>
      <c r="I25">
        <v>2</v>
      </c>
      <c r="J25">
        <v>0.46</v>
      </c>
      <c r="L25">
        <v>0.88</v>
      </c>
      <c r="M25">
        <v>0.29849999999999999</v>
      </c>
      <c r="N25">
        <v>15</v>
      </c>
      <c r="O25">
        <v>24</v>
      </c>
      <c r="P25">
        <v>39</v>
      </c>
    </row>
    <row r="26" spans="1:16">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c r="A28">
        <v>27</v>
      </c>
      <c r="B28" s="1">
        <v>40545</v>
      </c>
      <c r="C28">
        <v>1</v>
      </c>
      <c r="D28">
        <v>0</v>
      </c>
      <c r="E28">
        <v>1</v>
      </c>
      <c r="F28">
        <v>2</v>
      </c>
      <c r="G28" t="b">
        <v>0</v>
      </c>
      <c r="H28">
        <v>0</v>
      </c>
      <c r="I28">
        <v>2</v>
      </c>
      <c r="J28">
        <v>0.42</v>
      </c>
      <c r="K28">
        <v>0.42420000000000002</v>
      </c>
      <c r="L28">
        <v>1</v>
      </c>
      <c r="M28">
        <v>0.28360000000000002</v>
      </c>
      <c r="N28">
        <v>1</v>
      </c>
      <c r="O28">
        <v>8</v>
      </c>
      <c r="P28">
        <v>9</v>
      </c>
    </row>
    <row r="29" spans="1:16">
      <c r="A29">
        <v>28</v>
      </c>
      <c r="B29" s="1">
        <v>40545</v>
      </c>
      <c r="C29">
        <v>1</v>
      </c>
      <c r="D29">
        <v>0</v>
      </c>
      <c r="E29">
        <v>1</v>
      </c>
      <c r="F29">
        <v>3</v>
      </c>
      <c r="G29" t="b">
        <v>0</v>
      </c>
      <c r="H29">
        <v>0</v>
      </c>
      <c r="I29">
        <v>2</v>
      </c>
      <c r="J29">
        <v>0.46</v>
      </c>
      <c r="K29">
        <v>0.45450000000000002</v>
      </c>
      <c r="L29">
        <v>0.94</v>
      </c>
      <c r="M29">
        <v>0.19400000000000001</v>
      </c>
      <c r="N29">
        <v>2</v>
      </c>
      <c r="O29">
        <v>4</v>
      </c>
      <c r="P29">
        <v>6</v>
      </c>
    </row>
    <row r="30" spans="1:16">
      <c r="A30">
        <v>29</v>
      </c>
      <c r="B30" s="1">
        <v>40545</v>
      </c>
      <c r="C30">
        <v>1</v>
      </c>
      <c r="D30">
        <v>0</v>
      </c>
      <c r="E30">
        <v>1</v>
      </c>
      <c r="F30">
        <v>4</v>
      </c>
      <c r="G30" t="b">
        <v>0</v>
      </c>
      <c r="H30">
        <v>0</v>
      </c>
      <c r="I30">
        <v>2</v>
      </c>
      <c r="J30">
        <v>0.46</v>
      </c>
      <c r="L30">
        <v>0.94</v>
      </c>
      <c r="M30">
        <v>0.19400000000000001</v>
      </c>
      <c r="N30">
        <v>2</v>
      </c>
      <c r="O30">
        <v>1</v>
      </c>
      <c r="P30">
        <v>3</v>
      </c>
    </row>
    <row r="31" spans="1:16">
      <c r="A31">
        <v>30</v>
      </c>
      <c r="B31" s="1">
        <v>40545</v>
      </c>
      <c r="C31">
        <v>1</v>
      </c>
      <c r="D31">
        <v>0</v>
      </c>
      <c r="E31">
        <v>1</v>
      </c>
      <c r="F31">
        <v>6</v>
      </c>
      <c r="G31" t="b">
        <v>0</v>
      </c>
      <c r="H31">
        <v>0</v>
      </c>
      <c r="I31">
        <v>3</v>
      </c>
      <c r="J31">
        <v>0.42</v>
      </c>
      <c r="K31">
        <v>0.42420000000000002</v>
      </c>
      <c r="L31">
        <v>0.77</v>
      </c>
      <c r="M31">
        <v>0.29849999999999999</v>
      </c>
      <c r="N31">
        <v>0</v>
      </c>
      <c r="O31">
        <v>2</v>
      </c>
      <c r="P31">
        <v>2</v>
      </c>
    </row>
    <row r="32" spans="1:16">
      <c r="A32">
        <v>31</v>
      </c>
      <c r="B32" s="1">
        <v>40545</v>
      </c>
      <c r="C32">
        <v>1</v>
      </c>
      <c r="D32">
        <v>0</v>
      </c>
      <c r="E32">
        <v>1</v>
      </c>
      <c r="F32">
        <v>7</v>
      </c>
      <c r="G32" t="b">
        <v>0</v>
      </c>
      <c r="H32">
        <v>0</v>
      </c>
      <c r="I32">
        <v>2</v>
      </c>
      <c r="J32">
        <v>0.4</v>
      </c>
      <c r="K32">
        <v>0.40910000000000002</v>
      </c>
      <c r="L32">
        <v>0.76</v>
      </c>
      <c r="M32">
        <v>0.19400000000000001</v>
      </c>
      <c r="N32">
        <v>0</v>
      </c>
      <c r="O32">
        <v>1</v>
      </c>
      <c r="P32">
        <v>1</v>
      </c>
    </row>
    <row r="33" spans="1:16">
      <c r="A33">
        <v>32</v>
      </c>
      <c r="B33" s="1">
        <v>40545</v>
      </c>
      <c r="C33">
        <v>1</v>
      </c>
      <c r="D33">
        <v>0</v>
      </c>
      <c r="E33">
        <v>1</v>
      </c>
      <c r="F33">
        <v>8</v>
      </c>
      <c r="G33" t="b">
        <v>0</v>
      </c>
      <c r="H33">
        <v>0</v>
      </c>
      <c r="I33">
        <v>3</v>
      </c>
      <c r="J33">
        <v>0.4</v>
      </c>
      <c r="K33">
        <v>0.40910000000000002</v>
      </c>
      <c r="L33">
        <v>0.71</v>
      </c>
      <c r="M33">
        <v>0.22389999999999999</v>
      </c>
      <c r="N33">
        <v>0</v>
      </c>
      <c r="O33">
        <v>8</v>
      </c>
      <c r="P33">
        <v>8</v>
      </c>
    </row>
    <row r="34" spans="1:16">
      <c r="A34">
        <v>33</v>
      </c>
      <c r="B34" s="1">
        <v>40545</v>
      </c>
      <c r="C34">
        <v>1</v>
      </c>
      <c r="D34">
        <v>0</v>
      </c>
      <c r="E34">
        <v>1</v>
      </c>
      <c r="F34">
        <v>9</v>
      </c>
      <c r="G34" t="b">
        <v>0</v>
      </c>
      <c r="H34">
        <v>0</v>
      </c>
      <c r="I34">
        <v>2</v>
      </c>
      <c r="J34">
        <v>0.38</v>
      </c>
      <c r="L34">
        <v>0.76</v>
      </c>
      <c r="M34">
        <v>0.22389999999999999</v>
      </c>
      <c r="N34">
        <v>1</v>
      </c>
      <c r="O34">
        <v>19</v>
      </c>
      <c r="P34">
        <v>20</v>
      </c>
    </row>
    <row r="35" spans="1:16">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c r="A38">
        <v>37</v>
      </c>
      <c r="B38" s="1">
        <v>40545</v>
      </c>
      <c r="C38">
        <v>1</v>
      </c>
      <c r="D38">
        <v>0</v>
      </c>
      <c r="E38">
        <v>1</v>
      </c>
      <c r="F38">
        <v>13</v>
      </c>
      <c r="G38" t="b">
        <v>0</v>
      </c>
      <c r="H38">
        <v>0</v>
      </c>
      <c r="I38">
        <v>2</v>
      </c>
      <c r="J38">
        <v>0.36</v>
      </c>
      <c r="K38">
        <v>0.34849999999999998</v>
      </c>
      <c r="L38">
        <v>0.66</v>
      </c>
      <c r="M38">
        <v>0.1343</v>
      </c>
      <c r="N38">
        <v>11</v>
      </c>
      <c r="O38">
        <v>64</v>
      </c>
      <c r="P38">
        <v>75</v>
      </c>
    </row>
    <row r="39" spans="1:16">
      <c r="A39">
        <v>38</v>
      </c>
      <c r="B39" s="1">
        <v>40545</v>
      </c>
      <c r="C39">
        <v>1</v>
      </c>
      <c r="D39">
        <v>0</v>
      </c>
      <c r="E39">
        <v>1</v>
      </c>
      <c r="F39">
        <v>14</v>
      </c>
      <c r="G39" t="b">
        <v>0</v>
      </c>
      <c r="H39">
        <v>0</v>
      </c>
      <c r="I39">
        <v>3</v>
      </c>
      <c r="J39">
        <v>0.36</v>
      </c>
      <c r="L39">
        <v>0.76</v>
      </c>
      <c r="M39">
        <v>0.19400000000000001</v>
      </c>
      <c r="N39">
        <v>4</v>
      </c>
      <c r="O39">
        <v>55</v>
      </c>
      <c r="P39">
        <v>59</v>
      </c>
    </row>
    <row r="40" spans="1:16">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c r="A45">
        <v>44</v>
      </c>
      <c r="B45" s="1">
        <v>40545</v>
      </c>
      <c r="C45">
        <v>1</v>
      </c>
      <c r="D45">
        <v>0</v>
      </c>
      <c r="E45">
        <v>1</v>
      </c>
      <c r="F45">
        <v>20</v>
      </c>
      <c r="G45" t="b">
        <v>0</v>
      </c>
      <c r="H45">
        <v>0</v>
      </c>
      <c r="I45">
        <v>1</v>
      </c>
      <c r="J45">
        <v>0.3</v>
      </c>
      <c r="L45">
        <v>0.39</v>
      </c>
      <c r="M45">
        <v>0.35820000000000002</v>
      </c>
      <c r="N45">
        <v>5</v>
      </c>
      <c r="O45">
        <v>17</v>
      </c>
      <c r="P45">
        <v>22</v>
      </c>
    </row>
    <row r="46" spans="1:16">
      <c r="A46">
        <v>45</v>
      </c>
      <c r="B46" s="1">
        <v>40545</v>
      </c>
      <c r="C46">
        <v>1</v>
      </c>
      <c r="D46">
        <v>0</v>
      </c>
      <c r="E46">
        <v>1</v>
      </c>
      <c r="F46">
        <v>21</v>
      </c>
      <c r="G46" t="b">
        <v>0</v>
      </c>
      <c r="H46">
        <v>0</v>
      </c>
      <c r="I46">
        <v>1</v>
      </c>
      <c r="J46">
        <v>0.26</v>
      </c>
      <c r="K46">
        <v>0.2273</v>
      </c>
      <c r="L46">
        <v>0.44</v>
      </c>
      <c r="M46">
        <v>0.32840000000000003</v>
      </c>
      <c r="N46">
        <v>11</v>
      </c>
      <c r="O46">
        <v>20</v>
      </c>
      <c r="P46">
        <v>31</v>
      </c>
    </row>
    <row r="47" spans="1:16">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c r="A48">
        <v>47</v>
      </c>
      <c r="B48" s="1">
        <v>40545</v>
      </c>
      <c r="C48">
        <v>1</v>
      </c>
      <c r="D48">
        <v>0</v>
      </c>
      <c r="E48">
        <v>1</v>
      </c>
      <c r="F48">
        <v>23</v>
      </c>
      <c r="G48" t="b">
        <v>0</v>
      </c>
      <c r="H48">
        <v>0</v>
      </c>
      <c r="I48">
        <v>1</v>
      </c>
      <c r="J48">
        <v>0.22</v>
      </c>
      <c r="K48">
        <v>0.2273</v>
      </c>
      <c r="L48">
        <v>0.47</v>
      </c>
      <c r="M48">
        <v>0.16420000000000001</v>
      </c>
      <c r="N48">
        <v>0</v>
      </c>
      <c r="O48">
        <v>8</v>
      </c>
      <c r="P48">
        <v>8</v>
      </c>
    </row>
    <row r="49" spans="1:16">
      <c r="A49">
        <v>48</v>
      </c>
      <c r="B49" s="1">
        <v>40546</v>
      </c>
      <c r="C49">
        <v>1</v>
      </c>
      <c r="D49">
        <v>0</v>
      </c>
      <c r="E49">
        <v>1</v>
      </c>
      <c r="F49">
        <v>0</v>
      </c>
      <c r="G49" t="b">
        <v>0</v>
      </c>
      <c r="H49">
        <v>1</v>
      </c>
      <c r="I49">
        <v>1</v>
      </c>
      <c r="J49">
        <v>0.22</v>
      </c>
      <c r="K49">
        <v>0.19700000000000001</v>
      </c>
      <c r="L49">
        <v>0.44</v>
      </c>
      <c r="M49">
        <v>0.35820000000000002</v>
      </c>
      <c r="N49">
        <v>0</v>
      </c>
      <c r="O49">
        <v>5</v>
      </c>
      <c r="P49">
        <v>5</v>
      </c>
    </row>
    <row r="50" spans="1:16">
      <c r="A50">
        <v>49</v>
      </c>
      <c r="B50" s="1">
        <v>40546</v>
      </c>
      <c r="C50">
        <v>1</v>
      </c>
      <c r="D50">
        <v>0</v>
      </c>
      <c r="E50">
        <v>1</v>
      </c>
      <c r="F50">
        <v>1</v>
      </c>
      <c r="G50" t="b">
        <v>0</v>
      </c>
      <c r="H50">
        <v>1</v>
      </c>
      <c r="I50">
        <v>1</v>
      </c>
      <c r="J50">
        <v>0.2</v>
      </c>
      <c r="L50">
        <v>0.44</v>
      </c>
      <c r="M50">
        <v>0.41789999999999999</v>
      </c>
      <c r="N50">
        <v>0</v>
      </c>
      <c r="O50">
        <v>2</v>
      </c>
      <c r="P50">
        <v>2</v>
      </c>
    </row>
    <row r="51" spans="1:16">
      <c r="A51">
        <v>50</v>
      </c>
      <c r="B51" s="1">
        <v>40546</v>
      </c>
      <c r="C51">
        <v>1</v>
      </c>
      <c r="D51">
        <v>0</v>
      </c>
      <c r="E51">
        <v>1</v>
      </c>
      <c r="F51">
        <v>4</v>
      </c>
      <c r="G51" t="b">
        <v>0</v>
      </c>
      <c r="H51">
        <v>1</v>
      </c>
      <c r="I51">
        <v>1</v>
      </c>
      <c r="J51">
        <v>0.16</v>
      </c>
      <c r="K51">
        <v>0.13639999999999999</v>
      </c>
      <c r="L51">
        <v>0.47</v>
      </c>
      <c r="M51">
        <v>0.3881</v>
      </c>
      <c r="N51">
        <v>0</v>
      </c>
      <c r="O51">
        <v>1</v>
      </c>
      <c r="P51">
        <v>1</v>
      </c>
    </row>
    <row r="52" spans="1:16">
      <c r="A52">
        <v>51</v>
      </c>
      <c r="B52" s="1">
        <v>40546</v>
      </c>
      <c r="C52">
        <v>1</v>
      </c>
      <c r="D52">
        <v>0</v>
      </c>
      <c r="E52">
        <v>1</v>
      </c>
      <c r="F52">
        <v>5</v>
      </c>
      <c r="G52" t="b">
        <v>0</v>
      </c>
      <c r="H52">
        <v>1</v>
      </c>
      <c r="I52">
        <v>1</v>
      </c>
      <c r="J52">
        <v>0.16</v>
      </c>
      <c r="K52">
        <v>0.13639999999999999</v>
      </c>
      <c r="L52">
        <v>0.47</v>
      </c>
      <c r="M52">
        <v>0.28360000000000002</v>
      </c>
      <c r="N52">
        <v>0</v>
      </c>
      <c r="O52">
        <v>3</v>
      </c>
      <c r="P52">
        <v>3</v>
      </c>
    </row>
    <row r="53" spans="1:16">
      <c r="A53">
        <v>52</v>
      </c>
      <c r="B53" s="1">
        <v>40546</v>
      </c>
      <c r="C53">
        <v>1</v>
      </c>
      <c r="D53">
        <v>0</v>
      </c>
      <c r="E53">
        <v>1</v>
      </c>
      <c r="F53">
        <v>6</v>
      </c>
      <c r="G53" t="b">
        <v>0</v>
      </c>
      <c r="H53">
        <v>1</v>
      </c>
      <c r="I53">
        <v>1</v>
      </c>
      <c r="J53">
        <v>0.14000000000000001</v>
      </c>
      <c r="K53">
        <v>0.1061</v>
      </c>
      <c r="L53">
        <v>0.5</v>
      </c>
      <c r="M53">
        <v>0.3881</v>
      </c>
      <c r="N53">
        <v>0</v>
      </c>
      <c r="O53">
        <v>30</v>
      </c>
      <c r="P53">
        <v>30</v>
      </c>
    </row>
    <row r="54" spans="1:16">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c r="A56">
        <v>55</v>
      </c>
      <c r="B56" s="1">
        <v>40546</v>
      </c>
      <c r="C56">
        <v>1</v>
      </c>
      <c r="D56">
        <v>0</v>
      </c>
      <c r="E56">
        <v>1</v>
      </c>
      <c r="F56">
        <v>9</v>
      </c>
      <c r="G56" t="b">
        <v>0</v>
      </c>
      <c r="H56">
        <v>1</v>
      </c>
      <c r="I56">
        <v>1</v>
      </c>
      <c r="J56">
        <v>0.16</v>
      </c>
      <c r="K56">
        <v>0.13639999999999999</v>
      </c>
      <c r="L56">
        <v>0.43</v>
      </c>
      <c r="M56">
        <v>0.3881</v>
      </c>
      <c r="N56">
        <v>7</v>
      </c>
      <c r="O56">
        <v>81</v>
      </c>
      <c r="P56">
        <v>88</v>
      </c>
    </row>
    <row r="57" spans="1:16">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c r="A60">
        <v>59</v>
      </c>
      <c r="B60" s="1">
        <v>40546</v>
      </c>
      <c r="C60">
        <v>1</v>
      </c>
      <c r="D60">
        <v>0</v>
      </c>
      <c r="E60">
        <v>1</v>
      </c>
      <c r="F60">
        <v>13</v>
      </c>
      <c r="G60" t="b">
        <v>0</v>
      </c>
      <c r="H60">
        <v>1</v>
      </c>
      <c r="I60">
        <v>1</v>
      </c>
      <c r="J60">
        <v>0.24</v>
      </c>
      <c r="L60">
        <v>0.35</v>
      </c>
      <c r="M60">
        <v>0.28360000000000002</v>
      </c>
      <c r="N60">
        <v>8</v>
      </c>
      <c r="O60">
        <v>53</v>
      </c>
      <c r="P60">
        <v>61</v>
      </c>
    </row>
    <row r="61" spans="1:16">
      <c r="A61">
        <v>60</v>
      </c>
      <c r="B61" s="1">
        <v>40546</v>
      </c>
      <c r="C61">
        <v>1</v>
      </c>
      <c r="D61">
        <v>0</v>
      </c>
      <c r="E61">
        <v>1</v>
      </c>
      <c r="F61">
        <v>14</v>
      </c>
      <c r="G61" t="b">
        <v>0</v>
      </c>
      <c r="H61">
        <v>1</v>
      </c>
      <c r="I61">
        <v>1</v>
      </c>
      <c r="J61">
        <v>0.26</v>
      </c>
      <c r="K61">
        <v>0.2424</v>
      </c>
      <c r="L61">
        <v>0.3</v>
      </c>
      <c r="M61">
        <v>0.28360000000000002</v>
      </c>
      <c r="N61">
        <v>11</v>
      </c>
      <c r="O61">
        <v>66</v>
      </c>
      <c r="P61">
        <v>77</v>
      </c>
    </row>
    <row r="62" spans="1:16">
      <c r="A62">
        <v>61</v>
      </c>
      <c r="B62" s="1">
        <v>40546</v>
      </c>
      <c r="C62">
        <v>1</v>
      </c>
      <c r="D62">
        <v>0</v>
      </c>
      <c r="E62">
        <v>1</v>
      </c>
      <c r="F62">
        <v>15</v>
      </c>
      <c r="G62" t="b">
        <v>0</v>
      </c>
      <c r="H62">
        <v>1</v>
      </c>
      <c r="I62">
        <v>1</v>
      </c>
      <c r="J62">
        <v>0.26</v>
      </c>
      <c r="K62">
        <v>0.2424</v>
      </c>
      <c r="L62">
        <v>0.3</v>
      </c>
      <c r="M62">
        <v>0.25369999999999998</v>
      </c>
      <c r="N62">
        <v>14</v>
      </c>
      <c r="O62">
        <v>58</v>
      </c>
      <c r="P62">
        <v>72</v>
      </c>
    </row>
    <row r="63" spans="1:16">
      <c r="A63">
        <v>62</v>
      </c>
      <c r="B63" s="1">
        <v>40546</v>
      </c>
      <c r="C63">
        <v>1</v>
      </c>
      <c r="D63">
        <v>0</v>
      </c>
      <c r="E63">
        <v>1</v>
      </c>
      <c r="F63">
        <v>16</v>
      </c>
      <c r="G63" t="b">
        <v>0</v>
      </c>
      <c r="H63">
        <v>1</v>
      </c>
      <c r="I63">
        <v>1</v>
      </c>
      <c r="J63">
        <v>0.26</v>
      </c>
      <c r="K63">
        <v>0.2424</v>
      </c>
      <c r="L63">
        <v>0.3</v>
      </c>
      <c r="M63">
        <v>0.25369999999999998</v>
      </c>
      <c r="N63">
        <v>9</v>
      </c>
      <c r="O63">
        <v>67</v>
      </c>
      <c r="P63">
        <v>76</v>
      </c>
    </row>
    <row r="64" spans="1:16">
      <c r="A64">
        <v>63</v>
      </c>
      <c r="B64" s="1">
        <v>40546</v>
      </c>
      <c r="C64">
        <v>1</v>
      </c>
      <c r="D64">
        <v>0</v>
      </c>
      <c r="E64">
        <v>1</v>
      </c>
      <c r="F64">
        <v>17</v>
      </c>
      <c r="G64" t="b">
        <v>0</v>
      </c>
      <c r="H64">
        <v>1</v>
      </c>
      <c r="I64">
        <v>1</v>
      </c>
      <c r="J64">
        <v>0.24</v>
      </c>
      <c r="K64">
        <v>0.2273</v>
      </c>
      <c r="L64">
        <v>0.3</v>
      </c>
      <c r="M64">
        <v>0.22389999999999999</v>
      </c>
      <c r="N64">
        <v>11</v>
      </c>
      <c r="O64">
        <v>146</v>
      </c>
      <c r="P64">
        <v>157</v>
      </c>
    </row>
    <row r="65" spans="1:16">
      <c r="A65">
        <v>64</v>
      </c>
      <c r="B65" s="1">
        <v>40546</v>
      </c>
      <c r="C65">
        <v>1</v>
      </c>
      <c r="D65">
        <v>0</v>
      </c>
      <c r="E65">
        <v>1</v>
      </c>
      <c r="F65">
        <v>18</v>
      </c>
      <c r="G65" t="b">
        <v>0</v>
      </c>
      <c r="H65">
        <v>1</v>
      </c>
      <c r="I65">
        <v>1</v>
      </c>
      <c r="J65">
        <v>0.24</v>
      </c>
      <c r="K65">
        <v>0.2576</v>
      </c>
      <c r="L65">
        <v>0.32</v>
      </c>
      <c r="M65">
        <v>0.1045</v>
      </c>
      <c r="N65">
        <v>9</v>
      </c>
      <c r="O65">
        <v>148</v>
      </c>
      <c r="P65">
        <v>157</v>
      </c>
    </row>
    <row r="66" spans="1:16">
      <c r="A66">
        <v>65</v>
      </c>
      <c r="B66" s="1">
        <v>40546</v>
      </c>
      <c r="C66">
        <v>1</v>
      </c>
      <c r="D66">
        <v>0</v>
      </c>
      <c r="E66">
        <v>1</v>
      </c>
      <c r="F66">
        <v>19</v>
      </c>
      <c r="G66" t="b">
        <v>0</v>
      </c>
      <c r="H66">
        <v>1</v>
      </c>
      <c r="I66">
        <v>1</v>
      </c>
      <c r="J66">
        <v>0.2</v>
      </c>
      <c r="K66">
        <v>0.2576</v>
      </c>
      <c r="L66">
        <v>0.47</v>
      </c>
      <c r="M66">
        <v>0</v>
      </c>
      <c r="N66">
        <v>8</v>
      </c>
      <c r="O66">
        <v>102</v>
      </c>
      <c r="P66">
        <v>110</v>
      </c>
    </row>
    <row r="67" spans="1:16">
      <c r="A67">
        <v>66</v>
      </c>
      <c r="B67" s="1">
        <v>40546</v>
      </c>
      <c r="C67">
        <v>1</v>
      </c>
      <c r="D67">
        <v>0</v>
      </c>
      <c r="E67">
        <v>1</v>
      </c>
      <c r="F67">
        <v>20</v>
      </c>
      <c r="G67" t="b">
        <v>0</v>
      </c>
      <c r="H67">
        <v>1</v>
      </c>
      <c r="I67">
        <v>1</v>
      </c>
      <c r="J67">
        <v>0.2</v>
      </c>
      <c r="L67">
        <v>0.47</v>
      </c>
      <c r="M67">
        <v>0.1045</v>
      </c>
      <c r="N67">
        <v>3</v>
      </c>
      <c r="O67">
        <v>49</v>
      </c>
      <c r="P67">
        <v>52</v>
      </c>
    </row>
    <row r="68" spans="1:16">
      <c r="A68">
        <v>67</v>
      </c>
      <c r="B68" s="1">
        <v>40546</v>
      </c>
      <c r="C68">
        <v>1</v>
      </c>
      <c r="D68">
        <v>0</v>
      </c>
      <c r="E68">
        <v>1</v>
      </c>
      <c r="F68">
        <v>21</v>
      </c>
      <c r="G68" t="b">
        <v>0</v>
      </c>
      <c r="H68">
        <v>1</v>
      </c>
      <c r="I68">
        <v>1</v>
      </c>
      <c r="J68">
        <v>0.18</v>
      </c>
      <c r="K68">
        <v>0.19700000000000001</v>
      </c>
      <c r="L68">
        <v>0.64</v>
      </c>
      <c r="M68">
        <v>0.1343</v>
      </c>
      <c r="N68">
        <v>3</v>
      </c>
      <c r="O68">
        <v>49</v>
      </c>
      <c r="P68">
        <v>52</v>
      </c>
    </row>
    <row r="69" spans="1:16">
      <c r="A69">
        <v>68</v>
      </c>
      <c r="B69" s="1">
        <v>40546</v>
      </c>
      <c r="C69">
        <v>1</v>
      </c>
      <c r="D69">
        <v>0</v>
      </c>
      <c r="E69">
        <v>1</v>
      </c>
      <c r="F69">
        <v>22</v>
      </c>
      <c r="G69" t="b">
        <v>0</v>
      </c>
      <c r="H69">
        <v>1</v>
      </c>
      <c r="I69">
        <v>1</v>
      </c>
      <c r="J69">
        <v>0.14000000000000001</v>
      </c>
      <c r="K69">
        <v>0.1515</v>
      </c>
      <c r="L69">
        <v>0.69</v>
      </c>
      <c r="M69">
        <v>0.1343</v>
      </c>
      <c r="N69">
        <v>0</v>
      </c>
      <c r="O69">
        <v>20</v>
      </c>
      <c r="P69">
        <v>20</v>
      </c>
    </row>
    <row r="70" spans="1:16">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c r="A71">
        <v>70</v>
      </c>
      <c r="B71" s="1">
        <v>40547</v>
      </c>
      <c r="C71">
        <v>1</v>
      </c>
      <c r="D71">
        <v>0</v>
      </c>
      <c r="E71">
        <v>1</v>
      </c>
      <c r="F71">
        <v>0</v>
      </c>
      <c r="G71" t="b">
        <v>0</v>
      </c>
      <c r="H71">
        <v>2</v>
      </c>
      <c r="I71">
        <v>1</v>
      </c>
      <c r="J71">
        <v>0.16</v>
      </c>
      <c r="L71">
        <v>0.55000000000000004</v>
      </c>
      <c r="M71">
        <v>0.1045</v>
      </c>
      <c r="N71">
        <v>0</v>
      </c>
      <c r="O71">
        <v>5</v>
      </c>
      <c r="P71">
        <v>5</v>
      </c>
    </row>
    <row r="72" spans="1:16">
      <c r="A72">
        <v>71</v>
      </c>
      <c r="B72" s="1">
        <v>40547</v>
      </c>
      <c r="C72">
        <v>1</v>
      </c>
      <c r="D72">
        <v>0</v>
      </c>
      <c r="E72">
        <v>1</v>
      </c>
      <c r="F72">
        <v>1</v>
      </c>
      <c r="G72" t="b">
        <v>0</v>
      </c>
      <c r="H72">
        <v>2</v>
      </c>
      <c r="I72">
        <v>1</v>
      </c>
      <c r="J72">
        <v>0.16</v>
      </c>
      <c r="K72">
        <v>0.18179999999999999</v>
      </c>
      <c r="L72">
        <v>0.59</v>
      </c>
      <c r="M72">
        <v>0.1045</v>
      </c>
      <c r="N72">
        <v>0</v>
      </c>
      <c r="O72">
        <v>2</v>
      </c>
      <c r="P72">
        <v>2</v>
      </c>
    </row>
    <row r="73" spans="1:16">
      <c r="A73">
        <v>72</v>
      </c>
      <c r="B73" s="1">
        <v>40547</v>
      </c>
      <c r="C73">
        <v>1</v>
      </c>
      <c r="D73">
        <v>0</v>
      </c>
      <c r="E73">
        <v>1</v>
      </c>
      <c r="F73">
        <v>2</v>
      </c>
      <c r="G73" t="b">
        <v>0</v>
      </c>
      <c r="H73">
        <v>2</v>
      </c>
      <c r="I73">
        <v>1</v>
      </c>
      <c r="J73">
        <v>0.14000000000000001</v>
      </c>
      <c r="K73">
        <v>0.1515</v>
      </c>
      <c r="L73">
        <v>0.63</v>
      </c>
      <c r="M73">
        <v>0.1343</v>
      </c>
      <c r="N73">
        <v>0</v>
      </c>
      <c r="O73">
        <v>1</v>
      </c>
      <c r="P73">
        <v>1</v>
      </c>
    </row>
    <row r="74" spans="1:16">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c r="A75">
        <v>74</v>
      </c>
      <c r="B75" s="1">
        <v>40547</v>
      </c>
      <c r="C75">
        <v>1</v>
      </c>
      <c r="D75">
        <v>0</v>
      </c>
      <c r="E75">
        <v>1</v>
      </c>
      <c r="F75">
        <v>5</v>
      </c>
      <c r="G75" t="b">
        <v>0</v>
      </c>
      <c r="H75">
        <v>2</v>
      </c>
      <c r="I75">
        <v>1</v>
      </c>
      <c r="J75">
        <v>0.12</v>
      </c>
      <c r="K75">
        <v>0.1515</v>
      </c>
      <c r="L75">
        <v>0.68</v>
      </c>
      <c r="M75">
        <v>0.1045</v>
      </c>
      <c r="N75">
        <v>0</v>
      </c>
      <c r="O75">
        <v>4</v>
      </c>
      <c r="P75">
        <v>4</v>
      </c>
    </row>
    <row r="76" spans="1:16">
      <c r="A76">
        <v>75</v>
      </c>
      <c r="B76" s="1">
        <v>40547</v>
      </c>
      <c r="C76">
        <v>1</v>
      </c>
      <c r="D76">
        <v>0</v>
      </c>
      <c r="E76">
        <v>1</v>
      </c>
      <c r="F76">
        <v>6</v>
      </c>
      <c r="G76" t="b">
        <v>0</v>
      </c>
      <c r="H76">
        <v>2</v>
      </c>
      <c r="I76">
        <v>1</v>
      </c>
      <c r="J76">
        <v>0.12</v>
      </c>
      <c r="K76">
        <v>0.1515</v>
      </c>
      <c r="L76">
        <v>0.74</v>
      </c>
      <c r="M76">
        <v>0.1045</v>
      </c>
      <c r="N76">
        <v>0</v>
      </c>
      <c r="O76">
        <v>36</v>
      </c>
      <c r="P76">
        <v>36</v>
      </c>
    </row>
    <row r="77" spans="1:16">
      <c r="A77">
        <v>76</v>
      </c>
      <c r="B77" s="1">
        <v>40547</v>
      </c>
      <c r="C77">
        <v>1</v>
      </c>
      <c r="D77">
        <v>0</v>
      </c>
      <c r="E77">
        <v>1</v>
      </c>
      <c r="F77">
        <v>7</v>
      </c>
      <c r="G77" t="b">
        <v>0</v>
      </c>
      <c r="H77">
        <v>2</v>
      </c>
      <c r="I77">
        <v>1</v>
      </c>
      <c r="J77">
        <v>0.12</v>
      </c>
      <c r="K77">
        <v>0.1515</v>
      </c>
      <c r="L77">
        <v>0.74</v>
      </c>
      <c r="M77">
        <v>0.1343</v>
      </c>
      <c r="N77">
        <v>2</v>
      </c>
      <c r="O77">
        <v>92</v>
      </c>
      <c r="P77">
        <v>94</v>
      </c>
    </row>
    <row r="78" spans="1:16">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c r="A79">
        <v>78</v>
      </c>
      <c r="B79" s="1">
        <v>40547</v>
      </c>
      <c r="C79">
        <v>1</v>
      </c>
      <c r="D79">
        <v>0</v>
      </c>
      <c r="E79">
        <v>1</v>
      </c>
      <c r="F79">
        <v>9</v>
      </c>
      <c r="G79" t="b">
        <v>0</v>
      </c>
      <c r="H79">
        <v>2</v>
      </c>
      <c r="I79">
        <v>1</v>
      </c>
      <c r="J79">
        <v>0.16</v>
      </c>
      <c r="K79">
        <v>0.1515</v>
      </c>
      <c r="L79">
        <v>0.64</v>
      </c>
      <c r="M79">
        <v>0.22389999999999999</v>
      </c>
      <c r="N79">
        <v>2</v>
      </c>
      <c r="O79">
        <v>98</v>
      </c>
      <c r="P79">
        <v>100</v>
      </c>
    </row>
    <row r="80" spans="1:16">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c r="A82">
        <v>81</v>
      </c>
      <c r="B82" s="1">
        <v>40547</v>
      </c>
      <c r="C82">
        <v>1</v>
      </c>
      <c r="D82">
        <v>0</v>
      </c>
      <c r="E82">
        <v>1</v>
      </c>
      <c r="F82">
        <v>12</v>
      </c>
      <c r="G82" t="b">
        <v>0</v>
      </c>
      <c r="H82">
        <v>2</v>
      </c>
      <c r="I82">
        <v>1</v>
      </c>
      <c r="J82">
        <v>0.22</v>
      </c>
      <c r="K82">
        <v>0.2273</v>
      </c>
      <c r="L82">
        <v>0.51</v>
      </c>
      <c r="M82">
        <v>0.16420000000000001</v>
      </c>
      <c r="N82">
        <v>12</v>
      </c>
      <c r="O82">
        <v>66</v>
      </c>
      <c r="P82">
        <v>78</v>
      </c>
    </row>
    <row r="83" spans="1:16">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c r="A84">
        <v>83</v>
      </c>
      <c r="B84" s="1">
        <v>40547</v>
      </c>
      <c r="C84">
        <v>1</v>
      </c>
      <c r="D84">
        <v>0</v>
      </c>
      <c r="E84">
        <v>1</v>
      </c>
      <c r="F84">
        <v>14</v>
      </c>
      <c r="G84" t="b">
        <v>0</v>
      </c>
      <c r="H84">
        <v>2</v>
      </c>
      <c r="I84">
        <v>1</v>
      </c>
      <c r="J84">
        <v>0.26</v>
      </c>
      <c r="K84">
        <v>0.2576</v>
      </c>
      <c r="L84">
        <v>0.52</v>
      </c>
      <c r="M84">
        <v>0.22389999999999999</v>
      </c>
      <c r="N84">
        <v>9</v>
      </c>
      <c r="O84">
        <v>54</v>
      </c>
      <c r="P84">
        <v>63</v>
      </c>
    </row>
    <row r="85" spans="1:16">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c r="A88">
        <v>87</v>
      </c>
      <c r="B88" s="1">
        <v>40547</v>
      </c>
      <c r="C88">
        <v>1</v>
      </c>
      <c r="D88">
        <v>0</v>
      </c>
      <c r="E88">
        <v>1</v>
      </c>
      <c r="F88">
        <v>18</v>
      </c>
      <c r="G88" t="b">
        <v>0</v>
      </c>
      <c r="H88">
        <v>2</v>
      </c>
      <c r="I88">
        <v>1</v>
      </c>
      <c r="J88">
        <v>0.26</v>
      </c>
      <c r="K88">
        <v>0.2576</v>
      </c>
      <c r="L88">
        <v>0.48</v>
      </c>
      <c r="M88">
        <v>0.19400000000000001</v>
      </c>
      <c r="N88">
        <v>3</v>
      </c>
      <c r="O88">
        <v>179</v>
      </c>
      <c r="P88">
        <v>182</v>
      </c>
    </row>
    <row r="89" spans="1:16">
      <c r="A89">
        <v>88</v>
      </c>
      <c r="B89" s="1">
        <v>40547</v>
      </c>
      <c r="C89">
        <v>1</v>
      </c>
      <c r="D89">
        <v>0</v>
      </c>
      <c r="E89">
        <v>1</v>
      </c>
      <c r="F89">
        <v>19</v>
      </c>
      <c r="G89" t="b">
        <v>0</v>
      </c>
      <c r="H89">
        <v>2</v>
      </c>
      <c r="I89">
        <v>1</v>
      </c>
      <c r="J89">
        <v>0.24</v>
      </c>
      <c r="K89">
        <v>0.2576</v>
      </c>
      <c r="L89">
        <v>0.48</v>
      </c>
      <c r="M89">
        <v>0.1045</v>
      </c>
      <c r="N89">
        <v>2</v>
      </c>
      <c r="O89">
        <v>110</v>
      </c>
      <c r="P89">
        <v>112</v>
      </c>
    </row>
    <row r="90" spans="1:16">
      <c r="A90">
        <v>89</v>
      </c>
      <c r="B90" s="1">
        <v>40547</v>
      </c>
      <c r="C90">
        <v>1</v>
      </c>
      <c r="D90">
        <v>0</v>
      </c>
      <c r="E90">
        <v>1</v>
      </c>
      <c r="F90">
        <v>20</v>
      </c>
      <c r="G90" t="b">
        <v>0</v>
      </c>
      <c r="H90">
        <v>2</v>
      </c>
      <c r="I90">
        <v>1</v>
      </c>
      <c r="J90">
        <v>0.24</v>
      </c>
      <c r="K90">
        <v>0.2576</v>
      </c>
      <c r="L90">
        <v>0.48</v>
      </c>
      <c r="M90">
        <v>0.1045</v>
      </c>
      <c r="N90">
        <v>1</v>
      </c>
      <c r="O90">
        <v>53</v>
      </c>
      <c r="P90">
        <v>54</v>
      </c>
    </row>
    <row r="91" spans="1:16">
      <c r="A91">
        <v>90</v>
      </c>
      <c r="B91" s="1">
        <v>40547</v>
      </c>
      <c r="C91">
        <v>1</v>
      </c>
      <c r="D91">
        <v>0</v>
      </c>
      <c r="E91">
        <v>1</v>
      </c>
      <c r="F91">
        <v>21</v>
      </c>
      <c r="G91" t="b">
        <v>0</v>
      </c>
      <c r="H91">
        <v>2</v>
      </c>
      <c r="I91">
        <v>1</v>
      </c>
      <c r="J91">
        <v>0.22</v>
      </c>
      <c r="K91">
        <v>0.2727</v>
      </c>
      <c r="L91">
        <v>0.64</v>
      </c>
      <c r="M91">
        <v>0</v>
      </c>
      <c r="N91">
        <v>0</v>
      </c>
      <c r="O91">
        <v>48</v>
      </c>
      <c r="P91">
        <v>48</v>
      </c>
    </row>
    <row r="92" spans="1:16">
      <c r="A92">
        <v>91</v>
      </c>
      <c r="B92" s="1">
        <v>40547</v>
      </c>
      <c r="C92">
        <v>1</v>
      </c>
      <c r="D92">
        <v>0</v>
      </c>
      <c r="E92">
        <v>1</v>
      </c>
      <c r="F92">
        <v>22</v>
      </c>
      <c r="G92" t="b">
        <v>0</v>
      </c>
      <c r="H92">
        <v>2</v>
      </c>
      <c r="I92">
        <v>1</v>
      </c>
      <c r="J92">
        <v>0.22</v>
      </c>
      <c r="K92">
        <v>0.2576</v>
      </c>
      <c r="L92">
        <v>0.64</v>
      </c>
      <c r="M92">
        <v>8.9599999999999999E-2</v>
      </c>
      <c r="N92">
        <v>1</v>
      </c>
      <c r="O92">
        <v>34</v>
      </c>
      <c r="P92">
        <v>35</v>
      </c>
    </row>
    <row r="93" spans="1:16">
      <c r="A93">
        <v>92</v>
      </c>
      <c r="B93" s="1">
        <v>40547</v>
      </c>
      <c r="C93">
        <v>1</v>
      </c>
      <c r="D93">
        <v>0</v>
      </c>
      <c r="E93">
        <v>1</v>
      </c>
      <c r="F93">
        <v>23</v>
      </c>
      <c r="G93" t="b">
        <v>0</v>
      </c>
      <c r="H93">
        <v>2</v>
      </c>
      <c r="I93">
        <v>1</v>
      </c>
      <c r="J93">
        <v>0.2</v>
      </c>
      <c r="K93">
        <v>0.2273</v>
      </c>
      <c r="L93">
        <v>0.69</v>
      </c>
      <c r="M93">
        <v>8.9599999999999999E-2</v>
      </c>
      <c r="N93">
        <v>2</v>
      </c>
      <c r="O93">
        <v>9</v>
      </c>
      <c r="P93">
        <v>11</v>
      </c>
    </row>
    <row r="94" spans="1:16">
      <c r="A94">
        <v>93</v>
      </c>
      <c r="B94" s="1">
        <v>40548</v>
      </c>
      <c r="C94">
        <v>1</v>
      </c>
      <c r="D94">
        <v>0</v>
      </c>
      <c r="E94">
        <v>1</v>
      </c>
      <c r="F94">
        <v>0</v>
      </c>
      <c r="G94" t="b">
        <v>0</v>
      </c>
      <c r="H94">
        <v>3</v>
      </c>
      <c r="I94">
        <v>1</v>
      </c>
      <c r="J94">
        <v>0.2</v>
      </c>
      <c r="K94">
        <v>0.2576</v>
      </c>
      <c r="L94">
        <v>0.64</v>
      </c>
      <c r="M94">
        <v>0</v>
      </c>
      <c r="N94">
        <v>0</v>
      </c>
      <c r="O94">
        <v>6</v>
      </c>
      <c r="P94">
        <v>6</v>
      </c>
    </row>
    <row r="95" spans="1:16">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c r="A97">
        <v>96</v>
      </c>
      <c r="B97" s="1">
        <v>40548</v>
      </c>
      <c r="C97">
        <v>1</v>
      </c>
      <c r="D97">
        <v>0</v>
      </c>
      <c r="E97">
        <v>1</v>
      </c>
      <c r="F97">
        <v>4</v>
      </c>
      <c r="G97" t="b">
        <v>0</v>
      </c>
      <c r="H97">
        <v>3</v>
      </c>
      <c r="I97">
        <v>1</v>
      </c>
      <c r="J97">
        <v>0.24</v>
      </c>
      <c r="K97">
        <v>0.2273</v>
      </c>
      <c r="L97">
        <v>0.48</v>
      </c>
      <c r="M97">
        <v>0.22389999999999999</v>
      </c>
      <c r="N97">
        <v>0</v>
      </c>
      <c r="O97">
        <v>2</v>
      </c>
      <c r="P97">
        <v>2</v>
      </c>
    </row>
    <row r="98" spans="1:16">
      <c r="A98">
        <v>97</v>
      </c>
      <c r="B98" s="1">
        <v>40548</v>
      </c>
      <c r="C98">
        <v>1</v>
      </c>
      <c r="D98">
        <v>0</v>
      </c>
      <c r="E98">
        <v>1</v>
      </c>
      <c r="F98">
        <v>5</v>
      </c>
      <c r="G98" t="b">
        <v>0</v>
      </c>
      <c r="H98">
        <v>3</v>
      </c>
      <c r="I98">
        <v>1</v>
      </c>
      <c r="J98">
        <v>0.22</v>
      </c>
      <c r="K98">
        <v>0.2273</v>
      </c>
      <c r="L98">
        <v>0.47</v>
      </c>
      <c r="M98">
        <v>0.16420000000000001</v>
      </c>
      <c r="N98">
        <v>0</v>
      </c>
      <c r="O98">
        <v>3</v>
      </c>
      <c r="P98">
        <v>3</v>
      </c>
    </row>
    <row r="99" spans="1:16">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c r="A111">
        <v>110</v>
      </c>
      <c r="B111" s="1">
        <v>40548</v>
      </c>
      <c r="C111">
        <v>1</v>
      </c>
      <c r="D111">
        <v>0</v>
      </c>
      <c r="E111">
        <v>1</v>
      </c>
      <c r="F111">
        <v>18</v>
      </c>
      <c r="G111" t="b">
        <v>0</v>
      </c>
      <c r="H111">
        <v>3</v>
      </c>
      <c r="I111">
        <v>1</v>
      </c>
      <c r="J111">
        <v>0.24</v>
      </c>
      <c r="K111">
        <v>0.2424</v>
      </c>
      <c r="L111">
        <v>0.38</v>
      </c>
      <c r="M111">
        <v>0.1343</v>
      </c>
      <c r="N111">
        <v>3</v>
      </c>
      <c r="O111">
        <v>166</v>
      </c>
      <c r="P111">
        <v>169</v>
      </c>
    </row>
    <row r="112" spans="1:16">
      <c r="A112">
        <v>111</v>
      </c>
      <c r="B112" s="1">
        <v>40548</v>
      </c>
      <c r="C112">
        <v>1</v>
      </c>
      <c r="D112">
        <v>0</v>
      </c>
      <c r="E112">
        <v>1</v>
      </c>
      <c r="F112">
        <v>19</v>
      </c>
      <c r="G112" t="b">
        <v>0</v>
      </c>
      <c r="H112">
        <v>3</v>
      </c>
      <c r="I112">
        <v>1</v>
      </c>
      <c r="J112">
        <v>0.24</v>
      </c>
      <c r="K112">
        <v>0.2576</v>
      </c>
      <c r="L112">
        <v>0.38</v>
      </c>
      <c r="M112">
        <v>0.1045</v>
      </c>
      <c r="N112">
        <v>5</v>
      </c>
      <c r="O112">
        <v>127</v>
      </c>
      <c r="P112">
        <v>132</v>
      </c>
    </row>
    <row r="113" spans="1:16">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c r="A116">
        <v>115</v>
      </c>
      <c r="B116" s="1">
        <v>40548</v>
      </c>
      <c r="C116">
        <v>1</v>
      </c>
      <c r="D116">
        <v>0</v>
      </c>
      <c r="E116">
        <v>1</v>
      </c>
      <c r="F116">
        <v>23</v>
      </c>
      <c r="G116" t="b">
        <v>0</v>
      </c>
      <c r="H116">
        <v>3</v>
      </c>
      <c r="I116">
        <v>1</v>
      </c>
      <c r="J116">
        <v>0.2</v>
      </c>
      <c r="K116">
        <v>0.2576</v>
      </c>
      <c r="L116">
        <v>0.47</v>
      </c>
      <c r="M116">
        <v>0</v>
      </c>
      <c r="N116">
        <v>1</v>
      </c>
      <c r="O116">
        <v>18</v>
      </c>
      <c r="P116">
        <v>19</v>
      </c>
    </row>
    <row r="117" spans="1:16">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c r="A118">
        <v>117</v>
      </c>
      <c r="B118" s="1">
        <v>40549</v>
      </c>
      <c r="C118">
        <v>1</v>
      </c>
      <c r="D118">
        <v>0</v>
      </c>
      <c r="E118">
        <v>1</v>
      </c>
      <c r="F118">
        <v>1</v>
      </c>
      <c r="G118" t="b">
        <v>0</v>
      </c>
      <c r="H118">
        <v>4</v>
      </c>
      <c r="I118">
        <v>1</v>
      </c>
      <c r="J118">
        <v>0.16</v>
      </c>
      <c r="K118">
        <v>0.2273</v>
      </c>
      <c r="L118">
        <v>0.64</v>
      </c>
      <c r="M118">
        <v>0</v>
      </c>
      <c r="N118">
        <v>0</v>
      </c>
      <c r="O118">
        <v>4</v>
      </c>
      <c r="P118">
        <v>4</v>
      </c>
    </row>
    <row r="119" spans="1:16">
      <c r="A119">
        <v>118</v>
      </c>
      <c r="B119" s="1">
        <v>40549</v>
      </c>
      <c r="C119">
        <v>1</v>
      </c>
      <c r="D119">
        <v>0</v>
      </c>
      <c r="E119">
        <v>1</v>
      </c>
      <c r="F119">
        <v>2</v>
      </c>
      <c r="G119" t="b">
        <v>0</v>
      </c>
      <c r="H119">
        <v>4</v>
      </c>
      <c r="I119">
        <v>1</v>
      </c>
      <c r="J119">
        <v>0.16</v>
      </c>
      <c r="K119">
        <v>0.2273</v>
      </c>
      <c r="L119">
        <v>0.64</v>
      </c>
      <c r="M119">
        <v>0</v>
      </c>
      <c r="N119">
        <v>0</v>
      </c>
      <c r="O119">
        <v>2</v>
      </c>
      <c r="P119">
        <v>2</v>
      </c>
    </row>
    <row r="120" spans="1:16">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c r="A123">
        <v>122</v>
      </c>
      <c r="B123" s="1">
        <v>40549</v>
      </c>
      <c r="C123">
        <v>1</v>
      </c>
      <c r="D123">
        <v>0</v>
      </c>
      <c r="E123">
        <v>1</v>
      </c>
      <c r="F123">
        <v>7</v>
      </c>
      <c r="G123" t="b">
        <v>0</v>
      </c>
      <c r="H123">
        <v>4</v>
      </c>
      <c r="I123">
        <v>2</v>
      </c>
      <c r="J123">
        <v>0.16</v>
      </c>
      <c r="K123">
        <v>0.2273</v>
      </c>
      <c r="L123">
        <v>0.59</v>
      </c>
      <c r="M123">
        <v>0</v>
      </c>
      <c r="N123">
        <v>0</v>
      </c>
      <c r="O123">
        <v>95</v>
      </c>
      <c r="P123">
        <v>95</v>
      </c>
    </row>
    <row r="124" spans="1:16">
      <c r="A124">
        <v>123</v>
      </c>
      <c r="B124" s="1">
        <v>40549</v>
      </c>
      <c r="C124">
        <v>1</v>
      </c>
      <c r="D124">
        <v>0</v>
      </c>
      <c r="E124">
        <v>1</v>
      </c>
      <c r="F124">
        <v>8</v>
      </c>
      <c r="G124" t="b">
        <v>0</v>
      </c>
      <c r="H124">
        <v>4</v>
      </c>
      <c r="I124">
        <v>1</v>
      </c>
      <c r="J124">
        <v>0.16</v>
      </c>
      <c r="K124">
        <v>0.2273</v>
      </c>
      <c r="L124">
        <v>0.59</v>
      </c>
      <c r="M124">
        <v>0</v>
      </c>
      <c r="N124">
        <v>3</v>
      </c>
      <c r="O124">
        <v>216</v>
      </c>
      <c r="P124">
        <v>219</v>
      </c>
    </row>
    <row r="125" spans="1:16">
      <c r="A125">
        <v>124</v>
      </c>
      <c r="B125" s="1">
        <v>40549</v>
      </c>
      <c r="C125">
        <v>1</v>
      </c>
      <c r="D125">
        <v>0</v>
      </c>
      <c r="E125">
        <v>1</v>
      </c>
      <c r="F125">
        <v>9</v>
      </c>
      <c r="G125" t="b">
        <v>0</v>
      </c>
      <c r="H125">
        <v>4</v>
      </c>
      <c r="I125">
        <v>2</v>
      </c>
      <c r="J125">
        <v>0.18</v>
      </c>
      <c r="K125">
        <v>0.2424</v>
      </c>
      <c r="L125">
        <v>0.51</v>
      </c>
      <c r="M125">
        <v>0</v>
      </c>
      <c r="N125">
        <v>6</v>
      </c>
      <c r="O125">
        <v>116</v>
      </c>
      <c r="P125">
        <v>122</v>
      </c>
    </row>
    <row r="126" spans="1:16">
      <c r="A126">
        <v>125</v>
      </c>
      <c r="B126" s="1">
        <v>40549</v>
      </c>
      <c r="C126">
        <v>1</v>
      </c>
      <c r="D126">
        <v>0</v>
      </c>
      <c r="E126">
        <v>1</v>
      </c>
      <c r="F126">
        <v>10</v>
      </c>
      <c r="G126" t="b">
        <v>0</v>
      </c>
      <c r="H126">
        <v>4</v>
      </c>
      <c r="I126">
        <v>1</v>
      </c>
      <c r="J126">
        <v>0.2</v>
      </c>
      <c r="K126">
        <v>0.2576</v>
      </c>
      <c r="L126">
        <v>0.47</v>
      </c>
      <c r="M126">
        <v>0</v>
      </c>
      <c r="N126">
        <v>3</v>
      </c>
      <c r="O126">
        <v>42</v>
      </c>
      <c r="P126">
        <v>45</v>
      </c>
    </row>
    <row r="127" spans="1:16">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c r="A129">
        <v>128</v>
      </c>
      <c r="B129" s="1">
        <v>40549</v>
      </c>
      <c r="C129">
        <v>1</v>
      </c>
      <c r="D129">
        <v>0</v>
      </c>
      <c r="E129">
        <v>1</v>
      </c>
      <c r="F129">
        <v>13</v>
      </c>
      <c r="G129" t="b">
        <v>0</v>
      </c>
      <c r="H129">
        <v>4</v>
      </c>
      <c r="I129">
        <v>1</v>
      </c>
      <c r="J129">
        <v>0.26</v>
      </c>
      <c r="K129">
        <v>0.2727</v>
      </c>
      <c r="L129">
        <v>0.35</v>
      </c>
      <c r="M129">
        <v>0.1045</v>
      </c>
      <c r="N129">
        <v>12</v>
      </c>
      <c r="O129">
        <v>55</v>
      </c>
      <c r="P129">
        <v>67</v>
      </c>
    </row>
    <row r="130" spans="1:16">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c r="A134">
        <v>133</v>
      </c>
      <c r="B134" s="1">
        <v>40549</v>
      </c>
      <c r="C134">
        <v>1</v>
      </c>
      <c r="D134">
        <v>0</v>
      </c>
      <c r="E134">
        <v>1</v>
      </c>
      <c r="F134">
        <v>18</v>
      </c>
      <c r="G134" t="b">
        <v>0</v>
      </c>
      <c r="H134">
        <v>4</v>
      </c>
      <c r="I134">
        <v>1</v>
      </c>
      <c r="J134">
        <v>0.22</v>
      </c>
      <c r="K134">
        <v>0.2273</v>
      </c>
      <c r="L134">
        <v>0.51</v>
      </c>
      <c r="M134">
        <v>0.1343</v>
      </c>
      <c r="N134">
        <v>5</v>
      </c>
      <c r="O134">
        <v>158</v>
      </c>
      <c r="P134">
        <v>163</v>
      </c>
    </row>
    <row r="135" spans="1:16">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c r="A145">
        <v>144</v>
      </c>
      <c r="B145" s="1">
        <v>40550</v>
      </c>
      <c r="C145">
        <v>1</v>
      </c>
      <c r="D145">
        <v>0</v>
      </c>
      <c r="E145">
        <v>1</v>
      </c>
      <c r="F145">
        <v>6</v>
      </c>
      <c r="G145" t="b">
        <v>0</v>
      </c>
      <c r="H145">
        <v>5</v>
      </c>
      <c r="I145">
        <v>2</v>
      </c>
      <c r="J145">
        <v>0.2</v>
      </c>
      <c r="K145">
        <v>0.2576</v>
      </c>
      <c r="L145">
        <v>0.69</v>
      </c>
      <c r="M145">
        <v>0</v>
      </c>
      <c r="N145">
        <v>8</v>
      </c>
      <c r="O145">
        <v>26</v>
      </c>
      <c r="P145">
        <v>34</v>
      </c>
    </row>
    <row r="146" spans="1:16">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c r="A156">
        <v>155</v>
      </c>
      <c r="B156" s="1">
        <v>40550</v>
      </c>
      <c r="C156">
        <v>1</v>
      </c>
      <c r="D156">
        <v>0</v>
      </c>
      <c r="E156">
        <v>1</v>
      </c>
      <c r="F156">
        <v>17</v>
      </c>
      <c r="G156" t="b">
        <v>0</v>
      </c>
      <c r="H156">
        <v>5</v>
      </c>
      <c r="I156">
        <v>2</v>
      </c>
      <c r="J156">
        <v>0.2</v>
      </c>
      <c r="K156">
        <v>0.2576</v>
      </c>
      <c r="L156">
        <v>0.37</v>
      </c>
      <c r="M156">
        <v>0</v>
      </c>
      <c r="N156">
        <v>9</v>
      </c>
      <c r="O156">
        <v>178</v>
      </c>
      <c r="P156">
        <v>187</v>
      </c>
    </row>
    <row r="157" spans="1:16">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c r="A185">
        <v>184</v>
      </c>
      <c r="B185" s="1">
        <v>40551</v>
      </c>
      <c r="C185">
        <v>1</v>
      </c>
      <c r="D185">
        <v>0</v>
      </c>
      <c r="E185">
        <v>1</v>
      </c>
      <c r="F185">
        <v>22</v>
      </c>
      <c r="G185" t="b">
        <v>0</v>
      </c>
      <c r="H185">
        <v>6</v>
      </c>
      <c r="I185">
        <v>1</v>
      </c>
      <c r="J185">
        <v>0.12</v>
      </c>
      <c r="K185">
        <v>0.1061</v>
      </c>
      <c r="L185">
        <v>0.36</v>
      </c>
      <c r="M185">
        <v>0.3881</v>
      </c>
      <c r="N185">
        <v>1</v>
      </c>
      <c r="O185">
        <v>33</v>
      </c>
      <c r="P185">
        <v>34</v>
      </c>
    </row>
    <row r="186" spans="1:16">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c r="A204">
        <v>203</v>
      </c>
      <c r="B204" s="1">
        <v>40552</v>
      </c>
      <c r="C204">
        <v>1</v>
      </c>
      <c r="D204">
        <v>0</v>
      </c>
      <c r="E204">
        <v>1</v>
      </c>
      <c r="F204">
        <v>17</v>
      </c>
      <c r="G204" t="b">
        <v>0</v>
      </c>
      <c r="H204">
        <v>0</v>
      </c>
      <c r="I204">
        <v>1</v>
      </c>
      <c r="J204">
        <v>0.18</v>
      </c>
      <c r="K204">
        <v>0.1515</v>
      </c>
      <c r="L204">
        <v>0.37</v>
      </c>
      <c r="M204">
        <v>0.3881</v>
      </c>
      <c r="N204">
        <v>3</v>
      </c>
      <c r="O204">
        <v>59</v>
      </c>
      <c r="P204">
        <v>62</v>
      </c>
    </row>
    <row r="205" spans="1:16">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c r="A215">
        <v>214</v>
      </c>
      <c r="B215" s="1">
        <v>40553</v>
      </c>
      <c r="C215">
        <v>1</v>
      </c>
      <c r="D215">
        <v>0</v>
      </c>
      <c r="E215">
        <v>1</v>
      </c>
      <c r="F215">
        <v>4</v>
      </c>
      <c r="G215" t="b">
        <v>0</v>
      </c>
      <c r="H215">
        <v>1</v>
      </c>
      <c r="I215">
        <v>1</v>
      </c>
      <c r="J215">
        <v>0.1</v>
      </c>
      <c r="K215">
        <v>0.1212</v>
      </c>
      <c r="L215">
        <v>0.54</v>
      </c>
      <c r="M215">
        <v>0.1343</v>
      </c>
      <c r="N215">
        <v>1</v>
      </c>
      <c r="O215">
        <v>2</v>
      </c>
      <c r="P215">
        <v>3</v>
      </c>
    </row>
    <row r="216" spans="1:16">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c r="A228">
        <v>227</v>
      </c>
      <c r="B228" s="1">
        <v>40553</v>
      </c>
      <c r="C228">
        <v>1</v>
      </c>
      <c r="D228">
        <v>0</v>
      </c>
      <c r="E228">
        <v>1</v>
      </c>
      <c r="F228">
        <v>17</v>
      </c>
      <c r="G228" t="b">
        <v>0</v>
      </c>
      <c r="H228">
        <v>1</v>
      </c>
      <c r="I228">
        <v>1</v>
      </c>
      <c r="J228">
        <v>0.2</v>
      </c>
      <c r="K228">
        <v>0.2273</v>
      </c>
      <c r="L228">
        <v>0.4</v>
      </c>
      <c r="M228">
        <v>0.1045</v>
      </c>
      <c r="N228">
        <v>4</v>
      </c>
      <c r="O228">
        <v>174</v>
      </c>
      <c r="P228">
        <v>178</v>
      </c>
    </row>
    <row r="229" spans="1:16">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c r="A245">
        <v>244</v>
      </c>
      <c r="B245" s="1">
        <v>40554</v>
      </c>
      <c r="C245">
        <v>1</v>
      </c>
      <c r="D245">
        <v>0</v>
      </c>
      <c r="E245">
        <v>1</v>
      </c>
      <c r="F245">
        <v>12</v>
      </c>
      <c r="G245" t="b">
        <v>0</v>
      </c>
      <c r="H245">
        <v>2</v>
      </c>
      <c r="I245">
        <v>2</v>
      </c>
      <c r="J245">
        <v>0.2</v>
      </c>
      <c r="K245">
        <v>0.2273</v>
      </c>
      <c r="L245">
        <v>0.51</v>
      </c>
      <c r="M245">
        <v>0.1045</v>
      </c>
      <c r="N245">
        <v>2</v>
      </c>
      <c r="O245">
        <v>55</v>
      </c>
      <c r="P245">
        <v>57</v>
      </c>
    </row>
    <row r="246" spans="1:16">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c r="A252">
        <v>251</v>
      </c>
      <c r="B252" s="1">
        <v>40554</v>
      </c>
      <c r="C252">
        <v>1</v>
      </c>
      <c r="D252">
        <v>0</v>
      </c>
      <c r="E252">
        <v>1</v>
      </c>
      <c r="F252">
        <v>19</v>
      </c>
      <c r="G252" t="b">
        <v>0</v>
      </c>
      <c r="H252">
        <v>2</v>
      </c>
      <c r="I252">
        <v>3</v>
      </c>
      <c r="J252">
        <v>0.16</v>
      </c>
      <c r="K252">
        <v>0.2273</v>
      </c>
      <c r="L252">
        <v>0.93</v>
      </c>
      <c r="M252">
        <v>0</v>
      </c>
      <c r="N252">
        <v>0</v>
      </c>
      <c r="O252">
        <v>51</v>
      </c>
      <c r="P252">
        <v>51</v>
      </c>
    </row>
    <row r="253" spans="1:16">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c r="A261">
        <v>260</v>
      </c>
      <c r="B261" s="1">
        <v>40555</v>
      </c>
      <c r="C261">
        <v>1</v>
      </c>
      <c r="D261">
        <v>0</v>
      </c>
      <c r="E261">
        <v>1</v>
      </c>
      <c r="F261">
        <v>6</v>
      </c>
      <c r="G261" t="b">
        <v>0</v>
      </c>
      <c r="H261">
        <v>3</v>
      </c>
      <c r="I261">
        <v>1</v>
      </c>
      <c r="J261">
        <v>0.12</v>
      </c>
      <c r="K261">
        <v>0.1515</v>
      </c>
      <c r="L261">
        <v>0.93</v>
      </c>
      <c r="M261">
        <v>0.1343</v>
      </c>
      <c r="N261">
        <v>0</v>
      </c>
      <c r="O261">
        <v>16</v>
      </c>
      <c r="P261">
        <v>16</v>
      </c>
    </row>
    <row r="262" spans="1:16">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c r="A285">
        <v>284</v>
      </c>
      <c r="B285" s="1">
        <v>40556</v>
      </c>
      <c r="C285">
        <v>1</v>
      </c>
      <c r="D285">
        <v>0</v>
      </c>
      <c r="E285">
        <v>1</v>
      </c>
      <c r="F285">
        <v>6</v>
      </c>
      <c r="G285" t="b">
        <v>0</v>
      </c>
      <c r="H285">
        <v>4</v>
      </c>
      <c r="I285">
        <v>1</v>
      </c>
      <c r="J285">
        <v>0.12</v>
      </c>
      <c r="K285">
        <v>0.1515</v>
      </c>
      <c r="L285">
        <v>0.54</v>
      </c>
      <c r="M285">
        <v>0.1343</v>
      </c>
      <c r="N285">
        <v>0</v>
      </c>
      <c r="O285">
        <v>28</v>
      </c>
      <c r="P285">
        <v>28</v>
      </c>
    </row>
    <row r="286" spans="1:16">
      <c r="A286">
        <v>285</v>
      </c>
      <c r="B286" s="1">
        <v>40556</v>
      </c>
      <c r="C286">
        <v>1</v>
      </c>
      <c r="D286">
        <v>0</v>
      </c>
      <c r="E286">
        <v>1</v>
      </c>
      <c r="F286">
        <v>7</v>
      </c>
      <c r="G286" t="b">
        <v>0</v>
      </c>
      <c r="H286">
        <v>4</v>
      </c>
      <c r="I286">
        <v>1</v>
      </c>
      <c r="J286">
        <v>0.12</v>
      </c>
      <c r="K286">
        <v>0.1515</v>
      </c>
      <c r="L286">
        <v>0.54</v>
      </c>
      <c r="M286">
        <v>0.1343</v>
      </c>
      <c r="N286">
        <v>0</v>
      </c>
      <c r="O286">
        <v>72</v>
      </c>
      <c r="P286">
        <v>72</v>
      </c>
    </row>
    <row r="287" spans="1:16">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c r="A305">
        <v>304</v>
      </c>
      <c r="B305" s="1">
        <v>40557</v>
      </c>
      <c r="C305">
        <v>1</v>
      </c>
      <c r="D305">
        <v>0</v>
      </c>
      <c r="E305">
        <v>1</v>
      </c>
      <c r="F305">
        <v>2</v>
      </c>
      <c r="G305" t="b">
        <v>0</v>
      </c>
      <c r="H305">
        <v>5</v>
      </c>
      <c r="I305">
        <v>1</v>
      </c>
      <c r="J305">
        <v>0.1</v>
      </c>
      <c r="K305">
        <v>0.1212</v>
      </c>
      <c r="L305">
        <v>0.54</v>
      </c>
      <c r="M305">
        <v>0.1343</v>
      </c>
      <c r="N305">
        <v>0</v>
      </c>
      <c r="O305">
        <v>1</v>
      </c>
      <c r="P305">
        <v>1</v>
      </c>
    </row>
    <row r="306" spans="1:16">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c r="A318">
        <v>317</v>
      </c>
      <c r="B318" s="1">
        <v>40557</v>
      </c>
      <c r="C318">
        <v>1</v>
      </c>
      <c r="D318">
        <v>0</v>
      </c>
      <c r="E318">
        <v>1</v>
      </c>
      <c r="F318">
        <v>16</v>
      </c>
      <c r="G318" t="b">
        <v>0</v>
      </c>
      <c r="H318">
        <v>5</v>
      </c>
      <c r="I318">
        <v>1</v>
      </c>
      <c r="J318">
        <v>0.22</v>
      </c>
      <c r="K318">
        <v>0.2424</v>
      </c>
      <c r="L318">
        <v>0.41</v>
      </c>
      <c r="M318">
        <v>0.1045</v>
      </c>
      <c r="N318">
        <v>3</v>
      </c>
      <c r="O318">
        <v>87</v>
      </c>
      <c r="P318">
        <v>90</v>
      </c>
    </row>
    <row r="319" spans="1:16">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c r="A320">
        <v>319</v>
      </c>
      <c r="B320" s="1">
        <v>40557</v>
      </c>
      <c r="C320">
        <v>1</v>
      </c>
      <c r="D320">
        <v>0</v>
      </c>
      <c r="E320">
        <v>1</v>
      </c>
      <c r="F320">
        <v>18</v>
      </c>
      <c r="G320" t="b">
        <v>0</v>
      </c>
      <c r="H320">
        <v>5</v>
      </c>
      <c r="I320">
        <v>1</v>
      </c>
      <c r="J320">
        <v>0.2</v>
      </c>
      <c r="K320">
        <v>0.2576</v>
      </c>
      <c r="L320">
        <v>0.47</v>
      </c>
      <c r="M320">
        <v>0</v>
      </c>
      <c r="N320">
        <v>5</v>
      </c>
      <c r="O320">
        <v>134</v>
      </c>
      <c r="P320">
        <v>139</v>
      </c>
    </row>
    <row r="321" spans="1:16">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c r="A322">
        <v>321</v>
      </c>
      <c r="B322" s="1">
        <v>40557</v>
      </c>
      <c r="C322">
        <v>1</v>
      </c>
      <c r="D322">
        <v>0</v>
      </c>
      <c r="E322">
        <v>1</v>
      </c>
      <c r="F322">
        <v>20</v>
      </c>
      <c r="G322" t="b">
        <v>0</v>
      </c>
      <c r="H322">
        <v>5</v>
      </c>
      <c r="I322">
        <v>1</v>
      </c>
      <c r="J322">
        <v>0.18</v>
      </c>
      <c r="K322">
        <v>0.2424</v>
      </c>
      <c r="L322">
        <v>0.59</v>
      </c>
      <c r="M322">
        <v>0</v>
      </c>
      <c r="N322">
        <v>0</v>
      </c>
      <c r="O322">
        <v>68</v>
      </c>
      <c r="P322">
        <v>68</v>
      </c>
    </row>
    <row r="323" spans="1:16">
      <c r="A323">
        <v>322</v>
      </c>
      <c r="B323" s="1">
        <v>40557</v>
      </c>
      <c r="C323">
        <v>1</v>
      </c>
      <c r="D323">
        <v>0</v>
      </c>
      <c r="E323">
        <v>1</v>
      </c>
      <c r="F323">
        <v>21</v>
      </c>
      <c r="G323" t="b">
        <v>0</v>
      </c>
      <c r="H323">
        <v>5</v>
      </c>
      <c r="I323">
        <v>1</v>
      </c>
      <c r="J323">
        <v>0.16</v>
      </c>
      <c r="K323">
        <v>0.2273</v>
      </c>
      <c r="L323">
        <v>0.69</v>
      </c>
      <c r="M323">
        <v>0</v>
      </c>
      <c r="N323">
        <v>4</v>
      </c>
      <c r="O323">
        <v>48</v>
      </c>
      <c r="P323">
        <v>52</v>
      </c>
    </row>
    <row r="324" spans="1:16">
      <c r="A324">
        <v>323</v>
      </c>
      <c r="B324" s="1">
        <v>40557</v>
      </c>
      <c r="C324">
        <v>1</v>
      </c>
      <c r="D324">
        <v>0</v>
      </c>
      <c r="E324">
        <v>1</v>
      </c>
      <c r="F324">
        <v>22</v>
      </c>
      <c r="G324" t="b">
        <v>0</v>
      </c>
      <c r="H324">
        <v>5</v>
      </c>
      <c r="I324">
        <v>2</v>
      </c>
      <c r="J324">
        <v>0.16</v>
      </c>
      <c r="K324">
        <v>0.2273</v>
      </c>
      <c r="L324">
        <v>0.69</v>
      </c>
      <c r="M324">
        <v>0</v>
      </c>
      <c r="N324">
        <v>2</v>
      </c>
      <c r="O324">
        <v>34</v>
      </c>
      <c r="P324">
        <v>36</v>
      </c>
    </row>
    <row r="325" spans="1:16">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c r="A329">
        <v>328</v>
      </c>
      <c r="B329" s="1">
        <v>40558</v>
      </c>
      <c r="C329">
        <v>1</v>
      </c>
      <c r="D329">
        <v>0</v>
      </c>
      <c r="E329">
        <v>1</v>
      </c>
      <c r="F329">
        <v>3</v>
      </c>
      <c r="G329" t="b">
        <v>0</v>
      </c>
      <c r="H329">
        <v>6</v>
      </c>
      <c r="I329">
        <v>2</v>
      </c>
      <c r="J329">
        <v>0.16</v>
      </c>
      <c r="K329">
        <v>0.2273</v>
      </c>
      <c r="L329">
        <v>0.59</v>
      </c>
      <c r="M329">
        <v>0</v>
      </c>
      <c r="N329">
        <v>1</v>
      </c>
      <c r="O329">
        <v>7</v>
      </c>
      <c r="P329">
        <v>8</v>
      </c>
    </row>
    <row r="330" spans="1:16">
      <c r="A330">
        <v>329</v>
      </c>
      <c r="B330" s="1">
        <v>40558</v>
      </c>
      <c r="C330">
        <v>1</v>
      </c>
      <c r="D330">
        <v>0</v>
      </c>
      <c r="E330">
        <v>1</v>
      </c>
      <c r="F330">
        <v>4</v>
      </c>
      <c r="G330" t="b">
        <v>0</v>
      </c>
      <c r="H330">
        <v>6</v>
      </c>
      <c r="I330">
        <v>2</v>
      </c>
      <c r="J330">
        <v>0.16</v>
      </c>
      <c r="K330">
        <v>0.2273</v>
      </c>
      <c r="L330">
        <v>0.59</v>
      </c>
      <c r="M330">
        <v>0</v>
      </c>
      <c r="N330">
        <v>0</v>
      </c>
      <c r="O330">
        <v>5</v>
      </c>
      <c r="P330">
        <v>5</v>
      </c>
    </row>
    <row r="331" spans="1:16">
      <c r="A331">
        <v>330</v>
      </c>
      <c r="B331" s="1">
        <v>40558</v>
      </c>
      <c r="C331">
        <v>1</v>
      </c>
      <c r="D331">
        <v>0</v>
      </c>
      <c r="E331">
        <v>1</v>
      </c>
      <c r="F331">
        <v>5</v>
      </c>
      <c r="G331" t="b">
        <v>0</v>
      </c>
      <c r="H331">
        <v>6</v>
      </c>
      <c r="I331">
        <v>1</v>
      </c>
      <c r="J331">
        <v>0.16</v>
      </c>
      <c r="K331">
        <v>0.2273</v>
      </c>
      <c r="L331">
        <v>0.59</v>
      </c>
      <c r="M331">
        <v>0</v>
      </c>
      <c r="N331">
        <v>0</v>
      </c>
      <c r="O331">
        <v>1</v>
      </c>
      <c r="P331">
        <v>1</v>
      </c>
    </row>
    <row r="332" spans="1:16">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c r="A353">
        <v>352</v>
      </c>
      <c r="B353" s="1">
        <v>40559</v>
      </c>
      <c r="C353">
        <v>1</v>
      </c>
      <c r="D353">
        <v>0</v>
      </c>
      <c r="E353">
        <v>1</v>
      </c>
      <c r="F353">
        <v>3</v>
      </c>
      <c r="G353" t="b">
        <v>0</v>
      </c>
      <c r="H353">
        <v>0</v>
      </c>
      <c r="I353">
        <v>1</v>
      </c>
      <c r="J353">
        <v>0.22</v>
      </c>
      <c r="K353">
        <v>0.2727</v>
      </c>
      <c r="L353">
        <v>0.69</v>
      </c>
      <c r="M353">
        <v>0</v>
      </c>
      <c r="N353">
        <v>9</v>
      </c>
      <c r="O353">
        <v>6</v>
      </c>
      <c r="P353">
        <v>15</v>
      </c>
    </row>
    <row r="354" spans="1:16">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c r="A373">
        <v>372</v>
      </c>
      <c r="B373" s="1">
        <v>40559</v>
      </c>
      <c r="C373">
        <v>1</v>
      </c>
      <c r="D373">
        <v>0</v>
      </c>
      <c r="E373">
        <v>1</v>
      </c>
      <c r="F373">
        <v>23</v>
      </c>
      <c r="G373" t="b">
        <v>0</v>
      </c>
      <c r="H373">
        <v>0</v>
      </c>
      <c r="I373">
        <v>2</v>
      </c>
      <c r="J373">
        <v>0.2</v>
      </c>
      <c r="K373">
        <v>0.2273</v>
      </c>
      <c r="L373">
        <v>0.4</v>
      </c>
      <c r="M373">
        <v>0.1045</v>
      </c>
      <c r="N373">
        <v>0</v>
      </c>
      <c r="O373">
        <v>18</v>
      </c>
      <c r="P373">
        <v>18</v>
      </c>
    </row>
    <row r="374" spans="1:16">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c r="A405">
        <v>404</v>
      </c>
      <c r="B405" s="1">
        <v>40561</v>
      </c>
      <c r="C405">
        <v>1</v>
      </c>
      <c r="D405">
        <v>0</v>
      </c>
      <c r="E405">
        <v>1</v>
      </c>
      <c r="F405">
        <v>19</v>
      </c>
      <c r="G405" t="b">
        <v>0</v>
      </c>
      <c r="H405">
        <v>2</v>
      </c>
      <c r="I405">
        <v>2</v>
      </c>
      <c r="J405">
        <v>0.22</v>
      </c>
      <c r="K405">
        <v>0.2273</v>
      </c>
      <c r="L405">
        <v>0.8</v>
      </c>
      <c r="M405">
        <v>0.1343</v>
      </c>
      <c r="N405">
        <v>1</v>
      </c>
      <c r="O405">
        <v>98</v>
      </c>
      <c r="P405">
        <v>99</v>
      </c>
    </row>
    <row r="406" spans="1:16">
      <c r="A406">
        <v>405</v>
      </c>
      <c r="B406" s="1">
        <v>40561</v>
      </c>
      <c r="C406">
        <v>1</v>
      </c>
      <c r="D406">
        <v>0</v>
      </c>
      <c r="E406">
        <v>1</v>
      </c>
      <c r="F406">
        <v>20</v>
      </c>
      <c r="G406" t="b">
        <v>0</v>
      </c>
      <c r="H406">
        <v>2</v>
      </c>
      <c r="I406">
        <v>2</v>
      </c>
      <c r="J406">
        <v>0.22</v>
      </c>
      <c r="K406">
        <v>0.2727</v>
      </c>
      <c r="L406">
        <v>0.87</v>
      </c>
      <c r="M406">
        <v>0</v>
      </c>
      <c r="N406">
        <v>0</v>
      </c>
      <c r="O406">
        <v>83</v>
      </c>
      <c r="P406">
        <v>83</v>
      </c>
    </row>
    <row r="407" spans="1:16">
      <c r="A407">
        <v>406</v>
      </c>
      <c r="B407" s="1">
        <v>40561</v>
      </c>
      <c r="C407">
        <v>1</v>
      </c>
      <c r="D407">
        <v>0</v>
      </c>
      <c r="E407">
        <v>1</v>
      </c>
      <c r="F407">
        <v>21</v>
      </c>
      <c r="G407" t="b">
        <v>0</v>
      </c>
      <c r="H407">
        <v>2</v>
      </c>
      <c r="I407">
        <v>2</v>
      </c>
      <c r="J407">
        <v>0.22</v>
      </c>
      <c r="K407">
        <v>0.2424</v>
      </c>
      <c r="L407">
        <v>0.93</v>
      </c>
      <c r="M407">
        <v>0.1045</v>
      </c>
      <c r="N407">
        <v>0</v>
      </c>
      <c r="O407">
        <v>41</v>
      </c>
      <c r="P407">
        <v>41</v>
      </c>
    </row>
    <row r="408" spans="1:16">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c r="A409">
        <v>408</v>
      </c>
      <c r="B409" s="1">
        <v>40561</v>
      </c>
      <c r="C409">
        <v>1</v>
      </c>
      <c r="D409">
        <v>0</v>
      </c>
      <c r="E409">
        <v>1</v>
      </c>
      <c r="F409">
        <v>23</v>
      </c>
      <c r="G409" t="b">
        <v>0</v>
      </c>
      <c r="H409">
        <v>2</v>
      </c>
      <c r="I409">
        <v>2</v>
      </c>
      <c r="J409">
        <v>0.22</v>
      </c>
      <c r="K409">
        <v>0.2727</v>
      </c>
      <c r="L409">
        <v>0.93</v>
      </c>
      <c r="M409">
        <v>0</v>
      </c>
      <c r="N409">
        <v>1</v>
      </c>
      <c r="O409">
        <v>19</v>
      </c>
      <c r="P409">
        <v>20</v>
      </c>
    </row>
    <row r="410" spans="1:16">
      <c r="A410">
        <v>409</v>
      </c>
      <c r="B410" s="1">
        <v>40562</v>
      </c>
      <c r="C410">
        <v>1</v>
      </c>
      <c r="D410">
        <v>0</v>
      </c>
      <c r="E410">
        <v>1</v>
      </c>
      <c r="F410">
        <v>0</v>
      </c>
      <c r="G410" t="b">
        <v>0</v>
      </c>
      <c r="H410">
        <v>3</v>
      </c>
      <c r="I410">
        <v>2</v>
      </c>
      <c r="J410">
        <v>0.22</v>
      </c>
      <c r="K410">
        <v>0.2727</v>
      </c>
      <c r="L410">
        <v>0.93</v>
      </c>
      <c r="M410">
        <v>0</v>
      </c>
      <c r="N410">
        <v>0</v>
      </c>
      <c r="O410">
        <v>3</v>
      </c>
      <c r="P410">
        <v>3</v>
      </c>
    </row>
    <row r="411" spans="1:16">
      <c r="A411">
        <v>410</v>
      </c>
      <c r="B411" s="1">
        <v>40562</v>
      </c>
      <c r="C411">
        <v>1</v>
      </c>
      <c r="D411">
        <v>0</v>
      </c>
      <c r="E411">
        <v>1</v>
      </c>
      <c r="F411">
        <v>1</v>
      </c>
      <c r="G411" t="b">
        <v>0</v>
      </c>
      <c r="H411">
        <v>3</v>
      </c>
      <c r="I411">
        <v>3</v>
      </c>
      <c r="J411">
        <v>0.22</v>
      </c>
      <c r="K411">
        <v>0.2273</v>
      </c>
      <c r="L411">
        <v>0.93</v>
      </c>
      <c r="M411">
        <v>0.1343</v>
      </c>
      <c r="N411">
        <v>1</v>
      </c>
      <c r="O411">
        <v>6</v>
      </c>
      <c r="P411">
        <v>7</v>
      </c>
    </row>
    <row r="412" spans="1:16">
      <c r="A412">
        <v>411</v>
      </c>
      <c r="B412" s="1">
        <v>40562</v>
      </c>
      <c r="C412">
        <v>1</v>
      </c>
      <c r="D412">
        <v>0</v>
      </c>
      <c r="E412">
        <v>1</v>
      </c>
      <c r="F412">
        <v>2</v>
      </c>
      <c r="G412" t="b">
        <v>0</v>
      </c>
      <c r="H412">
        <v>3</v>
      </c>
      <c r="I412">
        <v>3</v>
      </c>
      <c r="J412">
        <v>0.22</v>
      </c>
      <c r="K412">
        <v>0.2273</v>
      </c>
      <c r="L412">
        <v>0.93</v>
      </c>
      <c r="M412">
        <v>0.1343</v>
      </c>
      <c r="N412">
        <v>0</v>
      </c>
      <c r="O412">
        <v>3</v>
      </c>
      <c r="P412">
        <v>3</v>
      </c>
    </row>
    <row r="413" spans="1:16">
      <c r="A413">
        <v>412</v>
      </c>
      <c r="B413" s="1">
        <v>40562</v>
      </c>
      <c r="C413">
        <v>1</v>
      </c>
      <c r="D413">
        <v>0</v>
      </c>
      <c r="E413">
        <v>1</v>
      </c>
      <c r="F413">
        <v>4</v>
      </c>
      <c r="G413" t="b">
        <v>0</v>
      </c>
      <c r="H413">
        <v>3</v>
      </c>
      <c r="I413">
        <v>3</v>
      </c>
      <c r="J413">
        <v>0.22</v>
      </c>
      <c r="K413">
        <v>0.2273</v>
      </c>
      <c r="L413">
        <v>0.93</v>
      </c>
      <c r="M413">
        <v>0.1343</v>
      </c>
      <c r="N413">
        <v>1</v>
      </c>
      <c r="O413">
        <v>1</v>
      </c>
      <c r="P413">
        <v>2</v>
      </c>
    </row>
    <row r="414" spans="1:16">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c r="A416">
        <v>415</v>
      </c>
      <c r="B416" s="1">
        <v>40562</v>
      </c>
      <c r="C416">
        <v>1</v>
      </c>
      <c r="D416">
        <v>0</v>
      </c>
      <c r="E416">
        <v>1</v>
      </c>
      <c r="F416">
        <v>7</v>
      </c>
      <c r="G416" t="b">
        <v>0</v>
      </c>
      <c r="H416">
        <v>3</v>
      </c>
      <c r="I416">
        <v>2</v>
      </c>
      <c r="J416">
        <v>0.24</v>
      </c>
      <c r="K416">
        <v>0.2576</v>
      </c>
      <c r="L416">
        <v>0.92</v>
      </c>
      <c r="M416">
        <v>0.1045</v>
      </c>
      <c r="N416">
        <v>1</v>
      </c>
      <c r="O416">
        <v>89</v>
      </c>
      <c r="P416">
        <v>90</v>
      </c>
    </row>
    <row r="417" spans="1:16">
      <c r="A417">
        <v>416</v>
      </c>
      <c r="B417" s="1">
        <v>40562</v>
      </c>
      <c r="C417">
        <v>1</v>
      </c>
      <c r="D417">
        <v>0</v>
      </c>
      <c r="E417">
        <v>1</v>
      </c>
      <c r="F417">
        <v>8</v>
      </c>
      <c r="G417" t="b">
        <v>0</v>
      </c>
      <c r="H417">
        <v>3</v>
      </c>
      <c r="I417">
        <v>2</v>
      </c>
      <c r="J417">
        <v>0.24</v>
      </c>
      <c r="K417">
        <v>0.2576</v>
      </c>
      <c r="L417">
        <v>0.93</v>
      </c>
      <c r="M417">
        <v>0.1045</v>
      </c>
      <c r="N417">
        <v>1</v>
      </c>
      <c r="O417">
        <v>196</v>
      </c>
      <c r="P417">
        <v>197</v>
      </c>
    </row>
    <row r="418" spans="1:16">
      <c r="A418">
        <v>417</v>
      </c>
      <c r="B418" s="1">
        <v>40562</v>
      </c>
      <c r="C418">
        <v>1</v>
      </c>
      <c r="D418">
        <v>0</v>
      </c>
      <c r="E418">
        <v>1</v>
      </c>
      <c r="F418">
        <v>9</v>
      </c>
      <c r="G418" t="b">
        <v>0</v>
      </c>
      <c r="H418">
        <v>3</v>
      </c>
      <c r="I418">
        <v>2</v>
      </c>
      <c r="J418">
        <v>0.24</v>
      </c>
      <c r="K418">
        <v>0.2576</v>
      </c>
      <c r="L418">
        <v>0.93</v>
      </c>
      <c r="M418">
        <v>0.1045</v>
      </c>
      <c r="N418">
        <v>2</v>
      </c>
      <c r="O418">
        <v>107</v>
      </c>
      <c r="P418">
        <v>109</v>
      </c>
    </row>
    <row r="419" spans="1:16">
      <c r="A419">
        <v>418</v>
      </c>
      <c r="B419" s="1">
        <v>40562</v>
      </c>
      <c r="C419">
        <v>1</v>
      </c>
      <c r="D419">
        <v>0</v>
      </c>
      <c r="E419">
        <v>1</v>
      </c>
      <c r="F419">
        <v>10</v>
      </c>
      <c r="G419" t="b">
        <v>0</v>
      </c>
      <c r="H419">
        <v>3</v>
      </c>
      <c r="I419">
        <v>2</v>
      </c>
      <c r="J419">
        <v>0.26</v>
      </c>
      <c r="K419">
        <v>0.2727</v>
      </c>
      <c r="L419">
        <v>0.93</v>
      </c>
      <c r="M419">
        <v>0.1343</v>
      </c>
      <c r="N419">
        <v>1</v>
      </c>
      <c r="O419">
        <v>46</v>
      </c>
      <c r="P419">
        <v>47</v>
      </c>
    </row>
    <row r="420" spans="1:16">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c r="A432">
        <v>431</v>
      </c>
      <c r="B432" s="1">
        <v>40562</v>
      </c>
      <c r="C432">
        <v>1</v>
      </c>
      <c r="D432">
        <v>0</v>
      </c>
      <c r="E432">
        <v>1</v>
      </c>
      <c r="F432">
        <v>23</v>
      </c>
      <c r="G432" t="b">
        <v>0</v>
      </c>
      <c r="H432">
        <v>3</v>
      </c>
      <c r="I432">
        <v>1</v>
      </c>
      <c r="J432">
        <v>0.3</v>
      </c>
      <c r="K432">
        <v>0.2727</v>
      </c>
      <c r="L432">
        <v>0.52</v>
      </c>
      <c r="M432">
        <v>0.4627</v>
      </c>
      <c r="N432">
        <v>1</v>
      </c>
      <c r="O432">
        <v>27</v>
      </c>
      <c r="P432">
        <v>28</v>
      </c>
    </row>
    <row r="433" spans="1:16">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c r="A482">
        <v>481</v>
      </c>
      <c r="B482" s="1">
        <v>40565</v>
      </c>
      <c r="C482">
        <v>1</v>
      </c>
      <c r="D482">
        <v>0</v>
      </c>
      <c r="E482">
        <v>1</v>
      </c>
      <c r="F482">
        <v>1</v>
      </c>
      <c r="G482" t="b">
        <v>0</v>
      </c>
      <c r="H482">
        <v>6</v>
      </c>
      <c r="I482">
        <v>2</v>
      </c>
      <c r="J482">
        <v>0.04</v>
      </c>
      <c r="K482">
        <v>0</v>
      </c>
      <c r="L482">
        <v>0.41</v>
      </c>
      <c r="M482">
        <v>0.3881</v>
      </c>
      <c r="N482">
        <v>3</v>
      </c>
      <c r="O482">
        <v>9</v>
      </c>
      <c r="P482">
        <v>12</v>
      </c>
    </row>
    <row r="483" spans="1:16">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c r="A492">
        <v>491</v>
      </c>
      <c r="B492" s="1">
        <v>40565</v>
      </c>
      <c r="C492">
        <v>1</v>
      </c>
      <c r="D492">
        <v>0</v>
      </c>
      <c r="E492">
        <v>1</v>
      </c>
      <c r="F492">
        <v>12</v>
      </c>
      <c r="G492" t="b">
        <v>0</v>
      </c>
      <c r="H492">
        <v>6</v>
      </c>
      <c r="I492">
        <v>2</v>
      </c>
      <c r="J492">
        <v>0.06</v>
      </c>
      <c r="K492">
        <v>0.1061</v>
      </c>
      <c r="L492">
        <v>0.38</v>
      </c>
      <c r="M492">
        <v>0.1045</v>
      </c>
      <c r="N492">
        <v>10</v>
      </c>
      <c r="O492">
        <v>60</v>
      </c>
      <c r="P492">
        <v>70</v>
      </c>
    </row>
    <row r="493" spans="1:16">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c r="A499">
        <v>498</v>
      </c>
      <c r="B499" s="1">
        <v>40565</v>
      </c>
      <c r="C499">
        <v>1</v>
      </c>
      <c r="D499">
        <v>0</v>
      </c>
      <c r="E499">
        <v>1</v>
      </c>
      <c r="F499">
        <v>19</v>
      </c>
      <c r="G499" t="b">
        <v>0</v>
      </c>
      <c r="H499">
        <v>6</v>
      </c>
      <c r="I499">
        <v>1</v>
      </c>
      <c r="J499">
        <v>0.08</v>
      </c>
      <c r="K499">
        <v>0.1061</v>
      </c>
      <c r="L499">
        <v>0.35</v>
      </c>
      <c r="M499">
        <v>0.1343</v>
      </c>
      <c r="N499">
        <v>6</v>
      </c>
      <c r="O499">
        <v>53</v>
      </c>
      <c r="P499">
        <v>59</v>
      </c>
    </row>
    <row r="500" spans="1:16">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c r="A502">
        <v>501</v>
      </c>
      <c r="B502" s="1">
        <v>40565</v>
      </c>
      <c r="C502">
        <v>1</v>
      </c>
      <c r="D502">
        <v>0</v>
      </c>
      <c r="E502">
        <v>1</v>
      </c>
      <c r="F502">
        <v>22</v>
      </c>
      <c r="G502" t="b">
        <v>0</v>
      </c>
      <c r="H502">
        <v>6</v>
      </c>
      <c r="I502">
        <v>1</v>
      </c>
      <c r="J502">
        <v>0.06</v>
      </c>
      <c r="K502">
        <v>0.1515</v>
      </c>
      <c r="L502">
        <v>0.49</v>
      </c>
      <c r="M502">
        <v>0</v>
      </c>
      <c r="N502">
        <v>7</v>
      </c>
      <c r="O502">
        <v>23</v>
      </c>
      <c r="P502">
        <v>30</v>
      </c>
    </row>
    <row r="503" spans="1:16">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c r="A515">
        <v>514</v>
      </c>
      <c r="B515" s="1">
        <v>40566</v>
      </c>
      <c r="C515">
        <v>1</v>
      </c>
      <c r="D515">
        <v>0</v>
      </c>
      <c r="E515">
        <v>1</v>
      </c>
      <c r="F515">
        <v>12</v>
      </c>
      <c r="G515" t="b">
        <v>0</v>
      </c>
      <c r="H515">
        <v>0</v>
      </c>
      <c r="I515">
        <v>1</v>
      </c>
      <c r="J515">
        <v>0.16</v>
      </c>
      <c r="K515">
        <v>0.1212</v>
      </c>
      <c r="L515">
        <v>0.37</v>
      </c>
      <c r="M515">
        <v>0.4627</v>
      </c>
      <c r="N515">
        <v>24</v>
      </c>
      <c r="O515">
        <v>92</v>
      </c>
      <c r="P515">
        <v>116</v>
      </c>
    </row>
    <row r="516" spans="1:16">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c r="A533">
        <v>532</v>
      </c>
      <c r="B533" s="1">
        <v>40567</v>
      </c>
      <c r="C533">
        <v>1</v>
      </c>
      <c r="D533">
        <v>0</v>
      </c>
      <c r="E533">
        <v>1</v>
      </c>
      <c r="F533">
        <v>7</v>
      </c>
      <c r="G533" t="b">
        <v>0</v>
      </c>
      <c r="H533">
        <v>1</v>
      </c>
      <c r="I533">
        <v>1</v>
      </c>
      <c r="J533">
        <v>0.02</v>
      </c>
      <c r="K533">
        <v>0.1212</v>
      </c>
      <c r="L533">
        <v>0.48</v>
      </c>
      <c r="M533">
        <v>0</v>
      </c>
      <c r="N533">
        <v>5</v>
      </c>
      <c r="O533">
        <v>79</v>
      </c>
      <c r="P533">
        <v>84</v>
      </c>
    </row>
    <row r="534" spans="1:16">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c r="A535">
        <v>534</v>
      </c>
      <c r="B535" s="1">
        <v>40567</v>
      </c>
      <c r="C535">
        <v>1</v>
      </c>
      <c r="D535">
        <v>0</v>
      </c>
      <c r="E535">
        <v>1</v>
      </c>
      <c r="F535">
        <v>9</v>
      </c>
      <c r="G535" t="b">
        <v>0</v>
      </c>
      <c r="H535">
        <v>1</v>
      </c>
      <c r="I535">
        <v>1</v>
      </c>
      <c r="J535">
        <v>0.06</v>
      </c>
      <c r="K535">
        <v>0.1515</v>
      </c>
      <c r="L535">
        <v>0.41</v>
      </c>
      <c r="M535">
        <v>0</v>
      </c>
      <c r="N535">
        <v>4</v>
      </c>
      <c r="O535">
        <v>98</v>
      </c>
      <c r="P535">
        <v>102</v>
      </c>
    </row>
    <row r="536" spans="1:16">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c r="A537">
        <v>536</v>
      </c>
      <c r="B537" s="1">
        <v>40567</v>
      </c>
      <c r="C537">
        <v>1</v>
      </c>
      <c r="D537">
        <v>0</v>
      </c>
      <c r="E537">
        <v>1</v>
      </c>
      <c r="F537">
        <v>11</v>
      </c>
      <c r="G537" t="b">
        <v>0</v>
      </c>
      <c r="H537">
        <v>1</v>
      </c>
      <c r="I537">
        <v>1</v>
      </c>
      <c r="J537">
        <v>0.1</v>
      </c>
      <c r="K537">
        <v>0.1212</v>
      </c>
      <c r="L537">
        <v>0.46</v>
      </c>
      <c r="M537">
        <v>0.1343</v>
      </c>
      <c r="N537">
        <v>3</v>
      </c>
      <c r="O537">
        <v>43</v>
      </c>
      <c r="P537">
        <v>46</v>
      </c>
    </row>
    <row r="538" spans="1:16">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c r="A559">
        <v>558</v>
      </c>
      <c r="B559" s="1">
        <v>40568</v>
      </c>
      <c r="C559">
        <v>1</v>
      </c>
      <c r="D559">
        <v>0</v>
      </c>
      <c r="E559">
        <v>1</v>
      </c>
      <c r="F559">
        <v>10</v>
      </c>
      <c r="G559" t="b">
        <v>0</v>
      </c>
      <c r="H559">
        <v>2</v>
      </c>
      <c r="I559">
        <v>2</v>
      </c>
      <c r="J559">
        <v>0.22</v>
      </c>
      <c r="K559">
        <v>0.2424</v>
      </c>
      <c r="L559">
        <v>0.6</v>
      </c>
      <c r="M559">
        <v>0.1045</v>
      </c>
      <c r="N559">
        <v>6</v>
      </c>
      <c r="O559">
        <v>49</v>
      </c>
      <c r="P559">
        <v>55</v>
      </c>
    </row>
    <row r="560" spans="1:16">
      <c r="A560">
        <v>559</v>
      </c>
      <c r="B560" s="1">
        <v>40568</v>
      </c>
      <c r="C560">
        <v>1</v>
      </c>
      <c r="D560">
        <v>0</v>
      </c>
      <c r="E560">
        <v>1</v>
      </c>
      <c r="F560">
        <v>11</v>
      </c>
      <c r="G560" t="b">
        <v>0</v>
      </c>
      <c r="H560">
        <v>2</v>
      </c>
      <c r="I560">
        <v>2</v>
      </c>
      <c r="J560">
        <v>0.24</v>
      </c>
      <c r="K560">
        <v>0.2424</v>
      </c>
      <c r="L560">
        <v>0.6</v>
      </c>
      <c r="M560">
        <v>0.1343</v>
      </c>
      <c r="N560">
        <v>6</v>
      </c>
      <c r="O560">
        <v>55</v>
      </c>
      <c r="P560">
        <v>61</v>
      </c>
    </row>
    <row r="561" spans="1:16">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c r="A573">
        <v>572</v>
      </c>
      <c r="B573" s="1">
        <v>40569</v>
      </c>
      <c r="C573">
        <v>1</v>
      </c>
      <c r="D573">
        <v>0</v>
      </c>
      <c r="E573">
        <v>1</v>
      </c>
      <c r="F573">
        <v>0</v>
      </c>
      <c r="G573" t="b">
        <v>0</v>
      </c>
      <c r="H573">
        <v>3</v>
      </c>
      <c r="I573">
        <v>2</v>
      </c>
      <c r="J573">
        <v>0.22</v>
      </c>
      <c r="K573">
        <v>0.2273</v>
      </c>
      <c r="L573">
        <v>0.69</v>
      </c>
      <c r="M573">
        <v>0.1343</v>
      </c>
      <c r="N573">
        <v>3</v>
      </c>
      <c r="O573">
        <v>14</v>
      </c>
      <c r="P573">
        <v>17</v>
      </c>
    </row>
    <row r="574" spans="1:16">
      <c r="A574">
        <v>573</v>
      </c>
      <c r="B574" s="1">
        <v>40569</v>
      </c>
      <c r="C574">
        <v>1</v>
      </c>
      <c r="D574">
        <v>0</v>
      </c>
      <c r="E574">
        <v>1</v>
      </c>
      <c r="F574">
        <v>1</v>
      </c>
      <c r="G574" t="b">
        <v>0</v>
      </c>
      <c r="H574">
        <v>3</v>
      </c>
      <c r="I574">
        <v>2</v>
      </c>
      <c r="J574">
        <v>0.24</v>
      </c>
      <c r="K574">
        <v>0.2424</v>
      </c>
      <c r="L574">
        <v>0.65</v>
      </c>
      <c r="M574">
        <v>0.1343</v>
      </c>
      <c r="N574">
        <v>0</v>
      </c>
      <c r="O574">
        <v>5</v>
      </c>
      <c r="P574">
        <v>5</v>
      </c>
    </row>
    <row r="575" spans="1:16">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c r="A600">
        <v>599</v>
      </c>
      <c r="B600" s="1">
        <v>40571</v>
      </c>
      <c r="C600">
        <v>1</v>
      </c>
      <c r="D600">
        <v>0</v>
      </c>
      <c r="E600">
        <v>1</v>
      </c>
      <c r="F600">
        <v>3</v>
      </c>
      <c r="G600" t="b">
        <v>0</v>
      </c>
      <c r="H600">
        <v>5</v>
      </c>
      <c r="I600">
        <v>2</v>
      </c>
      <c r="J600">
        <v>0.2</v>
      </c>
      <c r="K600">
        <v>0.2273</v>
      </c>
      <c r="L600">
        <v>0.75</v>
      </c>
      <c r="M600">
        <v>0.1045</v>
      </c>
      <c r="N600">
        <v>1</v>
      </c>
      <c r="O600">
        <v>0</v>
      </c>
      <c r="P600">
        <v>1</v>
      </c>
    </row>
    <row r="601" spans="1:16">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c r="A610">
        <v>609</v>
      </c>
      <c r="B610" s="1">
        <v>40571</v>
      </c>
      <c r="C610">
        <v>1</v>
      </c>
      <c r="D610">
        <v>0</v>
      </c>
      <c r="E610">
        <v>1</v>
      </c>
      <c r="F610">
        <v>14</v>
      </c>
      <c r="G610" t="b">
        <v>0</v>
      </c>
      <c r="H610">
        <v>5</v>
      </c>
      <c r="I610">
        <v>3</v>
      </c>
      <c r="J610">
        <v>0.22</v>
      </c>
      <c r="K610">
        <v>0.2727</v>
      </c>
      <c r="L610">
        <v>0.8</v>
      </c>
      <c r="M610">
        <v>0</v>
      </c>
      <c r="N610">
        <v>2</v>
      </c>
      <c r="O610">
        <v>36</v>
      </c>
      <c r="P610">
        <v>38</v>
      </c>
    </row>
    <row r="611" spans="1:16">
      <c r="A611">
        <v>610</v>
      </c>
      <c r="B611" s="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55706-E4E6-4C61-9556-CE42DC296605}">
  <dimension ref="A1:P391"/>
  <sheetViews>
    <sheetView topLeftCell="A383" workbookViewId="0">
      <selection activeCell="N389" sqref="N389"/>
    </sheetView>
  </sheetViews>
  <sheetFormatPr defaultRowHeight="14.4"/>
  <cols>
    <col min="1" max="1" width="8.33203125" customWidth="1"/>
    <col min="2" max="2" width="10.109375" bestFit="1" customWidth="1"/>
    <col min="3" max="3" width="8.33203125" customWidth="1"/>
    <col min="4" max="4" width="4.44140625" customWidth="1"/>
    <col min="5" max="5" width="7.109375" customWidth="1"/>
    <col min="6" max="6" width="4.5546875" customWidth="1"/>
    <col min="7" max="7" width="8.5546875" customWidth="1"/>
    <col min="8" max="8" width="10" customWidth="1"/>
    <col min="9" max="9" width="11.44140625" customWidth="1"/>
    <col min="10" max="10" width="7.109375" customWidth="1"/>
    <col min="11" max="11" width="8" customWidth="1"/>
    <col min="12" max="12" width="6.44140625" customWidth="1"/>
    <col min="13" max="13" width="11.5546875" customWidth="1"/>
    <col min="14" max="14" width="7.6640625" customWidth="1"/>
    <col min="15" max="15" width="11" customWidth="1"/>
    <col min="16" max="16" width="5.33203125" customWidth="1"/>
  </cols>
  <sheetData>
    <row r="1" spans="1:16">
      <c r="A1" s="23" t="s">
        <v>1</v>
      </c>
      <c r="B1" s="23" t="s">
        <v>40</v>
      </c>
      <c r="C1" s="23" t="s">
        <v>41</v>
      </c>
      <c r="D1" s="23" t="s">
        <v>42</v>
      </c>
      <c r="E1" s="23" t="s">
        <v>43</v>
      </c>
      <c r="F1" s="23" t="s">
        <v>44</v>
      </c>
      <c r="G1" s="23" t="s">
        <v>45</v>
      </c>
      <c r="H1" s="23" t="s">
        <v>46</v>
      </c>
      <c r="I1" s="23" t="s">
        <v>47</v>
      </c>
      <c r="J1" s="23" t="s">
        <v>48</v>
      </c>
      <c r="K1" s="23" t="s">
        <v>2</v>
      </c>
      <c r="L1" s="23" t="s">
        <v>3</v>
      </c>
      <c r="M1" s="23" t="s">
        <v>4</v>
      </c>
      <c r="N1" s="23" t="s">
        <v>5</v>
      </c>
      <c r="O1" s="23" t="s">
        <v>6</v>
      </c>
      <c r="P1" s="23" t="s">
        <v>7</v>
      </c>
    </row>
    <row r="2" spans="1:16">
      <c r="A2" s="23">
        <v>611</v>
      </c>
      <c r="B2" s="24">
        <v>40571</v>
      </c>
      <c r="C2" s="23">
        <v>1</v>
      </c>
      <c r="D2" s="23">
        <v>0</v>
      </c>
      <c r="E2" s="23">
        <v>1</v>
      </c>
      <c r="F2" s="23">
        <v>16</v>
      </c>
      <c r="G2" s="23" t="b">
        <v>0</v>
      </c>
      <c r="H2" s="23">
        <v>5</v>
      </c>
      <c r="I2" s="23">
        <v>1</v>
      </c>
      <c r="J2" s="23">
        <v>0.22</v>
      </c>
      <c r="K2" s="23">
        <v>0.2727</v>
      </c>
      <c r="L2" s="23">
        <v>0.8</v>
      </c>
      <c r="M2" s="23">
        <v>0</v>
      </c>
      <c r="N2" s="23">
        <v>10</v>
      </c>
      <c r="O2" s="23">
        <v>70</v>
      </c>
      <c r="P2" s="23">
        <v>80</v>
      </c>
    </row>
    <row r="3" spans="1:16">
      <c r="A3" s="23">
        <v>612</v>
      </c>
      <c r="B3" s="24">
        <v>40571</v>
      </c>
      <c r="C3" s="23">
        <v>1</v>
      </c>
      <c r="D3" s="23">
        <v>0</v>
      </c>
      <c r="E3" s="23">
        <v>1</v>
      </c>
      <c r="F3" s="23">
        <v>17</v>
      </c>
      <c r="G3" s="23" t="b">
        <v>0</v>
      </c>
      <c r="H3" s="23">
        <v>5</v>
      </c>
      <c r="I3" s="23">
        <v>1</v>
      </c>
      <c r="J3" s="23">
        <v>0.24</v>
      </c>
      <c r="K3" s="23">
        <v>0.2424</v>
      </c>
      <c r="L3" s="23">
        <v>0.75</v>
      </c>
      <c r="M3" s="23">
        <v>0.1343</v>
      </c>
      <c r="N3" s="23">
        <v>2</v>
      </c>
      <c r="O3" s="23">
        <v>147</v>
      </c>
      <c r="P3" s="23">
        <v>149</v>
      </c>
    </row>
    <row r="4" spans="1:16">
      <c r="A4" s="23">
        <v>613</v>
      </c>
      <c r="B4" s="24">
        <v>40571</v>
      </c>
      <c r="C4" s="23">
        <v>1</v>
      </c>
      <c r="D4" s="23">
        <v>0</v>
      </c>
      <c r="E4" s="23">
        <v>1</v>
      </c>
      <c r="F4" s="23">
        <v>18</v>
      </c>
      <c r="G4" s="23" t="b">
        <v>0</v>
      </c>
      <c r="H4" s="23">
        <v>5</v>
      </c>
      <c r="I4" s="23">
        <v>1</v>
      </c>
      <c r="J4" s="23">
        <v>0.24</v>
      </c>
      <c r="K4" s="23">
        <v>0.2273</v>
      </c>
      <c r="L4" s="23">
        <v>0.75</v>
      </c>
      <c r="M4" s="23">
        <v>0.19400000000000001</v>
      </c>
      <c r="N4" s="23">
        <v>2</v>
      </c>
      <c r="O4" s="23">
        <v>107</v>
      </c>
      <c r="P4" s="23">
        <v>109</v>
      </c>
    </row>
    <row r="5" spans="1:16">
      <c r="A5" s="23">
        <v>614</v>
      </c>
      <c r="B5" s="24">
        <v>40571</v>
      </c>
      <c r="C5" s="23">
        <v>1</v>
      </c>
      <c r="D5" s="23">
        <v>0</v>
      </c>
      <c r="E5" s="23">
        <v>1</v>
      </c>
      <c r="F5" s="23">
        <v>19</v>
      </c>
      <c r="G5" s="23" t="b">
        <v>0</v>
      </c>
      <c r="H5" s="23">
        <v>5</v>
      </c>
      <c r="I5" s="23">
        <v>2</v>
      </c>
      <c r="J5" s="23">
        <v>0.24</v>
      </c>
      <c r="K5" s="23">
        <v>0.2424</v>
      </c>
      <c r="L5" s="23">
        <v>0.75</v>
      </c>
      <c r="M5" s="23">
        <v>0.1343</v>
      </c>
      <c r="N5" s="23">
        <v>5</v>
      </c>
      <c r="O5" s="23">
        <v>84</v>
      </c>
      <c r="P5" s="23">
        <v>89</v>
      </c>
    </row>
    <row r="6" spans="1:16">
      <c r="A6" s="23">
        <v>615</v>
      </c>
      <c r="B6" s="24">
        <v>40571</v>
      </c>
      <c r="C6" s="23">
        <v>1</v>
      </c>
      <c r="D6" s="23">
        <v>0</v>
      </c>
      <c r="E6" s="23">
        <v>1</v>
      </c>
      <c r="F6" s="23">
        <v>20</v>
      </c>
      <c r="G6" s="23" t="b">
        <v>0</v>
      </c>
      <c r="H6" s="23">
        <v>5</v>
      </c>
      <c r="I6" s="23">
        <v>2</v>
      </c>
      <c r="J6" s="23">
        <v>0.24</v>
      </c>
      <c r="K6" s="23">
        <v>0.2273</v>
      </c>
      <c r="L6" s="23">
        <v>0.7</v>
      </c>
      <c r="M6" s="23">
        <v>0.19400000000000001</v>
      </c>
      <c r="N6" s="23">
        <v>1</v>
      </c>
      <c r="O6" s="23">
        <v>61</v>
      </c>
      <c r="P6" s="23">
        <v>62</v>
      </c>
    </row>
    <row r="7" spans="1:16">
      <c r="A7" s="23">
        <v>616</v>
      </c>
      <c r="B7" s="24">
        <v>40571</v>
      </c>
      <c r="C7" s="23">
        <v>1</v>
      </c>
      <c r="D7" s="23">
        <v>0</v>
      </c>
      <c r="E7" s="23">
        <v>1</v>
      </c>
      <c r="F7" s="23">
        <v>21</v>
      </c>
      <c r="G7" s="23" t="b">
        <v>0</v>
      </c>
      <c r="H7" s="23">
        <v>5</v>
      </c>
      <c r="I7" s="23">
        <v>2</v>
      </c>
      <c r="J7" s="23">
        <v>0.22</v>
      </c>
      <c r="K7" s="23">
        <v>0.2273</v>
      </c>
      <c r="L7" s="23">
        <v>0.75</v>
      </c>
      <c r="M7" s="23">
        <v>0.1343</v>
      </c>
      <c r="N7" s="23">
        <v>1</v>
      </c>
      <c r="O7" s="23">
        <v>57</v>
      </c>
      <c r="P7" s="23">
        <v>58</v>
      </c>
    </row>
    <row r="8" spans="1:16">
      <c r="A8" s="23">
        <v>617</v>
      </c>
      <c r="B8" s="24">
        <v>40571</v>
      </c>
      <c r="C8" s="23">
        <v>1</v>
      </c>
      <c r="D8" s="23">
        <v>0</v>
      </c>
      <c r="E8" s="23">
        <v>1</v>
      </c>
      <c r="F8" s="23">
        <v>22</v>
      </c>
      <c r="G8" s="23" t="b">
        <v>0</v>
      </c>
      <c r="H8" s="23">
        <v>5</v>
      </c>
      <c r="I8" s="23">
        <v>1</v>
      </c>
      <c r="J8" s="23">
        <v>0.24</v>
      </c>
      <c r="K8" s="23">
        <v>0.21210000000000001</v>
      </c>
      <c r="L8" s="23">
        <v>0.65</v>
      </c>
      <c r="M8" s="23">
        <v>0.35820000000000002</v>
      </c>
      <c r="N8" s="23">
        <v>0</v>
      </c>
      <c r="O8" s="23">
        <v>26</v>
      </c>
      <c r="P8" s="23">
        <v>26</v>
      </c>
    </row>
    <row r="9" spans="1:16">
      <c r="A9" s="23">
        <v>618</v>
      </c>
      <c r="B9" s="24">
        <v>40571</v>
      </c>
      <c r="C9" s="23">
        <v>1</v>
      </c>
      <c r="D9" s="23">
        <v>0</v>
      </c>
      <c r="E9" s="23">
        <v>1</v>
      </c>
      <c r="F9" s="23">
        <v>23</v>
      </c>
      <c r="G9" s="23" t="b">
        <v>0</v>
      </c>
      <c r="H9" s="23">
        <v>5</v>
      </c>
      <c r="I9" s="23">
        <v>1</v>
      </c>
      <c r="J9" s="23">
        <v>0.24</v>
      </c>
      <c r="K9" s="23">
        <v>0.2273</v>
      </c>
      <c r="L9" s="23">
        <v>0.6</v>
      </c>
      <c r="M9" s="23">
        <v>0.22389999999999999</v>
      </c>
      <c r="N9" s="23">
        <v>1</v>
      </c>
      <c r="O9" s="23">
        <v>22</v>
      </c>
      <c r="P9" s="23">
        <v>23</v>
      </c>
    </row>
    <row r="10" spans="1:16">
      <c r="A10" s="23">
        <v>619</v>
      </c>
      <c r="B10" s="24">
        <v>40572</v>
      </c>
      <c r="C10" s="23">
        <v>1</v>
      </c>
      <c r="D10" s="23">
        <v>0</v>
      </c>
      <c r="E10" s="23">
        <v>1</v>
      </c>
      <c r="F10" s="23">
        <v>0</v>
      </c>
      <c r="G10" s="23" t="b">
        <v>0</v>
      </c>
      <c r="H10" s="23">
        <v>6</v>
      </c>
      <c r="I10" s="23">
        <v>1</v>
      </c>
      <c r="J10" s="23">
        <v>0.22</v>
      </c>
      <c r="K10" s="23">
        <v>0.19700000000000001</v>
      </c>
      <c r="L10" s="23">
        <v>0.64</v>
      </c>
      <c r="M10" s="23">
        <v>0.35820000000000002</v>
      </c>
      <c r="N10" s="23">
        <v>2</v>
      </c>
      <c r="O10" s="23">
        <v>26</v>
      </c>
      <c r="P10" s="23">
        <v>28</v>
      </c>
    </row>
    <row r="11" spans="1:16">
      <c r="A11" s="23">
        <v>620</v>
      </c>
      <c r="B11" s="24">
        <v>40572</v>
      </c>
      <c r="C11" s="23">
        <v>1</v>
      </c>
      <c r="D11" s="23">
        <v>0</v>
      </c>
      <c r="E11" s="23">
        <v>1</v>
      </c>
      <c r="F11" s="23">
        <v>1</v>
      </c>
      <c r="G11" s="23" t="b">
        <v>0</v>
      </c>
      <c r="H11" s="23">
        <v>6</v>
      </c>
      <c r="I11" s="23">
        <v>1</v>
      </c>
      <c r="J11" s="23">
        <v>0.22</v>
      </c>
      <c r="K11" s="23">
        <v>0.2273</v>
      </c>
      <c r="L11" s="23">
        <v>0.64</v>
      </c>
      <c r="M11" s="23">
        <v>0.19400000000000001</v>
      </c>
      <c r="N11" s="23">
        <v>0</v>
      </c>
      <c r="O11" s="23">
        <v>20</v>
      </c>
      <c r="P11" s="23">
        <v>20</v>
      </c>
    </row>
    <row r="12" spans="1:16">
      <c r="A12" s="23">
        <v>621</v>
      </c>
      <c r="B12" s="24">
        <v>40572</v>
      </c>
      <c r="C12" s="23">
        <v>1</v>
      </c>
      <c r="D12" s="23">
        <v>0</v>
      </c>
      <c r="E12" s="23">
        <v>1</v>
      </c>
      <c r="F12" s="23">
        <v>2</v>
      </c>
      <c r="G12" s="23" t="b">
        <v>0</v>
      </c>
      <c r="H12" s="23">
        <v>6</v>
      </c>
      <c r="I12" s="23">
        <v>1</v>
      </c>
      <c r="J12" s="23">
        <v>0.22</v>
      </c>
      <c r="K12" s="23">
        <v>0.2273</v>
      </c>
      <c r="L12" s="23">
        <v>0.64</v>
      </c>
      <c r="M12" s="23">
        <v>0.16420000000000001</v>
      </c>
      <c r="N12" s="23">
        <v>0</v>
      </c>
      <c r="O12" s="23">
        <v>15</v>
      </c>
      <c r="P12" s="23">
        <v>15</v>
      </c>
    </row>
    <row r="13" spans="1:16">
      <c r="A13" s="23">
        <v>622</v>
      </c>
      <c r="B13" s="24">
        <v>40572</v>
      </c>
      <c r="C13" s="23">
        <v>1</v>
      </c>
      <c r="D13" s="23">
        <v>0</v>
      </c>
      <c r="E13" s="23">
        <v>1</v>
      </c>
      <c r="F13" s="23">
        <v>3</v>
      </c>
      <c r="G13" s="23" t="b">
        <v>0</v>
      </c>
      <c r="H13" s="23">
        <v>6</v>
      </c>
      <c r="I13" s="23">
        <v>1</v>
      </c>
      <c r="J13" s="23">
        <v>0.2</v>
      </c>
      <c r="K13" s="23">
        <v>0.21210000000000001</v>
      </c>
      <c r="L13" s="23">
        <v>0.64</v>
      </c>
      <c r="M13" s="23">
        <v>0.1343</v>
      </c>
      <c r="N13" s="23">
        <v>3</v>
      </c>
      <c r="O13" s="23">
        <v>5</v>
      </c>
      <c r="P13" s="23">
        <v>8</v>
      </c>
    </row>
    <row r="14" spans="1:16">
      <c r="A14" s="23">
        <v>623</v>
      </c>
      <c r="B14" s="24">
        <v>40572</v>
      </c>
      <c r="C14" s="23">
        <v>1</v>
      </c>
      <c r="D14" s="23">
        <v>0</v>
      </c>
      <c r="E14" s="23">
        <v>1</v>
      </c>
      <c r="F14" s="23">
        <v>4</v>
      </c>
      <c r="G14" s="23" t="b">
        <v>0</v>
      </c>
      <c r="H14" s="23">
        <v>6</v>
      </c>
      <c r="I14" s="23">
        <v>1</v>
      </c>
      <c r="J14" s="23">
        <v>0.16</v>
      </c>
      <c r="K14" s="23">
        <v>0.18179999999999999</v>
      </c>
      <c r="L14" s="23">
        <v>0.69</v>
      </c>
      <c r="M14" s="23">
        <v>0.1045</v>
      </c>
      <c r="N14" s="23">
        <v>1</v>
      </c>
      <c r="O14" s="23">
        <v>2</v>
      </c>
      <c r="P14" s="23">
        <v>3</v>
      </c>
    </row>
    <row r="15" spans="1:16">
      <c r="A15" s="23">
        <v>624</v>
      </c>
      <c r="B15" s="24">
        <v>40572</v>
      </c>
      <c r="C15" s="23">
        <v>1</v>
      </c>
      <c r="D15" s="23">
        <v>0</v>
      </c>
      <c r="E15" s="23">
        <v>1</v>
      </c>
      <c r="F15" s="23">
        <v>6</v>
      </c>
      <c r="G15" s="23" t="b">
        <v>0</v>
      </c>
      <c r="H15" s="23">
        <v>6</v>
      </c>
      <c r="I15" s="23">
        <v>1</v>
      </c>
      <c r="J15" s="23">
        <v>0.16</v>
      </c>
      <c r="K15" s="23">
        <v>0.18179999999999999</v>
      </c>
      <c r="L15" s="23">
        <v>0.64</v>
      </c>
      <c r="M15" s="23">
        <v>0.1343</v>
      </c>
      <c r="N15" s="23">
        <v>0</v>
      </c>
      <c r="O15" s="23">
        <v>2</v>
      </c>
      <c r="P15" s="23">
        <v>2</v>
      </c>
    </row>
    <row r="16" spans="1:16">
      <c r="A16" s="23">
        <v>625</v>
      </c>
      <c r="B16" s="24">
        <v>40572</v>
      </c>
      <c r="C16" s="23">
        <v>1</v>
      </c>
      <c r="D16" s="23">
        <v>0</v>
      </c>
      <c r="E16" s="23">
        <v>1</v>
      </c>
      <c r="F16" s="23">
        <v>7</v>
      </c>
      <c r="G16" s="23" t="b">
        <v>0</v>
      </c>
      <c r="H16" s="23">
        <v>6</v>
      </c>
      <c r="I16" s="23">
        <v>1</v>
      </c>
      <c r="J16" s="23">
        <v>0.16</v>
      </c>
      <c r="K16" s="23">
        <v>0.18179999999999999</v>
      </c>
      <c r="L16" s="23">
        <v>0.59</v>
      </c>
      <c r="M16" s="23">
        <v>0.1045</v>
      </c>
      <c r="N16" s="23">
        <v>1</v>
      </c>
      <c r="O16" s="23">
        <v>4</v>
      </c>
      <c r="P16" s="23">
        <v>5</v>
      </c>
    </row>
    <row r="17" spans="1:16">
      <c r="A17" s="23">
        <v>626</v>
      </c>
      <c r="B17" s="24">
        <v>40572</v>
      </c>
      <c r="C17" s="23">
        <v>1</v>
      </c>
      <c r="D17" s="23">
        <v>0</v>
      </c>
      <c r="E17" s="23">
        <v>1</v>
      </c>
      <c r="F17" s="23">
        <v>8</v>
      </c>
      <c r="G17" s="23" t="b">
        <v>0</v>
      </c>
      <c r="H17" s="23">
        <v>6</v>
      </c>
      <c r="I17" s="23">
        <v>1</v>
      </c>
      <c r="J17" s="23">
        <v>0.18</v>
      </c>
      <c r="K17" s="23">
        <v>0.19700000000000001</v>
      </c>
      <c r="L17" s="23">
        <v>0.55000000000000004</v>
      </c>
      <c r="M17" s="23">
        <v>0.16420000000000001</v>
      </c>
      <c r="N17" s="23">
        <v>3</v>
      </c>
      <c r="O17" s="23">
        <v>31</v>
      </c>
      <c r="P17" s="23">
        <v>34</v>
      </c>
    </row>
    <row r="18" spans="1:16">
      <c r="A18" s="23">
        <v>627</v>
      </c>
      <c r="B18" s="24">
        <v>40572</v>
      </c>
      <c r="C18" s="23">
        <v>1</v>
      </c>
      <c r="D18" s="23">
        <v>0</v>
      </c>
      <c r="E18" s="23">
        <v>1</v>
      </c>
      <c r="F18" s="23">
        <v>9</v>
      </c>
      <c r="G18" s="23" t="b">
        <v>0</v>
      </c>
      <c r="H18" s="23">
        <v>6</v>
      </c>
      <c r="I18" s="23">
        <v>1</v>
      </c>
      <c r="J18" s="23">
        <v>0.18</v>
      </c>
      <c r="K18" s="23">
        <v>0.21210000000000001</v>
      </c>
      <c r="L18" s="23">
        <v>0.59</v>
      </c>
      <c r="M18" s="23">
        <v>8.9599999999999999E-2</v>
      </c>
      <c r="N18" s="23">
        <v>0</v>
      </c>
      <c r="O18" s="23">
        <v>34</v>
      </c>
      <c r="P18" s="23">
        <v>34</v>
      </c>
    </row>
    <row r="19" spans="1:16">
      <c r="A19" s="23">
        <v>628</v>
      </c>
      <c r="B19" s="24">
        <v>40572</v>
      </c>
      <c r="C19" s="23">
        <v>1</v>
      </c>
      <c r="D19" s="23">
        <v>0</v>
      </c>
      <c r="E19" s="23">
        <v>1</v>
      </c>
      <c r="F19" s="23">
        <v>10</v>
      </c>
      <c r="G19" s="23" t="b">
        <v>0</v>
      </c>
      <c r="H19" s="23">
        <v>6</v>
      </c>
      <c r="I19" s="23">
        <v>2</v>
      </c>
      <c r="J19" s="23">
        <v>0.18</v>
      </c>
      <c r="K19" s="23">
        <v>0.21210000000000001</v>
      </c>
      <c r="L19" s="23">
        <v>0.64</v>
      </c>
      <c r="M19" s="23">
        <v>0.1045</v>
      </c>
      <c r="N19" s="23">
        <v>4</v>
      </c>
      <c r="O19" s="23">
        <v>51</v>
      </c>
      <c r="P19" s="23">
        <v>55</v>
      </c>
    </row>
    <row r="20" spans="1:16">
      <c r="A20" s="23">
        <v>629</v>
      </c>
      <c r="B20" s="24">
        <v>40572</v>
      </c>
      <c r="C20" s="23">
        <v>1</v>
      </c>
      <c r="D20" s="23">
        <v>0</v>
      </c>
      <c r="E20" s="23">
        <v>1</v>
      </c>
      <c r="F20" s="23">
        <v>11</v>
      </c>
      <c r="G20" s="23" t="b">
        <v>0</v>
      </c>
      <c r="H20" s="23">
        <v>6</v>
      </c>
      <c r="I20" s="23">
        <v>2</v>
      </c>
      <c r="J20" s="23">
        <v>0.18</v>
      </c>
      <c r="K20" s="23">
        <v>0.19700000000000001</v>
      </c>
      <c r="L20" s="23">
        <v>0.64</v>
      </c>
      <c r="M20" s="23">
        <v>0.1343</v>
      </c>
      <c r="N20" s="23">
        <v>4</v>
      </c>
      <c r="O20" s="23">
        <v>60</v>
      </c>
      <c r="P20" s="23">
        <v>64</v>
      </c>
    </row>
    <row r="21" spans="1:16">
      <c r="A21" s="23">
        <v>630</v>
      </c>
      <c r="B21" s="24">
        <v>40572</v>
      </c>
      <c r="C21" s="23">
        <v>1</v>
      </c>
      <c r="D21" s="23">
        <v>0</v>
      </c>
      <c r="E21" s="23">
        <v>1</v>
      </c>
      <c r="F21" s="23">
        <v>12</v>
      </c>
      <c r="G21" s="23" t="b">
        <v>0</v>
      </c>
      <c r="H21" s="23">
        <v>6</v>
      </c>
      <c r="I21" s="23">
        <v>2</v>
      </c>
      <c r="J21" s="23">
        <v>0.2</v>
      </c>
      <c r="K21" s="23">
        <v>0.19700000000000001</v>
      </c>
      <c r="L21" s="23">
        <v>0.59</v>
      </c>
      <c r="M21" s="23">
        <v>0.19400000000000001</v>
      </c>
      <c r="N21" s="23">
        <v>12</v>
      </c>
      <c r="O21" s="23">
        <v>66</v>
      </c>
      <c r="P21" s="23">
        <v>78</v>
      </c>
    </row>
    <row r="22" spans="1:16">
      <c r="A22" s="23">
        <v>631</v>
      </c>
      <c r="B22" s="24">
        <v>40572</v>
      </c>
      <c r="C22" s="23">
        <v>1</v>
      </c>
      <c r="D22" s="23">
        <v>0</v>
      </c>
      <c r="E22" s="23">
        <v>1</v>
      </c>
      <c r="F22" s="23">
        <v>13</v>
      </c>
      <c r="G22" s="23" t="b">
        <v>0</v>
      </c>
      <c r="H22" s="23">
        <v>6</v>
      </c>
      <c r="I22" s="23">
        <v>2</v>
      </c>
      <c r="J22" s="23">
        <v>0.22</v>
      </c>
      <c r="K22" s="23">
        <v>0.2273</v>
      </c>
      <c r="L22" s="23">
        <v>0.55000000000000004</v>
      </c>
      <c r="M22" s="23">
        <v>0.16420000000000001</v>
      </c>
      <c r="N22" s="23">
        <v>9</v>
      </c>
      <c r="O22" s="23">
        <v>56</v>
      </c>
      <c r="P22" s="23">
        <v>65</v>
      </c>
    </row>
    <row r="23" spans="1:16">
      <c r="A23" s="23">
        <v>632</v>
      </c>
      <c r="B23" s="24">
        <v>40572</v>
      </c>
      <c r="C23" s="23">
        <v>1</v>
      </c>
      <c r="D23" s="23">
        <v>0</v>
      </c>
      <c r="E23" s="23">
        <v>1</v>
      </c>
      <c r="F23" s="23">
        <v>14</v>
      </c>
      <c r="G23" s="23" t="b">
        <v>0</v>
      </c>
      <c r="H23" s="23">
        <v>6</v>
      </c>
      <c r="I23" s="23">
        <v>2</v>
      </c>
      <c r="J23" s="23">
        <v>0.22</v>
      </c>
      <c r="K23" s="23">
        <v>0.2273</v>
      </c>
      <c r="L23" s="23">
        <v>0.6</v>
      </c>
      <c r="M23" s="23">
        <v>0.1343</v>
      </c>
      <c r="N23" s="23">
        <v>10</v>
      </c>
      <c r="O23" s="23">
        <v>89</v>
      </c>
      <c r="P23" s="23">
        <v>99</v>
      </c>
    </row>
    <row r="24" spans="1:16">
      <c r="A24" s="23">
        <v>633</v>
      </c>
      <c r="B24" s="24">
        <v>40572</v>
      </c>
      <c r="C24" s="23">
        <v>1</v>
      </c>
      <c r="D24" s="23">
        <v>0</v>
      </c>
      <c r="E24" s="23">
        <v>1</v>
      </c>
      <c r="F24" s="23">
        <v>15</v>
      </c>
      <c r="G24" s="23" t="b">
        <v>0</v>
      </c>
      <c r="H24" s="23">
        <v>6</v>
      </c>
      <c r="I24" s="23">
        <v>1</v>
      </c>
      <c r="J24" s="23">
        <v>0.22</v>
      </c>
      <c r="K24" s="23">
        <v>0.21210000000000001</v>
      </c>
      <c r="L24" s="23">
        <v>0.69</v>
      </c>
      <c r="M24" s="23">
        <v>0.25369999999999998</v>
      </c>
      <c r="N24" s="23">
        <v>22</v>
      </c>
      <c r="O24" s="23">
        <v>98</v>
      </c>
      <c r="P24" s="23">
        <v>120</v>
      </c>
    </row>
    <row r="25" spans="1:16">
      <c r="A25" s="23">
        <v>634</v>
      </c>
      <c r="B25" s="24">
        <v>40572</v>
      </c>
      <c r="C25" s="23">
        <v>1</v>
      </c>
      <c r="D25" s="23">
        <v>0</v>
      </c>
      <c r="E25" s="23">
        <v>1</v>
      </c>
      <c r="F25" s="23">
        <v>16</v>
      </c>
      <c r="G25" s="23" t="b">
        <v>0</v>
      </c>
      <c r="H25" s="23">
        <v>6</v>
      </c>
      <c r="I25" s="23">
        <v>1</v>
      </c>
      <c r="J25" s="23">
        <v>0.24</v>
      </c>
      <c r="K25" s="23">
        <v>0.2424</v>
      </c>
      <c r="L25" s="23">
        <v>0.6</v>
      </c>
      <c r="M25" s="23">
        <v>0.16420000000000001</v>
      </c>
      <c r="N25" s="23">
        <v>19</v>
      </c>
      <c r="O25" s="23">
        <v>88</v>
      </c>
      <c r="P25" s="23">
        <v>107</v>
      </c>
    </row>
    <row r="26" spans="1:16">
      <c r="A26" s="23">
        <v>635</v>
      </c>
      <c r="B26" s="24">
        <v>40572</v>
      </c>
      <c r="C26" s="23">
        <v>1</v>
      </c>
      <c r="D26" s="23">
        <v>0</v>
      </c>
      <c r="E26" s="23">
        <v>1</v>
      </c>
      <c r="F26" s="23">
        <v>17</v>
      </c>
      <c r="G26" s="23" t="b">
        <v>0</v>
      </c>
      <c r="H26" s="23">
        <v>6</v>
      </c>
      <c r="I26" s="23">
        <v>1</v>
      </c>
      <c r="J26" s="23">
        <v>0.24</v>
      </c>
      <c r="K26" s="23">
        <v>0.28789999999999999</v>
      </c>
      <c r="L26" s="23">
        <v>0.6</v>
      </c>
      <c r="M26" s="23">
        <v>0</v>
      </c>
      <c r="N26" s="23">
        <v>9</v>
      </c>
      <c r="O26" s="23">
        <v>82</v>
      </c>
      <c r="P26" s="23">
        <v>91</v>
      </c>
    </row>
    <row r="27" spans="1:16">
      <c r="A27" s="23">
        <v>636</v>
      </c>
      <c r="B27" s="24">
        <v>40572</v>
      </c>
      <c r="C27" s="23">
        <v>1</v>
      </c>
      <c r="D27" s="23">
        <v>0</v>
      </c>
      <c r="E27" s="23">
        <v>1</v>
      </c>
      <c r="F27" s="23">
        <v>18</v>
      </c>
      <c r="G27" s="23" t="b">
        <v>0</v>
      </c>
      <c r="H27" s="23">
        <v>6</v>
      </c>
      <c r="I27" s="23">
        <v>1</v>
      </c>
      <c r="J27" s="23">
        <v>0.22</v>
      </c>
      <c r="K27" s="23">
        <v>0.2273</v>
      </c>
      <c r="L27" s="23">
        <v>0.69</v>
      </c>
      <c r="M27" s="23">
        <v>0.1343</v>
      </c>
      <c r="N27" s="23">
        <v>9</v>
      </c>
      <c r="O27" s="23">
        <v>59</v>
      </c>
      <c r="P27" s="23">
        <v>68</v>
      </c>
    </row>
    <row r="28" spans="1:16">
      <c r="A28" s="23">
        <v>637</v>
      </c>
      <c r="B28" s="24">
        <v>40572</v>
      </c>
      <c r="C28" s="23">
        <v>1</v>
      </c>
      <c r="D28" s="23">
        <v>0</v>
      </c>
      <c r="E28" s="23">
        <v>1</v>
      </c>
      <c r="F28" s="23">
        <v>19</v>
      </c>
      <c r="G28" s="23" t="b">
        <v>0</v>
      </c>
      <c r="H28" s="23">
        <v>6</v>
      </c>
      <c r="I28" s="23">
        <v>2</v>
      </c>
      <c r="J28" s="23">
        <v>0.22</v>
      </c>
      <c r="K28" s="23">
        <v>0.21210000000000001</v>
      </c>
      <c r="L28" s="23">
        <v>0.69</v>
      </c>
      <c r="M28" s="23">
        <v>0.25369999999999998</v>
      </c>
      <c r="N28" s="23">
        <v>6</v>
      </c>
      <c r="O28" s="23">
        <v>52</v>
      </c>
      <c r="P28" s="23">
        <v>58</v>
      </c>
    </row>
    <row r="29" spans="1:16">
      <c r="A29" s="23">
        <v>638</v>
      </c>
      <c r="B29" s="24">
        <v>40572</v>
      </c>
      <c r="C29" s="23">
        <v>1</v>
      </c>
      <c r="D29" s="23">
        <v>0</v>
      </c>
      <c r="E29" s="23">
        <v>1</v>
      </c>
      <c r="F29" s="23">
        <v>20</v>
      </c>
      <c r="G29" s="23" t="b">
        <v>0</v>
      </c>
      <c r="H29" s="23">
        <v>6</v>
      </c>
      <c r="I29" s="23">
        <v>1</v>
      </c>
      <c r="J29" s="23">
        <v>0.18</v>
      </c>
      <c r="K29" s="23">
        <v>0.21210000000000001</v>
      </c>
      <c r="L29" s="23">
        <v>0.74</v>
      </c>
      <c r="M29" s="23">
        <v>8.9599999999999999E-2</v>
      </c>
      <c r="N29" s="23">
        <v>1</v>
      </c>
      <c r="O29" s="23">
        <v>42</v>
      </c>
      <c r="P29" s="23">
        <v>43</v>
      </c>
    </row>
    <row r="30" spans="1:16">
      <c r="A30" s="23">
        <v>639</v>
      </c>
      <c r="B30" s="24">
        <v>40572</v>
      </c>
      <c r="C30" s="23">
        <v>1</v>
      </c>
      <c r="D30" s="23">
        <v>0</v>
      </c>
      <c r="E30" s="23">
        <v>1</v>
      </c>
      <c r="F30" s="23">
        <v>21</v>
      </c>
      <c r="G30" s="23" t="b">
        <v>0</v>
      </c>
      <c r="H30" s="23">
        <v>6</v>
      </c>
      <c r="I30" s="23">
        <v>1</v>
      </c>
      <c r="J30" s="23">
        <v>0.18</v>
      </c>
      <c r="K30" s="23">
        <v>0.21210000000000001</v>
      </c>
      <c r="L30" s="23">
        <v>0.74</v>
      </c>
      <c r="M30" s="23">
        <v>8.9599999999999999E-2</v>
      </c>
      <c r="N30" s="23">
        <v>1</v>
      </c>
      <c r="O30" s="23">
        <v>35</v>
      </c>
      <c r="P30" s="23">
        <v>36</v>
      </c>
    </row>
    <row r="31" spans="1:16">
      <c r="A31" s="23">
        <v>640</v>
      </c>
      <c r="B31" s="24">
        <v>40572</v>
      </c>
      <c r="C31" s="23">
        <v>1</v>
      </c>
      <c r="D31" s="23">
        <v>0</v>
      </c>
      <c r="E31" s="23">
        <v>1</v>
      </c>
      <c r="F31" s="23">
        <v>22</v>
      </c>
      <c r="G31" s="23" t="b">
        <v>0</v>
      </c>
      <c r="H31" s="23">
        <v>6</v>
      </c>
      <c r="I31" s="23">
        <v>1</v>
      </c>
      <c r="J31" s="23">
        <v>0.16</v>
      </c>
      <c r="K31" s="23">
        <v>0.19700000000000001</v>
      </c>
      <c r="L31" s="23">
        <v>0.8</v>
      </c>
      <c r="M31" s="23">
        <v>8.9599999999999999E-2</v>
      </c>
      <c r="N31" s="23">
        <v>4</v>
      </c>
      <c r="O31" s="23">
        <v>28</v>
      </c>
      <c r="P31" s="23">
        <v>32</v>
      </c>
    </row>
    <row r="32" spans="1:16">
      <c r="A32" s="23">
        <v>641</v>
      </c>
      <c r="B32" s="24">
        <v>40572</v>
      </c>
      <c r="C32" s="23">
        <v>1</v>
      </c>
      <c r="D32" s="23">
        <v>0</v>
      </c>
      <c r="E32" s="23">
        <v>1</v>
      </c>
      <c r="F32" s="23">
        <v>23</v>
      </c>
      <c r="G32" s="23" t="b">
        <v>0</v>
      </c>
      <c r="H32" s="23">
        <v>6</v>
      </c>
      <c r="I32" s="23">
        <v>1</v>
      </c>
      <c r="J32" s="23">
        <v>0.16</v>
      </c>
      <c r="K32" s="23">
        <v>0.19700000000000001</v>
      </c>
      <c r="L32" s="23">
        <v>0.8</v>
      </c>
      <c r="M32" s="23">
        <v>8.9599999999999999E-2</v>
      </c>
      <c r="N32" s="23">
        <v>3</v>
      </c>
      <c r="O32" s="23">
        <v>30</v>
      </c>
      <c r="P32" s="23">
        <v>33</v>
      </c>
    </row>
    <row r="33" spans="1:16">
      <c r="A33" s="23">
        <v>642</v>
      </c>
      <c r="B33" s="24">
        <v>40573</v>
      </c>
      <c r="C33" s="23">
        <v>1</v>
      </c>
      <c r="D33" s="23">
        <v>0</v>
      </c>
      <c r="E33" s="23">
        <v>1</v>
      </c>
      <c r="F33" s="23">
        <v>0</v>
      </c>
      <c r="G33" s="23" t="b">
        <v>0</v>
      </c>
      <c r="H33" s="23">
        <v>0</v>
      </c>
      <c r="I33" s="23">
        <v>1</v>
      </c>
      <c r="J33" s="23">
        <v>0.16</v>
      </c>
      <c r="K33" s="23">
        <v>0.18179999999999999</v>
      </c>
      <c r="L33" s="23">
        <v>0.8</v>
      </c>
      <c r="M33" s="23">
        <v>0.1045</v>
      </c>
      <c r="N33" s="23">
        <v>0</v>
      </c>
      <c r="O33" s="23">
        <v>33</v>
      </c>
      <c r="P33" s="23">
        <v>33</v>
      </c>
    </row>
    <row r="34" spans="1:16">
      <c r="A34" s="23">
        <v>643</v>
      </c>
      <c r="B34" s="24">
        <v>40573</v>
      </c>
      <c r="C34" s="23">
        <v>1</v>
      </c>
      <c r="D34" s="23">
        <v>0</v>
      </c>
      <c r="E34" s="23">
        <v>1</v>
      </c>
      <c r="F34" s="23">
        <v>1</v>
      </c>
      <c r="G34" s="23" t="b">
        <v>0</v>
      </c>
      <c r="H34" s="23">
        <v>0</v>
      </c>
      <c r="I34" s="23">
        <v>1</v>
      </c>
      <c r="J34" s="23">
        <v>0.14000000000000001</v>
      </c>
      <c r="K34" s="23">
        <v>0.21210000000000001</v>
      </c>
      <c r="L34" s="23">
        <v>0.8</v>
      </c>
      <c r="M34" s="23">
        <v>0</v>
      </c>
      <c r="N34" s="23">
        <v>7</v>
      </c>
      <c r="O34" s="23">
        <v>22</v>
      </c>
      <c r="P34" s="23">
        <v>29</v>
      </c>
    </row>
    <row r="35" spans="1:16">
      <c r="A35" s="23">
        <v>644</v>
      </c>
      <c r="B35" s="24">
        <v>40573</v>
      </c>
      <c r="C35" s="23">
        <v>1</v>
      </c>
      <c r="D35" s="23">
        <v>0</v>
      </c>
      <c r="E35" s="23">
        <v>1</v>
      </c>
      <c r="F35" s="23">
        <v>2</v>
      </c>
      <c r="G35" s="23" t="b">
        <v>0</v>
      </c>
      <c r="H35" s="23">
        <v>0</v>
      </c>
      <c r="I35" s="23">
        <v>1</v>
      </c>
      <c r="J35" s="23">
        <v>0.16</v>
      </c>
      <c r="K35" s="23">
        <v>0.2273</v>
      </c>
      <c r="L35" s="23">
        <v>0.8</v>
      </c>
      <c r="M35" s="23">
        <v>0</v>
      </c>
      <c r="N35" s="23">
        <v>1</v>
      </c>
      <c r="O35" s="23">
        <v>10</v>
      </c>
      <c r="P35" s="23">
        <v>11</v>
      </c>
    </row>
    <row r="36" spans="1:16">
      <c r="A36" s="23">
        <v>645</v>
      </c>
      <c r="B36" s="24">
        <v>40573</v>
      </c>
      <c r="C36" s="23">
        <v>1</v>
      </c>
      <c r="D36" s="23">
        <v>0</v>
      </c>
      <c r="E36" s="23">
        <v>1</v>
      </c>
      <c r="F36" s="23">
        <v>3</v>
      </c>
      <c r="G36" s="23" t="b">
        <v>0</v>
      </c>
      <c r="H36" s="23">
        <v>0</v>
      </c>
      <c r="I36" s="23">
        <v>1</v>
      </c>
      <c r="J36" s="23">
        <v>0.14000000000000001</v>
      </c>
      <c r="K36" s="23">
        <v>0.21210000000000001</v>
      </c>
      <c r="L36" s="23">
        <v>0.93</v>
      </c>
      <c r="M36" s="23">
        <v>0</v>
      </c>
      <c r="N36" s="23">
        <v>1</v>
      </c>
      <c r="O36" s="23">
        <v>7</v>
      </c>
      <c r="P36" s="23">
        <v>8</v>
      </c>
    </row>
    <row r="37" spans="1:16">
      <c r="A37" s="23">
        <v>646</v>
      </c>
      <c r="B37" s="24">
        <v>40573</v>
      </c>
      <c r="C37" s="23">
        <v>1</v>
      </c>
      <c r="D37" s="23">
        <v>0</v>
      </c>
      <c r="E37" s="23">
        <v>1</v>
      </c>
      <c r="F37" s="23">
        <v>4</v>
      </c>
      <c r="G37" s="23" t="b">
        <v>0</v>
      </c>
      <c r="H37" s="23">
        <v>0</v>
      </c>
      <c r="I37" s="23">
        <v>1</v>
      </c>
      <c r="J37" s="23">
        <v>0.14000000000000001</v>
      </c>
      <c r="K37" s="23">
        <v>0.21210000000000001</v>
      </c>
      <c r="L37" s="23">
        <v>0.93</v>
      </c>
      <c r="M37" s="23">
        <v>0</v>
      </c>
      <c r="N37" s="23">
        <v>0</v>
      </c>
      <c r="O37" s="23">
        <v>1</v>
      </c>
      <c r="P37" s="23">
        <v>1</v>
      </c>
    </row>
    <row r="38" spans="1:16">
      <c r="A38" s="23">
        <v>647</v>
      </c>
      <c r="B38" s="24">
        <v>40573</v>
      </c>
      <c r="C38" s="23">
        <v>1</v>
      </c>
      <c r="D38" s="23">
        <v>0</v>
      </c>
      <c r="E38" s="23">
        <v>1</v>
      </c>
      <c r="F38" s="23">
        <v>5</v>
      </c>
      <c r="G38" s="23" t="b">
        <v>0</v>
      </c>
      <c r="H38" s="23">
        <v>0</v>
      </c>
      <c r="I38" s="23">
        <v>1</v>
      </c>
      <c r="J38" s="23">
        <v>0.14000000000000001</v>
      </c>
      <c r="K38" s="23">
        <v>0.21210000000000001</v>
      </c>
      <c r="L38" s="23">
        <v>0.86</v>
      </c>
      <c r="M38" s="23">
        <v>0</v>
      </c>
      <c r="N38" s="23">
        <v>0</v>
      </c>
      <c r="O38" s="23">
        <v>3</v>
      </c>
      <c r="P38" s="23">
        <v>3</v>
      </c>
    </row>
    <row r="39" spans="1:16">
      <c r="A39" s="23">
        <v>648</v>
      </c>
      <c r="B39" s="24">
        <v>40573</v>
      </c>
      <c r="C39" s="23">
        <v>1</v>
      </c>
      <c r="D39" s="23">
        <v>0</v>
      </c>
      <c r="E39" s="23">
        <v>1</v>
      </c>
      <c r="F39" s="23">
        <v>7</v>
      </c>
      <c r="G39" s="23" t="b">
        <v>0</v>
      </c>
      <c r="H39" s="23">
        <v>0</v>
      </c>
      <c r="I39" s="23">
        <v>1</v>
      </c>
      <c r="J39" s="23">
        <v>0.14000000000000001</v>
      </c>
      <c r="K39" s="23">
        <v>0.21210000000000001</v>
      </c>
      <c r="L39" s="23">
        <v>0.86</v>
      </c>
      <c r="M39" s="23">
        <v>0</v>
      </c>
      <c r="N39" s="23">
        <v>0</v>
      </c>
      <c r="O39" s="23">
        <v>3</v>
      </c>
      <c r="P39" s="23">
        <v>3</v>
      </c>
    </row>
    <row r="40" spans="1:16">
      <c r="A40" s="23">
        <v>649</v>
      </c>
      <c r="B40" s="24">
        <v>40573</v>
      </c>
      <c r="C40" s="23">
        <v>1</v>
      </c>
      <c r="D40" s="23">
        <v>0</v>
      </c>
      <c r="E40" s="23">
        <v>1</v>
      </c>
      <c r="F40" s="23">
        <v>8</v>
      </c>
      <c r="G40" s="23" t="b">
        <v>0</v>
      </c>
      <c r="H40" s="23">
        <v>0</v>
      </c>
      <c r="I40" s="23">
        <v>2</v>
      </c>
      <c r="J40" s="23">
        <v>0.14000000000000001</v>
      </c>
      <c r="K40" s="23">
        <v>0.21210000000000001</v>
      </c>
      <c r="L40" s="23">
        <v>0.86</v>
      </c>
      <c r="M40" s="23">
        <v>0</v>
      </c>
      <c r="N40" s="23">
        <v>1</v>
      </c>
      <c r="O40" s="23">
        <v>11</v>
      </c>
      <c r="P40" s="23">
        <v>12</v>
      </c>
    </row>
    <row r="41" spans="1:16">
      <c r="A41" s="23">
        <v>650</v>
      </c>
      <c r="B41" s="24">
        <v>40573</v>
      </c>
      <c r="C41" s="23">
        <v>1</v>
      </c>
      <c r="D41" s="23">
        <v>0</v>
      </c>
      <c r="E41" s="23">
        <v>1</v>
      </c>
      <c r="F41" s="23">
        <v>9</v>
      </c>
      <c r="G41" s="23" t="b">
        <v>0</v>
      </c>
      <c r="H41" s="23">
        <v>0</v>
      </c>
      <c r="I41" s="23">
        <v>2</v>
      </c>
      <c r="J41" s="23">
        <v>0.16</v>
      </c>
      <c r="K41" s="23">
        <v>0.2273</v>
      </c>
      <c r="L41" s="23">
        <v>0.8</v>
      </c>
      <c r="M41" s="23">
        <v>0</v>
      </c>
      <c r="N41" s="23">
        <v>4</v>
      </c>
      <c r="O41" s="23">
        <v>34</v>
      </c>
      <c r="P41" s="23">
        <v>38</v>
      </c>
    </row>
    <row r="42" spans="1:16">
      <c r="A42" s="23">
        <v>651</v>
      </c>
      <c r="B42" s="24">
        <v>40573</v>
      </c>
      <c r="C42" s="23">
        <v>1</v>
      </c>
      <c r="D42" s="23">
        <v>0</v>
      </c>
      <c r="E42" s="23">
        <v>1</v>
      </c>
      <c r="F42" s="23">
        <v>10</v>
      </c>
      <c r="G42" s="23" t="b">
        <v>0</v>
      </c>
      <c r="H42" s="23">
        <v>0</v>
      </c>
      <c r="I42" s="23">
        <v>2</v>
      </c>
      <c r="J42" s="23">
        <v>0.18</v>
      </c>
      <c r="K42" s="23">
        <v>0.2424</v>
      </c>
      <c r="L42" s="23">
        <v>0.8</v>
      </c>
      <c r="M42" s="23">
        <v>0</v>
      </c>
      <c r="N42" s="23">
        <v>7</v>
      </c>
      <c r="O42" s="23">
        <v>57</v>
      </c>
      <c r="P42" s="23">
        <v>64</v>
      </c>
    </row>
    <row r="43" spans="1:16">
      <c r="A43" s="23">
        <v>652</v>
      </c>
      <c r="B43" s="24">
        <v>40573</v>
      </c>
      <c r="C43" s="23">
        <v>1</v>
      </c>
      <c r="D43" s="23">
        <v>0</v>
      </c>
      <c r="E43" s="23">
        <v>1</v>
      </c>
      <c r="F43" s="23">
        <v>11</v>
      </c>
      <c r="G43" s="23" t="b">
        <v>0</v>
      </c>
      <c r="H43" s="23">
        <v>0</v>
      </c>
      <c r="I43" s="23">
        <v>1</v>
      </c>
      <c r="J43" s="23">
        <v>0.22</v>
      </c>
      <c r="K43" s="23">
        <v>0.2727</v>
      </c>
      <c r="L43" s="23">
        <v>0.75</v>
      </c>
      <c r="M43" s="23">
        <v>0</v>
      </c>
      <c r="N43" s="23">
        <v>9</v>
      </c>
      <c r="O43" s="23">
        <v>50</v>
      </c>
      <c r="P43" s="23">
        <v>59</v>
      </c>
    </row>
    <row r="44" spans="1:16">
      <c r="A44" s="23">
        <v>653</v>
      </c>
      <c r="B44" s="24">
        <v>40573</v>
      </c>
      <c r="C44" s="23">
        <v>1</v>
      </c>
      <c r="D44" s="23">
        <v>0</v>
      </c>
      <c r="E44" s="23">
        <v>1</v>
      </c>
      <c r="F44" s="23">
        <v>12</v>
      </c>
      <c r="G44" s="23" t="b">
        <v>0</v>
      </c>
      <c r="H44" s="23">
        <v>0</v>
      </c>
      <c r="I44" s="23">
        <v>1</v>
      </c>
      <c r="J44" s="23">
        <v>0.3</v>
      </c>
      <c r="K44" s="23">
        <v>0.31819999999999998</v>
      </c>
      <c r="L44" s="23">
        <v>0.52</v>
      </c>
      <c r="M44" s="23">
        <v>0.1045</v>
      </c>
      <c r="N44" s="23">
        <v>10</v>
      </c>
      <c r="O44" s="23">
        <v>87</v>
      </c>
      <c r="P44" s="23">
        <v>97</v>
      </c>
    </row>
    <row r="45" spans="1:16">
      <c r="A45" s="23">
        <v>654</v>
      </c>
      <c r="B45" s="24">
        <v>40573</v>
      </c>
      <c r="C45" s="23">
        <v>1</v>
      </c>
      <c r="D45" s="23">
        <v>0</v>
      </c>
      <c r="E45" s="23">
        <v>1</v>
      </c>
      <c r="F45" s="23">
        <v>13</v>
      </c>
      <c r="G45" s="23" t="b">
        <v>0</v>
      </c>
      <c r="H45" s="23">
        <v>0</v>
      </c>
      <c r="I45" s="23">
        <v>1</v>
      </c>
      <c r="J45" s="23">
        <v>0.28000000000000003</v>
      </c>
      <c r="K45" s="23">
        <v>0.28789999999999999</v>
      </c>
      <c r="L45" s="23">
        <v>0.61</v>
      </c>
      <c r="M45" s="23">
        <v>0.1045</v>
      </c>
      <c r="N45" s="23">
        <v>13</v>
      </c>
      <c r="O45" s="23">
        <v>71</v>
      </c>
      <c r="P45" s="23">
        <v>84</v>
      </c>
    </row>
    <row r="46" spans="1:16">
      <c r="A46" s="23">
        <v>655</v>
      </c>
      <c r="B46" s="24">
        <v>40573</v>
      </c>
      <c r="C46" s="23">
        <v>1</v>
      </c>
      <c r="D46" s="23">
        <v>0</v>
      </c>
      <c r="E46" s="23">
        <v>1</v>
      </c>
      <c r="F46" s="23">
        <v>14</v>
      </c>
      <c r="G46" s="23" t="b">
        <v>0</v>
      </c>
      <c r="H46" s="23">
        <v>0</v>
      </c>
      <c r="I46" s="23">
        <v>1</v>
      </c>
      <c r="J46" s="23">
        <v>0.28000000000000003</v>
      </c>
      <c r="K46" s="23">
        <v>0.30299999999999999</v>
      </c>
      <c r="L46" s="23">
        <v>0.61</v>
      </c>
      <c r="M46" s="23">
        <v>8.9599999999999999E-2</v>
      </c>
      <c r="N46" s="23">
        <v>18</v>
      </c>
      <c r="O46" s="23">
        <v>104</v>
      </c>
      <c r="P46" s="23">
        <v>122</v>
      </c>
    </row>
    <row r="47" spans="1:16">
      <c r="A47" s="23">
        <v>656</v>
      </c>
      <c r="B47" s="24">
        <v>40573</v>
      </c>
      <c r="C47" s="23">
        <v>1</v>
      </c>
      <c r="D47" s="23">
        <v>0</v>
      </c>
      <c r="E47" s="23">
        <v>1</v>
      </c>
      <c r="F47" s="23">
        <v>15</v>
      </c>
      <c r="G47" s="23" t="b">
        <v>0</v>
      </c>
      <c r="H47" s="23">
        <v>0</v>
      </c>
      <c r="I47" s="23">
        <v>1</v>
      </c>
      <c r="J47" s="23">
        <v>0.3</v>
      </c>
      <c r="K47" s="23">
        <v>0.33329999999999999</v>
      </c>
      <c r="L47" s="23">
        <v>0.56000000000000005</v>
      </c>
      <c r="M47" s="23">
        <v>0</v>
      </c>
      <c r="N47" s="23">
        <v>14</v>
      </c>
      <c r="O47" s="23">
        <v>95</v>
      </c>
      <c r="P47" s="23">
        <v>109</v>
      </c>
    </row>
    <row r="48" spans="1:16">
      <c r="A48" s="23">
        <v>657</v>
      </c>
      <c r="B48" s="24">
        <v>40573</v>
      </c>
      <c r="C48" s="23">
        <v>1</v>
      </c>
      <c r="D48" s="23">
        <v>0</v>
      </c>
      <c r="E48" s="23">
        <v>1</v>
      </c>
      <c r="F48" s="23">
        <v>16</v>
      </c>
      <c r="G48" s="23" t="b">
        <v>0</v>
      </c>
      <c r="H48" s="23">
        <v>0</v>
      </c>
      <c r="I48" s="23">
        <v>1</v>
      </c>
      <c r="J48" s="23">
        <v>0.3</v>
      </c>
      <c r="K48" s="23">
        <v>0.33329999999999999</v>
      </c>
      <c r="L48" s="23">
        <v>0.56000000000000005</v>
      </c>
      <c r="M48" s="23">
        <v>0</v>
      </c>
      <c r="N48" s="23">
        <v>19</v>
      </c>
      <c r="O48" s="23">
        <v>104</v>
      </c>
      <c r="P48" s="23">
        <v>123</v>
      </c>
    </row>
    <row r="49" spans="1:16">
      <c r="A49" s="23">
        <v>658</v>
      </c>
      <c r="B49" s="24">
        <v>40573</v>
      </c>
      <c r="C49" s="23">
        <v>1</v>
      </c>
      <c r="D49" s="23">
        <v>0</v>
      </c>
      <c r="E49" s="23">
        <v>1</v>
      </c>
      <c r="F49" s="23">
        <v>17</v>
      </c>
      <c r="G49" s="23" t="b">
        <v>0</v>
      </c>
      <c r="H49" s="23">
        <v>0</v>
      </c>
      <c r="I49" s="23">
        <v>1</v>
      </c>
      <c r="J49" s="23">
        <v>0.3</v>
      </c>
      <c r="K49" s="23">
        <v>0.28789999999999999</v>
      </c>
      <c r="L49" s="23">
        <v>0.56000000000000005</v>
      </c>
      <c r="M49" s="23">
        <v>0.19400000000000001</v>
      </c>
      <c r="N49" s="23">
        <v>6</v>
      </c>
      <c r="O49" s="23">
        <v>71</v>
      </c>
      <c r="P49" s="23">
        <v>77</v>
      </c>
    </row>
    <row r="50" spans="1:16">
      <c r="A50" s="23">
        <v>659</v>
      </c>
      <c r="B50" s="24">
        <v>40573</v>
      </c>
      <c r="C50" s="23">
        <v>1</v>
      </c>
      <c r="D50" s="23">
        <v>0</v>
      </c>
      <c r="E50" s="23">
        <v>1</v>
      </c>
      <c r="F50" s="23">
        <v>18</v>
      </c>
      <c r="G50" s="23" t="b">
        <v>0</v>
      </c>
      <c r="H50" s="23">
        <v>0</v>
      </c>
      <c r="I50" s="23">
        <v>1</v>
      </c>
      <c r="J50" s="23">
        <v>0.26</v>
      </c>
      <c r="K50" s="23">
        <v>0.2576</v>
      </c>
      <c r="L50" s="23">
        <v>0.65</v>
      </c>
      <c r="M50" s="23">
        <v>0.16420000000000001</v>
      </c>
      <c r="N50" s="23">
        <v>8</v>
      </c>
      <c r="O50" s="23">
        <v>57</v>
      </c>
      <c r="P50" s="23">
        <v>65</v>
      </c>
    </row>
    <row r="51" spans="1:16">
      <c r="A51" s="23">
        <v>660</v>
      </c>
      <c r="B51" s="24">
        <v>40573</v>
      </c>
      <c r="C51" s="23">
        <v>1</v>
      </c>
      <c r="D51" s="23">
        <v>0</v>
      </c>
      <c r="E51" s="23">
        <v>1</v>
      </c>
      <c r="F51" s="23">
        <v>19</v>
      </c>
      <c r="G51" s="23" t="b">
        <v>0</v>
      </c>
      <c r="H51" s="23">
        <v>0</v>
      </c>
      <c r="I51" s="23">
        <v>1</v>
      </c>
      <c r="J51" s="23">
        <v>0.26</v>
      </c>
      <c r="K51" s="23">
        <v>0.2576</v>
      </c>
      <c r="L51" s="23">
        <v>0.65</v>
      </c>
      <c r="M51" s="23">
        <v>0.19400000000000001</v>
      </c>
      <c r="N51" s="23">
        <v>9</v>
      </c>
      <c r="O51" s="23">
        <v>46</v>
      </c>
      <c r="P51" s="23">
        <v>55</v>
      </c>
    </row>
    <row r="52" spans="1:16">
      <c r="A52" s="23">
        <v>661</v>
      </c>
      <c r="B52" s="24">
        <v>40573</v>
      </c>
      <c r="C52" s="23">
        <v>1</v>
      </c>
      <c r="D52" s="23">
        <v>0</v>
      </c>
      <c r="E52" s="23">
        <v>1</v>
      </c>
      <c r="F52" s="23">
        <v>20</v>
      </c>
      <c r="G52" s="23" t="b">
        <v>0</v>
      </c>
      <c r="H52" s="23">
        <v>0</v>
      </c>
      <c r="I52" s="23">
        <v>2</v>
      </c>
      <c r="J52" s="23">
        <v>0.26</v>
      </c>
      <c r="K52" s="23">
        <v>0.2727</v>
      </c>
      <c r="L52" s="23">
        <v>0.65</v>
      </c>
      <c r="M52" s="23">
        <v>0.1045</v>
      </c>
      <c r="N52" s="23">
        <v>3</v>
      </c>
      <c r="O52" s="23">
        <v>30</v>
      </c>
      <c r="P52" s="23">
        <v>33</v>
      </c>
    </row>
    <row r="53" spans="1:16">
      <c r="A53" s="23">
        <v>662</v>
      </c>
      <c r="B53" s="24">
        <v>40573</v>
      </c>
      <c r="C53" s="23">
        <v>1</v>
      </c>
      <c r="D53" s="23">
        <v>0</v>
      </c>
      <c r="E53" s="23">
        <v>1</v>
      </c>
      <c r="F53" s="23">
        <v>21</v>
      </c>
      <c r="G53" s="23" t="b">
        <v>0</v>
      </c>
      <c r="H53" s="23">
        <v>0</v>
      </c>
      <c r="I53" s="23">
        <v>2</v>
      </c>
      <c r="J53" s="23">
        <v>0.24</v>
      </c>
      <c r="K53" s="23">
        <v>0.2424</v>
      </c>
      <c r="L53" s="23">
        <v>0.7</v>
      </c>
      <c r="M53" s="23">
        <v>0.16420000000000001</v>
      </c>
      <c r="N53" s="23">
        <v>3</v>
      </c>
      <c r="O53" s="23">
        <v>25</v>
      </c>
      <c r="P53" s="23">
        <v>28</v>
      </c>
    </row>
    <row r="54" spans="1:16">
      <c r="A54" s="23">
        <v>663</v>
      </c>
      <c r="B54" s="24">
        <v>40573</v>
      </c>
      <c r="C54" s="23">
        <v>1</v>
      </c>
      <c r="D54" s="23">
        <v>0</v>
      </c>
      <c r="E54" s="23">
        <v>1</v>
      </c>
      <c r="F54" s="23">
        <v>22</v>
      </c>
      <c r="G54" s="23" t="b">
        <v>0</v>
      </c>
      <c r="H54" s="23">
        <v>0</v>
      </c>
      <c r="I54" s="23">
        <v>2</v>
      </c>
      <c r="J54" s="23">
        <v>0.24</v>
      </c>
      <c r="K54" s="23">
        <v>0.2273</v>
      </c>
      <c r="L54" s="23">
        <v>0.7</v>
      </c>
      <c r="M54" s="23">
        <v>0.19400000000000001</v>
      </c>
      <c r="N54" s="23">
        <v>2</v>
      </c>
      <c r="O54" s="23">
        <v>19</v>
      </c>
      <c r="P54" s="23">
        <v>21</v>
      </c>
    </row>
    <row r="55" spans="1:16">
      <c r="A55" s="23">
        <v>664</v>
      </c>
      <c r="B55" s="24">
        <v>40573</v>
      </c>
      <c r="C55" s="23">
        <v>1</v>
      </c>
      <c r="D55" s="23">
        <v>0</v>
      </c>
      <c r="E55" s="23">
        <v>1</v>
      </c>
      <c r="F55" s="23">
        <v>23</v>
      </c>
      <c r="G55" s="23" t="b">
        <v>0</v>
      </c>
      <c r="H55" s="23">
        <v>0</v>
      </c>
      <c r="I55" s="23">
        <v>2</v>
      </c>
      <c r="J55" s="23">
        <v>0.24</v>
      </c>
      <c r="K55" s="23">
        <v>0.21210000000000001</v>
      </c>
      <c r="L55" s="23">
        <v>0.65</v>
      </c>
      <c r="M55" s="23">
        <v>0.28360000000000002</v>
      </c>
      <c r="N55" s="23">
        <v>5</v>
      </c>
      <c r="O55" s="23">
        <v>16</v>
      </c>
      <c r="P55" s="23">
        <v>21</v>
      </c>
    </row>
    <row r="56" spans="1:16">
      <c r="A56" s="23">
        <v>665</v>
      </c>
      <c r="B56" s="24">
        <v>40574</v>
      </c>
      <c r="C56" s="23">
        <v>1</v>
      </c>
      <c r="D56" s="23">
        <v>0</v>
      </c>
      <c r="E56" s="23">
        <v>1</v>
      </c>
      <c r="F56" s="23">
        <v>0</v>
      </c>
      <c r="G56" s="23" t="b">
        <v>0</v>
      </c>
      <c r="H56" s="23">
        <v>1</v>
      </c>
      <c r="I56" s="23">
        <v>2</v>
      </c>
      <c r="J56" s="23">
        <v>0.24</v>
      </c>
      <c r="K56" s="23">
        <v>0.2273</v>
      </c>
      <c r="L56" s="23">
        <v>0.65</v>
      </c>
      <c r="M56" s="23">
        <v>0.22389999999999999</v>
      </c>
      <c r="N56" s="23">
        <v>1</v>
      </c>
      <c r="O56" s="23">
        <v>6</v>
      </c>
      <c r="P56" s="23">
        <v>7</v>
      </c>
    </row>
    <row r="57" spans="1:16">
      <c r="A57" s="23">
        <v>666</v>
      </c>
      <c r="B57" s="24">
        <v>40574</v>
      </c>
      <c r="C57" s="23">
        <v>1</v>
      </c>
      <c r="D57" s="23">
        <v>0</v>
      </c>
      <c r="E57" s="23">
        <v>1</v>
      </c>
      <c r="F57" s="23">
        <v>1</v>
      </c>
      <c r="G57" s="23" t="b">
        <v>0</v>
      </c>
      <c r="H57" s="23">
        <v>1</v>
      </c>
      <c r="I57" s="23">
        <v>1</v>
      </c>
      <c r="J57" s="23">
        <v>0.22</v>
      </c>
      <c r="K57" s="23">
        <v>0.21210000000000001</v>
      </c>
      <c r="L57" s="23">
        <v>0.64</v>
      </c>
      <c r="M57" s="23">
        <v>0.25369999999999998</v>
      </c>
      <c r="N57" s="23">
        <v>2</v>
      </c>
      <c r="O57" s="23">
        <v>5</v>
      </c>
      <c r="P57" s="23">
        <v>7</v>
      </c>
    </row>
    <row r="58" spans="1:16">
      <c r="A58" s="23">
        <v>667</v>
      </c>
      <c r="B58" s="24">
        <v>40574</v>
      </c>
      <c r="C58" s="23">
        <v>1</v>
      </c>
      <c r="D58" s="23">
        <v>0</v>
      </c>
      <c r="E58" s="23">
        <v>1</v>
      </c>
      <c r="F58" s="23">
        <v>2</v>
      </c>
      <c r="G58" s="23" t="b">
        <v>0</v>
      </c>
      <c r="H58" s="23">
        <v>1</v>
      </c>
      <c r="I58" s="23">
        <v>1</v>
      </c>
      <c r="J58" s="23">
        <v>0.22</v>
      </c>
      <c r="K58" s="23">
        <v>0.2273</v>
      </c>
      <c r="L58" s="23">
        <v>0.64</v>
      </c>
      <c r="M58" s="23">
        <v>0.19400000000000001</v>
      </c>
      <c r="N58" s="23">
        <v>0</v>
      </c>
      <c r="O58" s="23">
        <v>1</v>
      </c>
      <c r="P58" s="23">
        <v>1</v>
      </c>
    </row>
    <row r="59" spans="1:16">
      <c r="A59" s="23">
        <v>668</v>
      </c>
      <c r="B59" s="24">
        <v>40574</v>
      </c>
      <c r="C59" s="23">
        <v>1</v>
      </c>
      <c r="D59" s="23">
        <v>0</v>
      </c>
      <c r="E59" s="23">
        <v>1</v>
      </c>
      <c r="F59" s="23">
        <v>3</v>
      </c>
      <c r="G59" s="23" t="b">
        <v>0</v>
      </c>
      <c r="H59" s="23">
        <v>1</v>
      </c>
      <c r="I59" s="23">
        <v>1</v>
      </c>
      <c r="J59" s="23">
        <v>0.22</v>
      </c>
      <c r="K59" s="23">
        <v>0.2273</v>
      </c>
      <c r="L59" s="23">
        <v>0.64</v>
      </c>
      <c r="M59" s="23">
        <v>0.19400000000000001</v>
      </c>
      <c r="N59" s="23">
        <v>0</v>
      </c>
      <c r="O59" s="23">
        <v>2</v>
      </c>
      <c r="P59" s="23">
        <v>2</v>
      </c>
    </row>
    <row r="60" spans="1:16">
      <c r="A60" s="23">
        <v>669</v>
      </c>
      <c r="B60" s="24">
        <v>40574</v>
      </c>
      <c r="C60" s="23">
        <v>1</v>
      </c>
      <c r="D60" s="23">
        <v>0</v>
      </c>
      <c r="E60" s="23">
        <v>1</v>
      </c>
      <c r="F60" s="23">
        <v>4</v>
      </c>
      <c r="G60" s="23" t="b">
        <v>0</v>
      </c>
      <c r="H60" s="23">
        <v>1</v>
      </c>
      <c r="I60" s="23">
        <v>1</v>
      </c>
      <c r="J60" s="23">
        <v>0.2</v>
      </c>
      <c r="K60" s="23">
        <v>0.19700000000000001</v>
      </c>
      <c r="L60" s="23">
        <v>0.59</v>
      </c>
      <c r="M60" s="23">
        <v>0.22389999999999999</v>
      </c>
      <c r="N60" s="23">
        <v>0</v>
      </c>
      <c r="O60" s="23">
        <v>2</v>
      </c>
      <c r="P60" s="23">
        <v>2</v>
      </c>
    </row>
    <row r="61" spans="1:16">
      <c r="A61" s="23">
        <v>670</v>
      </c>
      <c r="B61" s="24">
        <v>40574</v>
      </c>
      <c r="C61" s="23">
        <v>1</v>
      </c>
      <c r="D61" s="23">
        <v>0</v>
      </c>
      <c r="E61" s="23">
        <v>1</v>
      </c>
      <c r="F61" s="23">
        <v>5</v>
      </c>
      <c r="G61" s="23" t="b">
        <v>0</v>
      </c>
      <c r="H61" s="23">
        <v>1</v>
      </c>
      <c r="I61" s="23">
        <v>1</v>
      </c>
      <c r="J61" s="23">
        <v>0.18</v>
      </c>
      <c r="K61" s="23">
        <v>0.16669999999999999</v>
      </c>
      <c r="L61" s="23">
        <v>0.64</v>
      </c>
      <c r="M61" s="23">
        <v>0.28360000000000002</v>
      </c>
      <c r="N61" s="23">
        <v>0</v>
      </c>
      <c r="O61" s="23">
        <v>8</v>
      </c>
      <c r="P61" s="23">
        <v>8</v>
      </c>
    </row>
    <row r="62" spans="1:16">
      <c r="A62" s="23">
        <v>671</v>
      </c>
      <c r="B62" s="24">
        <v>40574</v>
      </c>
      <c r="C62" s="23">
        <v>1</v>
      </c>
      <c r="D62" s="23">
        <v>0</v>
      </c>
      <c r="E62" s="23">
        <v>1</v>
      </c>
      <c r="F62" s="23">
        <v>6</v>
      </c>
      <c r="G62" s="23" t="b">
        <v>0</v>
      </c>
      <c r="H62" s="23">
        <v>1</v>
      </c>
      <c r="I62" s="23">
        <v>1</v>
      </c>
      <c r="J62" s="23">
        <v>0.16</v>
      </c>
      <c r="K62" s="23">
        <v>0.13639999999999999</v>
      </c>
      <c r="L62" s="23">
        <v>0.69</v>
      </c>
      <c r="M62" s="23">
        <v>0.32840000000000003</v>
      </c>
      <c r="N62" s="23">
        <v>0</v>
      </c>
      <c r="O62" s="23">
        <v>37</v>
      </c>
      <c r="P62" s="23">
        <v>37</v>
      </c>
    </row>
    <row r="63" spans="1:16">
      <c r="A63" s="23">
        <v>672</v>
      </c>
      <c r="B63" s="24">
        <v>40574</v>
      </c>
      <c r="C63" s="23">
        <v>1</v>
      </c>
      <c r="D63" s="23">
        <v>0</v>
      </c>
      <c r="E63" s="23">
        <v>1</v>
      </c>
      <c r="F63" s="23">
        <v>7</v>
      </c>
      <c r="G63" s="23" t="b">
        <v>0</v>
      </c>
      <c r="H63" s="23">
        <v>1</v>
      </c>
      <c r="I63" s="23">
        <v>2</v>
      </c>
      <c r="J63" s="23">
        <v>0.16</v>
      </c>
      <c r="K63" s="23">
        <v>0.13639999999999999</v>
      </c>
      <c r="L63" s="23">
        <v>0.64</v>
      </c>
      <c r="M63" s="23">
        <v>0.28360000000000002</v>
      </c>
      <c r="N63" s="23">
        <v>1</v>
      </c>
      <c r="O63" s="23">
        <v>71</v>
      </c>
      <c r="P63" s="23">
        <v>72</v>
      </c>
    </row>
    <row r="64" spans="1:16">
      <c r="A64" s="23">
        <v>673</v>
      </c>
      <c r="B64" s="24">
        <v>40574</v>
      </c>
      <c r="C64" s="23">
        <v>1</v>
      </c>
      <c r="D64" s="23">
        <v>0</v>
      </c>
      <c r="E64" s="23">
        <v>1</v>
      </c>
      <c r="F64" s="23">
        <v>8</v>
      </c>
      <c r="G64" s="23" t="b">
        <v>0</v>
      </c>
      <c r="H64" s="23">
        <v>1</v>
      </c>
      <c r="I64" s="23">
        <v>2</v>
      </c>
      <c r="J64" s="23">
        <v>0.16</v>
      </c>
      <c r="K64" s="23">
        <v>0.13639999999999999</v>
      </c>
      <c r="L64" s="23">
        <v>0.59</v>
      </c>
      <c r="M64" s="23">
        <v>0.28360000000000002</v>
      </c>
      <c r="N64" s="23">
        <v>3</v>
      </c>
      <c r="O64" s="23">
        <v>182</v>
      </c>
      <c r="P64" s="23">
        <v>185</v>
      </c>
    </row>
    <row r="65" spans="1:16">
      <c r="A65" s="23">
        <v>674</v>
      </c>
      <c r="B65" s="24">
        <v>40574</v>
      </c>
      <c r="C65" s="23">
        <v>1</v>
      </c>
      <c r="D65" s="23">
        <v>0</v>
      </c>
      <c r="E65" s="23">
        <v>1</v>
      </c>
      <c r="F65" s="23">
        <v>9</v>
      </c>
      <c r="G65" s="23" t="b">
        <v>0</v>
      </c>
      <c r="H65" s="23">
        <v>1</v>
      </c>
      <c r="I65" s="23">
        <v>2</v>
      </c>
      <c r="J65" s="23">
        <v>0.16</v>
      </c>
      <c r="K65" s="23">
        <v>0.13639999999999999</v>
      </c>
      <c r="L65" s="23">
        <v>0.59</v>
      </c>
      <c r="M65" s="23">
        <v>0.29849999999999999</v>
      </c>
      <c r="N65" s="23">
        <v>0</v>
      </c>
      <c r="O65" s="23">
        <v>112</v>
      </c>
      <c r="P65" s="23">
        <v>112</v>
      </c>
    </row>
    <row r="66" spans="1:16">
      <c r="A66" s="23">
        <v>675</v>
      </c>
      <c r="B66" s="24">
        <v>40574</v>
      </c>
      <c r="C66" s="23">
        <v>1</v>
      </c>
      <c r="D66" s="23">
        <v>0</v>
      </c>
      <c r="E66" s="23">
        <v>1</v>
      </c>
      <c r="F66" s="23">
        <v>10</v>
      </c>
      <c r="G66" s="23" t="b">
        <v>0</v>
      </c>
      <c r="H66" s="23">
        <v>1</v>
      </c>
      <c r="I66" s="23">
        <v>2</v>
      </c>
      <c r="J66" s="23">
        <v>0.16</v>
      </c>
      <c r="K66" s="23">
        <v>0.1515</v>
      </c>
      <c r="L66" s="23">
        <v>0.59</v>
      </c>
      <c r="M66" s="23">
        <v>0.19400000000000001</v>
      </c>
      <c r="N66" s="23">
        <v>1</v>
      </c>
      <c r="O66" s="23">
        <v>68</v>
      </c>
      <c r="P66" s="23">
        <v>69</v>
      </c>
    </row>
    <row r="67" spans="1:16">
      <c r="A67" s="23">
        <v>676</v>
      </c>
      <c r="B67" s="24">
        <v>40574</v>
      </c>
      <c r="C67" s="23">
        <v>1</v>
      </c>
      <c r="D67" s="23">
        <v>0</v>
      </c>
      <c r="E67" s="23">
        <v>1</v>
      </c>
      <c r="F67" s="23">
        <v>11</v>
      </c>
      <c r="G67" s="23" t="b">
        <v>0</v>
      </c>
      <c r="H67" s="23">
        <v>1</v>
      </c>
      <c r="I67" s="23">
        <v>2</v>
      </c>
      <c r="J67" s="23">
        <v>0.16</v>
      </c>
      <c r="K67" s="23">
        <v>0.1515</v>
      </c>
      <c r="L67" s="23">
        <v>0.59</v>
      </c>
      <c r="M67" s="23">
        <v>0.19400000000000001</v>
      </c>
      <c r="N67" s="23">
        <v>2</v>
      </c>
      <c r="O67" s="23">
        <v>46</v>
      </c>
      <c r="P67" s="23">
        <v>48</v>
      </c>
    </row>
    <row r="68" spans="1:16">
      <c r="A68" s="23">
        <v>677</v>
      </c>
      <c r="B68" s="24">
        <v>40574</v>
      </c>
      <c r="C68" s="23">
        <v>1</v>
      </c>
      <c r="D68" s="23">
        <v>0</v>
      </c>
      <c r="E68" s="23">
        <v>1</v>
      </c>
      <c r="F68" s="23">
        <v>12</v>
      </c>
      <c r="G68" s="23" t="b">
        <v>0</v>
      </c>
      <c r="H68" s="23">
        <v>1</v>
      </c>
      <c r="I68" s="23">
        <v>2</v>
      </c>
      <c r="J68" s="23">
        <v>0.18</v>
      </c>
      <c r="K68" s="23">
        <v>0.21210000000000001</v>
      </c>
      <c r="L68" s="23">
        <v>0.55000000000000004</v>
      </c>
      <c r="M68" s="23">
        <v>0.1045</v>
      </c>
      <c r="N68" s="23">
        <v>6</v>
      </c>
      <c r="O68" s="23">
        <v>62</v>
      </c>
      <c r="P68" s="23">
        <v>68</v>
      </c>
    </row>
    <row r="69" spans="1:16">
      <c r="A69" s="23">
        <v>678</v>
      </c>
      <c r="B69" s="24">
        <v>40574</v>
      </c>
      <c r="C69" s="23">
        <v>1</v>
      </c>
      <c r="D69" s="23">
        <v>0</v>
      </c>
      <c r="E69" s="23">
        <v>1</v>
      </c>
      <c r="F69" s="23">
        <v>13</v>
      </c>
      <c r="G69" s="23" t="b">
        <v>0</v>
      </c>
      <c r="H69" s="23">
        <v>1</v>
      </c>
      <c r="I69" s="23">
        <v>2</v>
      </c>
      <c r="J69" s="23">
        <v>0.16</v>
      </c>
      <c r="K69" s="23">
        <v>0.2273</v>
      </c>
      <c r="L69" s="23">
        <v>0.59</v>
      </c>
      <c r="M69" s="23">
        <v>0</v>
      </c>
      <c r="N69" s="23">
        <v>2</v>
      </c>
      <c r="O69" s="23">
        <v>52</v>
      </c>
      <c r="P69" s="23">
        <v>54</v>
      </c>
    </row>
    <row r="70" spans="1:16">
      <c r="A70" s="23">
        <v>679</v>
      </c>
      <c r="B70" s="24">
        <v>40574</v>
      </c>
      <c r="C70" s="23">
        <v>1</v>
      </c>
      <c r="D70" s="23">
        <v>0</v>
      </c>
      <c r="E70" s="23">
        <v>1</v>
      </c>
      <c r="F70" s="23">
        <v>14</v>
      </c>
      <c r="G70" s="23" t="b">
        <v>0</v>
      </c>
      <c r="H70" s="23">
        <v>1</v>
      </c>
      <c r="I70" s="23">
        <v>2</v>
      </c>
      <c r="J70" s="23">
        <v>0.18</v>
      </c>
      <c r="K70" s="23">
        <v>0.19700000000000001</v>
      </c>
      <c r="L70" s="23">
        <v>0.55000000000000004</v>
      </c>
      <c r="M70" s="23">
        <v>0.1343</v>
      </c>
      <c r="N70" s="23">
        <v>1</v>
      </c>
      <c r="O70" s="23">
        <v>85</v>
      </c>
      <c r="P70" s="23">
        <v>86</v>
      </c>
    </row>
    <row r="71" spans="1:16">
      <c r="A71" s="23">
        <v>680</v>
      </c>
      <c r="B71" s="24">
        <v>40574</v>
      </c>
      <c r="C71" s="23">
        <v>1</v>
      </c>
      <c r="D71" s="23">
        <v>0</v>
      </c>
      <c r="E71" s="23">
        <v>1</v>
      </c>
      <c r="F71" s="23">
        <v>15</v>
      </c>
      <c r="G71" s="23" t="b">
        <v>0</v>
      </c>
      <c r="H71" s="23">
        <v>1</v>
      </c>
      <c r="I71" s="23">
        <v>2</v>
      </c>
      <c r="J71" s="23">
        <v>0.16</v>
      </c>
      <c r="K71" s="23">
        <v>0.18179999999999999</v>
      </c>
      <c r="L71" s="23">
        <v>0.59</v>
      </c>
      <c r="M71" s="23">
        <v>0.1343</v>
      </c>
      <c r="N71" s="23">
        <v>3</v>
      </c>
      <c r="O71" s="23">
        <v>41</v>
      </c>
      <c r="P71" s="23">
        <v>44</v>
      </c>
    </row>
    <row r="72" spans="1:16">
      <c r="A72" s="23">
        <v>681</v>
      </c>
      <c r="B72" s="24">
        <v>40574</v>
      </c>
      <c r="C72" s="23">
        <v>1</v>
      </c>
      <c r="D72" s="23">
        <v>0</v>
      </c>
      <c r="E72" s="23">
        <v>1</v>
      </c>
      <c r="F72" s="23">
        <v>16</v>
      </c>
      <c r="G72" s="23" t="b">
        <v>0</v>
      </c>
      <c r="H72" s="23">
        <v>1</v>
      </c>
      <c r="I72" s="23">
        <v>2</v>
      </c>
      <c r="J72" s="23">
        <v>0.16</v>
      </c>
      <c r="K72" s="23">
        <v>0.18179999999999999</v>
      </c>
      <c r="L72" s="23">
        <v>0.56000000000000005</v>
      </c>
      <c r="M72" s="23">
        <v>0.19400000000000001</v>
      </c>
      <c r="N72" s="23">
        <v>3</v>
      </c>
      <c r="O72" s="23">
        <v>83</v>
      </c>
      <c r="P72" s="23">
        <v>86</v>
      </c>
    </row>
    <row r="73" spans="1:16">
      <c r="A73" s="23">
        <v>682</v>
      </c>
      <c r="B73" s="24">
        <v>40574</v>
      </c>
      <c r="C73" s="23">
        <v>1</v>
      </c>
      <c r="D73" s="23">
        <v>0</v>
      </c>
      <c r="E73" s="23">
        <v>1</v>
      </c>
      <c r="F73" s="23">
        <v>17</v>
      </c>
      <c r="G73" s="23" t="b">
        <v>0</v>
      </c>
      <c r="H73" s="23">
        <v>1</v>
      </c>
      <c r="I73" s="23">
        <v>2</v>
      </c>
      <c r="J73" s="23">
        <v>0.16</v>
      </c>
      <c r="K73" s="23">
        <v>0.1515</v>
      </c>
      <c r="L73" s="23">
        <v>0.59</v>
      </c>
      <c r="M73" s="23">
        <v>0.19400000000000001</v>
      </c>
      <c r="N73" s="23">
        <v>6</v>
      </c>
      <c r="O73" s="23">
        <v>155</v>
      </c>
      <c r="P73" s="23">
        <v>161</v>
      </c>
    </row>
    <row r="74" spans="1:16">
      <c r="A74" s="23">
        <v>683</v>
      </c>
      <c r="B74" s="24">
        <v>40574</v>
      </c>
      <c r="C74" s="23">
        <v>1</v>
      </c>
      <c r="D74" s="23">
        <v>0</v>
      </c>
      <c r="E74" s="23">
        <v>1</v>
      </c>
      <c r="F74" s="23">
        <v>18</v>
      </c>
      <c r="G74" s="23" t="b">
        <v>0</v>
      </c>
      <c r="H74" s="23">
        <v>1</v>
      </c>
      <c r="I74" s="23">
        <v>2</v>
      </c>
      <c r="J74" s="23">
        <v>0.16</v>
      </c>
      <c r="K74" s="23">
        <v>0.1515</v>
      </c>
      <c r="L74" s="23">
        <v>0.55000000000000004</v>
      </c>
      <c r="M74" s="23">
        <v>0.22389999999999999</v>
      </c>
      <c r="N74" s="23">
        <v>3</v>
      </c>
      <c r="O74" s="23">
        <v>153</v>
      </c>
      <c r="P74" s="23">
        <v>156</v>
      </c>
    </row>
    <row r="75" spans="1:16">
      <c r="A75" s="23">
        <v>684</v>
      </c>
      <c r="B75" s="24">
        <v>40574</v>
      </c>
      <c r="C75" s="23">
        <v>1</v>
      </c>
      <c r="D75" s="23">
        <v>0</v>
      </c>
      <c r="E75" s="23">
        <v>1</v>
      </c>
      <c r="F75" s="23">
        <v>19</v>
      </c>
      <c r="G75" s="23" t="b">
        <v>0</v>
      </c>
      <c r="H75" s="23">
        <v>1</v>
      </c>
      <c r="I75" s="23">
        <v>1</v>
      </c>
      <c r="J75" s="23">
        <v>0.3</v>
      </c>
      <c r="K75" s="23">
        <v>0.31819999999999998</v>
      </c>
      <c r="L75" s="23">
        <v>0.61</v>
      </c>
      <c r="M75" s="23">
        <v>0.1045</v>
      </c>
      <c r="N75" s="23">
        <v>3</v>
      </c>
      <c r="O75" s="23">
        <v>108</v>
      </c>
      <c r="P75" s="23">
        <v>111</v>
      </c>
    </row>
    <row r="76" spans="1:16">
      <c r="A76" s="23">
        <v>685</v>
      </c>
      <c r="B76" s="24">
        <v>40574</v>
      </c>
      <c r="C76" s="23">
        <v>1</v>
      </c>
      <c r="D76" s="23">
        <v>0</v>
      </c>
      <c r="E76" s="23">
        <v>1</v>
      </c>
      <c r="F76" s="23">
        <v>20</v>
      </c>
      <c r="G76" s="23" t="b">
        <v>0</v>
      </c>
      <c r="H76" s="23">
        <v>1</v>
      </c>
      <c r="I76" s="23">
        <v>3</v>
      </c>
      <c r="J76" s="23">
        <v>0.16</v>
      </c>
      <c r="K76" s="23">
        <v>0.16669999999999999</v>
      </c>
      <c r="L76" s="23">
        <v>0.59</v>
      </c>
      <c r="M76" s="23">
        <v>0.16420000000000001</v>
      </c>
      <c r="N76" s="23">
        <v>0</v>
      </c>
      <c r="O76" s="23">
        <v>78</v>
      </c>
      <c r="P76" s="23">
        <v>78</v>
      </c>
    </row>
    <row r="77" spans="1:16">
      <c r="A77" s="23">
        <v>686</v>
      </c>
      <c r="B77" s="24">
        <v>40574</v>
      </c>
      <c r="C77" s="23">
        <v>1</v>
      </c>
      <c r="D77" s="23">
        <v>0</v>
      </c>
      <c r="E77" s="23">
        <v>1</v>
      </c>
      <c r="F77" s="23">
        <v>21</v>
      </c>
      <c r="G77" s="23" t="b">
        <v>0</v>
      </c>
      <c r="H77" s="23">
        <v>1</v>
      </c>
      <c r="I77" s="23">
        <v>3</v>
      </c>
      <c r="J77" s="23">
        <v>0.16</v>
      </c>
      <c r="K77" s="23">
        <v>0.19700000000000001</v>
      </c>
      <c r="L77" s="23">
        <v>0.59</v>
      </c>
      <c r="M77" s="23">
        <v>8.9599999999999999E-2</v>
      </c>
      <c r="N77" s="23">
        <v>3</v>
      </c>
      <c r="O77" s="23">
        <v>53</v>
      </c>
      <c r="P77" s="23">
        <v>56</v>
      </c>
    </row>
    <row r="78" spans="1:16">
      <c r="A78" s="23">
        <v>687</v>
      </c>
      <c r="B78" s="24">
        <v>40574</v>
      </c>
      <c r="C78" s="23">
        <v>1</v>
      </c>
      <c r="D78" s="23">
        <v>0</v>
      </c>
      <c r="E78" s="23">
        <v>1</v>
      </c>
      <c r="F78" s="23">
        <v>22</v>
      </c>
      <c r="G78" s="23" t="b">
        <v>0</v>
      </c>
      <c r="H78" s="23">
        <v>1</v>
      </c>
      <c r="I78" s="23">
        <v>2</v>
      </c>
      <c r="J78" s="23">
        <v>0.16</v>
      </c>
      <c r="K78" s="23">
        <v>0.18179999999999999</v>
      </c>
      <c r="L78" s="23">
        <v>0.59</v>
      </c>
      <c r="M78" s="23">
        <v>0.1045</v>
      </c>
      <c r="N78" s="23">
        <v>0</v>
      </c>
      <c r="O78" s="23">
        <v>34</v>
      </c>
      <c r="P78" s="23">
        <v>34</v>
      </c>
    </row>
    <row r="79" spans="1:16">
      <c r="A79" s="23">
        <v>688</v>
      </c>
      <c r="B79" s="24">
        <v>40574</v>
      </c>
      <c r="C79" s="23">
        <v>1</v>
      </c>
      <c r="D79" s="23">
        <v>0</v>
      </c>
      <c r="E79" s="23">
        <v>1</v>
      </c>
      <c r="F79" s="23">
        <v>23</v>
      </c>
      <c r="G79" s="23" t="b">
        <v>0</v>
      </c>
      <c r="H79" s="23">
        <v>1</v>
      </c>
      <c r="I79" s="23">
        <v>2</v>
      </c>
      <c r="J79" s="23">
        <v>0.16</v>
      </c>
      <c r="K79" s="23">
        <v>0.19700000000000001</v>
      </c>
      <c r="L79" s="23">
        <v>0.64</v>
      </c>
      <c r="M79" s="23">
        <v>8.9599999999999999E-2</v>
      </c>
      <c r="N79" s="23">
        <v>2</v>
      </c>
      <c r="O79" s="23">
        <v>15</v>
      </c>
      <c r="P79" s="23">
        <v>17</v>
      </c>
    </row>
    <row r="80" spans="1:16">
      <c r="A80" s="23">
        <v>689</v>
      </c>
      <c r="B80" s="24">
        <v>40575</v>
      </c>
      <c r="C80" s="23">
        <v>1</v>
      </c>
      <c r="D80" s="23">
        <v>0</v>
      </c>
      <c r="E80" s="23">
        <v>2</v>
      </c>
      <c r="F80" s="23">
        <v>0</v>
      </c>
      <c r="G80" s="23" t="b">
        <v>0</v>
      </c>
      <c r="H80" s="23">
        <v>2</v>
      </c>
      <c r="I80" s="23">
        <v>2</v>
      </c>
      <c r="J80" s="23">
        <v>0.16</v>
      </c>
      <c r="K80" s="23">
        <v>0.18179999999999999</v>
      </c>
      <c r="L80" s="23">
        <v>0.64</v>
      </c>
      <c r="M80" s="23">
        <v>0.1045</v>
      </c>
      <c r="N80" s="23">
        <v>2</v>
      </c>
      <c r="O80" s="23">
        <v>6</v>
      </c>
      <c r="P80" s="23">
        <v>8</v>
      </c>
    </row>
    <row r="81" spans="1:16">
      <c r="A81" s="23">
        <v>690</v>
      </c>
      <c r="B81" s="24">
        <v>40575</v>
      </c>
      <c r="C81" s="23">
        <v>1</v>
      </c>
      <c r="D81" s="23">
        <v>0</v>
      </c>
      <c r="E81" s="23">
        <v>2</v>
      </c>
      <c r="F81" s="23">
        <v>1</v>
      </c>
      <c r="G81" s="23" t="b">
        <v>0</v>
      </c>
      <c r="H81" s="23">
        <v>2</v>
      </c>
      <c r="I81" s="23">
        <v>2</v>
      </c>
      <c r="J81" s="23">
        <v>0.16</v>
      </c>
      <c r="K81" s="23">
        <v>0.18179999999999999</v>
      </c>
      <c r="L81" s="23">
        <v>0.69</v>
      </c>
      <c r="M81" s="23">
        <v>0.1045</v>
      </c>
      <c r="N81" s="23">
        <v>0</v>
      </c>
      <c r="O81" s="23">
        <v>3</v>
      </c>
      <c r="P81" s="23">
        <v>3</v>
      </c>
    </row>
    <row r="82" spans="1:16">
      <c r="A82" s="23">
        <v>691</v>
      </c>
      <c r="B82" s="24">
        <v>40575</v>
      </c>
      <c r="C82" s="23">
        <v>1</v>
      </c>
      <c r="D82" s="23">
        <v>0</v>
      </c>
      <c r="E82" s="23">
        <v>2</v>
      </c>
      <c r="F82" s="23">
        <v>2</v>
      </c>
      <c r="G82" s="23" t="b">
        <v>0</v>
      </c>
      <c r="H82" s="23">
        <v>2</v>
      </c>
      <c r="I82" s="23">
        <v>2</v>
      </c>
      <c r="J82" s="23">
        <v>0.16</v>
      </c>
      <c r="K82" s="23">
        <v>0.2273</v>
      </c>
      <c r="L82" s="23">
        <v>0.69</v>
      </c>
      <c r="M82" s="23">
        <v>0</v>
      </c>
      <c r="N82" s="23">
        <v>0</v>
      </c>
      <c r="O82" s="23">
        <v>2</v>
      </c>
      <c r="P82" s="23">
        <v>2</v>
      </c>
    </row>
    <row r="83" spans="1:16">
      <c r="A83" s="23">
        <v>692</v>
      </c>
      <c r="B83" s="24">
        <v>40575</v>
      </c>
      <c r="C83" s="23">
        <v>1</v>
      </c>
      <c r="D83" s="23">
        <v>0</v>
      </c>
      <c r="E83" s="23">
        <v>2</v>
      </c>
      <c r="F83" s="23">
        <v>3</v>
      </c>
      <c r="G83" s="23" t="b">
        <v>0</v>
      </c>
      <c r="H83" s="23">
        <v>2</v>
      </c>
      <c r="I83" s="23">
        <v>2</v>
      </c>
      <c r="J83" s="23">
        <v>0.16</v>
      </c>
      <c r="K83" s="23">
        <v>0.2273</v>
      </c>
      <c r="L83" s="23">
        <v>0.69</v>
      </c>
      <c r="M83" s="23">
        <v>0</v>
      </c>
      <c r="N83" s="23">
        <v>0</v>
      </c>
      <c r="O83" s="23">
        <v>2</v>
      </c>
      <c r="P83" s="23">
        <v>2</v>
      </c>
    </row>
    <row r="84" spans="1:16">
      <c r="A84" s="23">
        <v>693</v>
      </c>
      <c r="B84" s="24">
        <v>40575</v>
      </c>
      <c r="C84" s="23">
        <v>1</v>
      </c>
      <c r="D84" s="23">
        <v>0</v>
      </c>
      <c r="E84" s="23">
        <v>2</v>
      </c>
      <c r="F84" s="23">
        <v>5</v>
      </c>
      <c r="G84" s="23" t="b">
        <v>0</v>
      </c>
      <c r="H84" s="23">
        <v>2</v>
      </c>
      <c r="I84" s="23">
        <v>3</v>
      </c>
      <c r="J84" s="23">
        <v>0.14000000000000001</v>
      </c>
      <c r="K84" s="23">
        <v>0.21210000000000001</v>
      </c>
      <c r="L84" s="23">
        <v>0.93</v>
      </c>
      <c r="M84" s="23">
        <v>0</v>
      </c>
      <c r="N84" s="23">
        <v>0</v>
      </c>
      <c r="O84" s="23">
        <v>3</v>
      </c>
      <c r="P84" s="23">
        <v>3</v>
      </c>
    </row>
    <row r="85" spans="1:16">
      <c r="A85" s="23">
        <v>694</v>
      </c>
      <c r="B85" s="24">
        <v>40575</v>
      </c>
      <c r="C85" s="23">
        <v>1</v>
      </c>
      <c r="D85" s="23">
        <v>0</v>
      </c>
      <c r="E85" s="23">
        <v>2</v>
      </c>
      <c r="F85" s="23">
        <v>6</v>
      </c>
      <c r="G85" s="23" t="b">
        <v>0</v>
      </c>
      <c r="H85" s="23">
        <v>2</v>
      </c>
      <c r="I85" s="23">
        <v>3</v>
      </c>
      <c r="J85" s="23">
        <v>0.14000000000000001</v>
      </c>
      <c r="K85" s="23">
        <v>0.21210000000000001</v>
      </c>
      <c r="L85" s="23">
        <v>0.93</v>
      </c>
      <c r="M85" s="23">
        <v>0</v>
      </c>
      <c r="N85" s="23">
        <v>0</v>
      </c>
      <c r="O85" s="23">
        <v>22</v>
      </c>
      <c r="P85" s="23">
        <v>22</v>
      </c>
    </row>
    <row r="86" spans="1:16">
      <c r="A86" s="23">
        <v>695</v>
      </c>
      <c r="B86" s="24">
        <v>40575</v>
      </c>
      <c r="C86" s="23">
        <v>1</v>
      </c>
      <c r="D86" s="23">
        <v>0</v>
      </c>
      <c r="E86" s="23">
        <v>2</v>
      </c>
      <c r="F86" s="23">
        <v>7</v>
      </c>
      <c r="G86" s="23" t="b">
        <v>0</v>
      </c>
      <c r="H86" s="23">
        <v>2</v>
      </c>
      <c r="I86" s="23">
        <v>3</v>
      </c>
      <c r="J86" s="23">
        <v>0.16</v>
      </c>
      <c r="K86" s="23">
        <v>0.2273</v>
      </c>
      <c r="L86" s="23">
        <v>0.93</v>
      </c>
      <c r="M86" s="23">
        <v>0</v>
      </c>
      <c r="N86" s="23">
        <v>0</v>
      </c>
      <c r="O86" s="23">
        <v>52</v>
      </c>
      <c r="P86" s="23">
        <v>52</v>
      </c>
    </row>
    <row r="87" spans="1:16">
      <c r="A87" s="23">
        <v>696</v>
      </c>
      <c r="B87" s="24">
        <v>40575</v>
      </c>
      <c r="C87" s="23">
        <v>1</v>
      </c>
      <c r="D87" s="23">
        <v>0</v>
      </c>
      <c r="E87" s="23">
        <v>2</v>
      </c>
      <c r="F87" s="23">
        <v>8</v>
      </c>
      <c r="G87" s="23" t="b">
        <v>0</v>
      </c>
      <c r="H87" s="23">
        <v>2</v>
      </c>
      <c r="I87" s="23">
        <v>3</v>
      </c>
      <c r="J87" s="23">
        <v>0.16</v>
      </c>
      <c r="K87" s="23">
        <v>0.2273</v>
      </c>
      <c r="L87" s="23">
        <v>0.93</v>
      </c>
      <c r="M87" s="23">
        <v>0</v>
      </c>
      <c r="N87" s="23">
        <v>3</v>
      </c>
      <c r="O87" s="23">
        <v>132</v>
      </c>
      <c r="P87" s="23">
        <v>135</v>
      </c>
    </row>
    <row r="88" spans="1:16">
      <c r="A88" s="23">
        <v>697</v>
      </c>
      <c r="B88" s="24">
        <v>40575</v>
      </c>
      <c r="C88" s="23">
        <v>1</v>
      </c>
      <c r="D88" s="23">
        <v>0</v>
      </c>
      <c r="E88" s="23">
        <v>2</v>
      </c>
      <c r="F88" s="23">
        <v>9</v>
      </c>
      <c r="G88" s="23" t="b">
        <v>0</v>
      </c>
      <c r="H88" s="23">
        <v>2</v>
      </c>
      <c r="I88" s="23">
        <v>2</v>
      </c>
      <c r="J88" s="23">
        <v>0.16</v>
      </c>
      <c r="K88" s="23">
        <v>0.2273</v>
      </c>
      <c r="L88" s="23">
        <v>0.93</v>
      </c>
      <c r="M88" s="23">
        <v>0</v>
      </c>
      <c r="N88" s="23">
        <v>2</v>
      </c>
      <c r="O88" s="23">
        <v>114</v>
      </c>
      <c r="P88" s="23">
        <v>116</v>
      </c>
    </row>
    <row r="89" spans="1:16">
      <c r="A89" s="23">
        <v>698</v>
      </c>
      <c r="B89" s="24">
        <v>40575</v>
      </c>
      <c r="C89" s="23">
        <v>1</v>
      </c>
      <c r="D89" s="23">
        <v>0</v>
      </c>
      <c r="E89" s="23">
        <v>2</v>
      </c>
      <c r="F89" s="23">
        <v>10</v>
      </c>
      <c r="G89" s="23" t="b">
        <v>0</v>
      </c>
      <c r="H89" s="23">
        <v>2</v>
      </c>
      <c r="I89" s="23">
        <v>2</v>
      </c>
      <c r="J89" s="23">
        <v>0.16</v>
      </c>
      <c r="K89" s="23">
        <v>0.2273</v>
      </c>
      <c r="L89" s="23">
        <v>0.93</v>
      </c>
      <c r="M89" s="23">
        <v>0</v>
      </c>
      <c r="N89" s="23">
        <v>0</v>
      </c>
      <c r="O89" s="23">
        <v>47</v>
      </c>
      <c r="P89" s="23">
        <v>47</v>
      </c>
    </row>
    <row r="90" spans="1:16">
      <c r="A90" s="23">
        <v>699</v>
      </c>
      <c r="B90" s="24">
        <v>40575</v>
      </c>
      <c r="C90" s="23">
        <v>1</v>
      </c>
      <c r="D90" s="23">
        <v>0</v>
      </c>
      <c r="E90" s="23">
        <v>2</v>
      </c>
      <c r="F90" s="23">
        <v>11</v>
      </c>
      <c r="G90" s="23" t="b">
        <v>0</v>
      </c>
      <c r="H90" s="23">
        <v>2</v>
      </c>
      <c r="I90" s="23">
        <v>2</v>
      </c>
      <c r="J90" s="23">
        <v>0.18</v>
      </c>
      <c r="K90" s="23">
        <v>0.2424</v>
      </c>
      <c r="L90" s="23">
        <v>0.86</v>
      </c>
      <c r="M90" s="23">
        <v>0</v>
      </c>
      <c r="N90" s="23">
        <v>2</v>
      </c>
      <c r="O90" s="23">
        <v>49</v>
      </c>
      <c r="P90" s="23">
        <v>51</v>
      </c>
    </row>
    <row r="91" spans="1:16">
      <c r="A91" s="23">
        <v>700</v>
      </c>
      <c r="B91" s="24">
        <v>40575</v>
      </c>
      <c r="C91" s="23">
        <v>1</v>
      </c>
      <c r="D91" s="23">
        <v>0</v>
      </c>
      <c r="E91" s="23">
        <v>2</v>
      </c>
      <c r="F91" s="23">
        <v>12</v>
      </c>
      <c r="G91" s="23" t="b">
        <v>0</v>
      </c>
      <c r="H91" s="23">
        <v>2</v>
      </c>
      <c r="I91" s="23">
        <v>2</v>
      </c>
      <c r="J91" s="23">
        <v>0.2</v>
      </c>
      <c r="K91" s="23">
        <v>0.2576</v>
      </c>
      <c r="L91" s="23">
        <v>0.86</v>
      </c>
      <c r="M91" s="23">
        <v>0</v>
      </c>
      <c r="N91" s="23">
        <v>2</v>
      </c>
      <c r="O91" s="23">
        <v>53</v>
      </c>
      <c r="P91" s="23">
        <v>55</v>
      </c>
    </row>
    <row r="92" spans="1:16">
      <c r="A92" s="23">
        <v>701</v>
      </c>
      <c r="B92" s="24">
        <v>40575</v>
      </c>
      <c r="C92" s="23">
        <v>1</v>
      </c>
      <c r="D92" s="23">
        <v>0</v>
      </c>
      <c r="E92" s="23">
        <v>2</v>
      </c>
      <c r="F92" s="23">
        <v>13</v>
      </c>
      <c r="G92" s="23" t="b">
        <v>0</v>
      </c>
      <c r="H92" s="23">
        <v>2</v>
      </c>
      <c r="I92" s="23">
        <v>2</v>
      </c>
      <c r="J92" s="23">
        <v>0.2</v>
      </c>
      <c r="K92" s="23">
        <v>0.2576</v>
      </c>
      <c r="L92" s="23">
        <v>0.86</v>
      </c>
      <c r="M92" s="23">
        <v>0</v>
      </c>
      <c r="N92" s="23">
        <v>3</v>
      </c>
      <c r="O92" s="23">
        <v>49</v>
      </c>
      <c r="P92" s="23">
        <v>52</v>
      </c>
    </row>
    <row r="93" spans="1:16">
      <c r="A93" s="23">
        <v>702</v>
      </c>
      <c r="B93" s="24">
        <v>40575</v>
      </c>
      <c r="C93" s="23">
        <v>1</v>
      </c>
      <c r="D93" s="23">
        <v>0</v>
      </c>
      <c r="E93" s="23">
        <v>2</v>
      </c>
      <c r="F93" s="23">
        <v>14</v>
      </c>
      <c r="G93" s="23" t="b">
        <v>0</v>
      </c>
      <c r="H93" s="23">
        <v>2</v>
      </c>
      <c r="I93" s="23">
        <v>2</v>
      </c>
      <c r="J93" s="23">
        <v>0.22</v>
      </c>
      <c r="K93" s="23">
        <v>0.2576</v>
      </c>
      <c r="L93" s="23">
        <v>0.8</v>
      </c>
      <c r="M93" s="23">
        <v>8.9599999999999999E-2</v>
      </c>
      <c r="N93" s="23">
        <v>5</v>
      </c>
      <c r="O93" s="23">
        <v>49</v>
      </c>
      <c r="P93" s="23">
        <v>54</v>
      </c>
    </row>
    <row r="94" spans="1:16">
      <c r="A94" s="23">
        <v>703</v>
      </c>
      <c r="B94" s="24">
        <v>40575</v>
      </c>
      <c r="C94" s="23">
        <v>1</v>
      </c>
      <c r="D94" s="23">
        <v>0</v>
      </c>
      <c r="E94" s="23">
        <v>2</v>
      </c>
      <c r="F94" s="23">
        <v>15</v>
      </c>
      <c r="G94" s="23" t="b">
        <v>0</v>
      </c>
      <c r="H94" s="23">
        <v>2</v>
      </c>
      <c r="I94" s="23">
        <v>2</v>
      </c>
      <c r="J94" s="23">
        <v>0.24</v>
      </c>
      <c r="K94" s="23">
        <v>0.28789999999999999</v>
      </c>
      <c r="L94" s="23">
        <v>0.75</v>
      </c>
      <c r="M94" s="23">
        <v>0</v>
      </c>
      <c r="N94" s="23">
        <v>7</v>
      </c>
      <c r="O94" s="23">
        <v>45</v>
      </c>
      <c r="P94" s="23">
        <v>52</v>
      </c>
    </row>
    <row r="95" spans="1:16">
      <c r="A95" s="23">
        <v>704</v>
      </c>
      <c r="B95" s="24">
        <v>40575</v>
      </c>
      <c r="C95" s="23">
        <v>1</v>
      </c>
      <c r="D95" s="23">
        <v>0</v>
      </c>
      <c r="E95" s="23">
        <v>2</v>
      </c>
      <c r="F95" s="23">
        <v>16</v>
      </c>
      <c r="G95" s="23" t="b">
        <v>0</v>
      </c>
      <c r="H95" s="23">
        <v>2</v>
      </c>
      <c r="I95" s="23">
        <v>2</v>
      </c>
      <c r="J95" s="23">
        <v>0.24</v>
      </c>
      <c r="K95" s="23">
        <v>0.2424</v>
      </c>
      <c r="L95" s="23">
        <v>0.75</v>
      </c>
      <c r="M95" s="23">
        <v>0.1343</v>
      </c>
      <c r="N95" s="23">
        <v>3</v>
      </c>
      <c r="O95" s="23">
        <v>61</v>
      </c>
      <c r="P95" s="23">
        <v>64</v>
      </c>
    </row>
    <row r="96" spans="1:16">
      <c r="A96" s="23">
        <v>705</v>
      </c>
      <c r="B96" s="24">
        <v>40575</v>
      </c>
      <c r="C96" s="23">
        <v>1</v>
      </c>
      <c r="D96" s="23">
        <v>0</v>
      </c>
      <c r="E96" s="23">
        <v>2</v>
      </c>
      <c r="F96" s="23">
        <v>17</v>
      </c>
      <c r="G96" s="23" t="b">
        <v>0</v>
      </c>
      <c r="H96" s="23">
        <v>2</v>
      </c>
      <c r="I96" s="23">
        <v>2</v>
      </c>
      <c r="J96" s="23">
        <v>0.24</v>
      </c>
      <c r="K96" s="23">
        <v>0.28789999999999999</v>
      </c>
      <c r="L96" s="23">
        <v>0.75</v>
      </c>
      <c r="M96" s="23">
        <v>0</v>
      </c>
      <c r="N96" s="23">
        <v>4</v>
      </c>
      <c r="O96" s="23">
        <v>172</v>
      </c>
      <c r="P96" s="23">
        <v>176</v>
      </c>
    </row>
    <row r="97" spans="1:16">
      <c r="A97" s="23">
        <v>706</v>
      </c>
      <c r="B97" s="24">
        <v>40575</v>
      </c>
      <c r="C97" s="23">
        <v>1</v>
      </c>
      <c r="D97" s="23">
        <v>0</v>
      </c>
      <c r="E97" s="23">
        <v>2</v>
      </c>
      <c r="F97" s="23">
        <v>18</v>
      </c>
      <c r="G97" s="23" t="b">
        <v>0</v>
      </c>
      <c r="H97" s="23">
        <v>2</v>
      </c>
      <c r="I97" s="23">
        <v>2</v>
      </c>
      <c r="J97" s="23">
        <v>0.24</v>
      </c>
      <c r="K97" s="23">
        <v>0.2576</v>
      </c>
      <c r="L97" s="23">
        <v>0.81</v>
      </c>
      <c r="M97" s="23">
        <v>0.1045</v>
      </c>
      <c r="N97" s="23">
        <v>3</v>
      </c>
      <c r="O97" s="23">
        <v>165</v>
      </c>
      <c r="P97" s="23">
        <v>168</v>
      </c>
    </row>
    <row r="98" spans="1:16">
      <c r="A98" s="23">
        <v>707</v>
      </c>
      <c r="B98" s="24">
        <v>40575</v>
      </c>
      <c r="C98" s="23">
        <v>1</v>
      </c>
      <c r="D98" s="23">
        <v>0</v>
      </c>
      <c r="E98" s="23">
        <v>2</v>
      </c>
      <c r="F98" s="23">
        <v>19</v>
      </c>
      <c r="G98" s="23" t="b">
        <v>0</v>
      </c>
      <c r="H98" s="23">
        <v>2</v>
      </c>
      <c r="I98" s="23">
        <v>2</v>
      </c>
      <c r="J98" s="23">
        <v>0.24</v>
      </c>
      <c r="K98" s="23">
        <v>0.2424</v>
      </c>
      <c r="L98" s="23">
        <v>0.81</v>
      </c>
      <c r="M98" s="23">
        <v>0.1343</v>
      </c>
      <c r="N98" s="23">
        <v>3</v>
      </c>
      <c r="O98" s="23">
        <v>105</v>
      </c>
      <c r="P98" s="23">
        <v>108</v>
      </c>
    </row>
    <row r="99" spans="1:16">
      <c r="A99" s="23">
        <v>708</v>
      </c>
      <c r="B99" s="24">
        <v>40575</v>
      </c>
      <c r="C99" s="23">
        <v>1</v>
      </c>
      <c r="D99" s="23">
        <v>0</v>
      </c>
      <c r="E99" s="23">
        <v>2</v>
      </c>
      <c r="F99" s="23">
        <v>20</v>
      </c>
      <c r="G99" s="23" t="b">
        <v>0</v>
      </c>
      <c r="H99" s="23">
        <v>2</v>
      </c>
      <c r="I99" s="23">
        <v>2</v>
      </c>
      <c r="J99" s="23">
        <v>0.22</v>
      </c>
      <c r="K99" s="23">
        <v>0.2273</v>
      </c>
      <c r="L99" s="23">
        <v>0.87</v>
      </c>
      <c r="M99" s="23">
        <v>0.1343</v>
      </c>
      <c r="N99" s="23">
        <v>5</v>
      </c>
      <c r="O99" s="23">
        <v>69</v>
      </c>
      <c r="P99" s="23">
        <v>74</v>
      </c>
    </row>
    <row r="100" spans="1:16">
      <c r="A100" s="23">
        <v>709</v>
      </c>
      <c r="B100" s="24">
        <v>40575</v>
      </c>
      <c r="C100" s="23">
        <v>1</v>
      </c>
      <c r="D100" s="23">
        <v>0</v>
      </c>
      <c r="E100" s="23">
        <v>2</v>
      </c>
      <c r="F100" s="23">
        <v>21</v>
      </c>
      <c r="G100" s="23" t="b">
        <v>0</v>
      </c>
      <c r="H100" s="23">
        <v>2</v>
      </c>
      <c r="I100" s="23">
        <v>2</v>
      </c>
      <c r="J100" s="23">
        <v>0.22</v>
      </c>
      <c r="K100" s="23">
        <v>0.2273</v>
      </c>
      <c r="L100" s="23">
        <v>0.87</v>
      </c>
      <c r="M100" s="23">
        <v>0.1343</v>
      </c>
      <c r="N100" s="23">
        <v>0</v>
      </c>
      <c r="O100" s="23">
        <v>64</v>
      </c>
      <c r="P100" s="23">
        <v>64</v>
      </c>
    </row>
    <row r="101" spans="1:16">
      <c r="A101" s="23">
        <v>710</v>
      </c>
      <c r="B101" s="24">
        <v>40575</v>
      </c>
      <c r="C101" s="23">
        <v>1</v>
      </c>
      <c r="D101" s="23">
        <v>0</v>
      </c>
      <c r="E101" s="23">
        <v>2</v>
      </c>
      <c r="F101" s="23">
        <v>22</v>
      </c>
      <c r="G101" s="23" t="b">
        <v>0</v>
      </c>
      <c r="H101" s="23">
        <v>2</v>
      </c>
      <c r="I101" s="23">
        <v>2</v>
      </c>
      <c r="J101" s="23">
        <v>0.22</v>
      </c>
      <c r="K101" s="23">
        <v>0.2576</v>
      </c>
      <c r="L101" s="23">
        <v>0.87</v>
      </c>
      <c r="M101" s="23">
        <v>8.9599999999999999E-2</v>
      </c>
      <c r="N101" s="23">
        <v>2</v>
      </c>
      <c r="O101" s="23">
        <v>34</v>
      </c>
      <c r="P101" s="23">
        <v>36</v>
      </c>
    </row>
    <row r="102" spans="1:16">
      <c r="A102" s="23">
        <v>711</v>
      </c>
      <c r="B102" s="24">
        <v>40575</v>
      </c>
      <c r="C102" s="23">
        <v>1</v>
      </c>
      <c r="D102" s="23">
        <v>0</v>
      </c>
      <c r="E102" s="23">
        <v>2</v>
      </c>
      <c r="F102" s="23">
        <v>23</v>
      </c>
      <c r="G102" s="23" t="b">
        <v>0</v>
      </c>
      <c r="H102" s="23">
        <v>2</v>
      </c>
      <c r="I102" s="23">
        <v>3</v>
      </c>
      <c r="J102" s="23">
        <v>0.2</v>
      </c>
      <c r="K102" s="23">
        <v>0.19700000000000001</v>
      </c>
      <c r="L102" s="23">
        <v>0.93</v>
      </c>
      <c r="M102" s="23">
        <v>0.19400000000000001</v>
      </c>
      <c r="N102" s="23">
        <v>1</v>
      </c>
      <c r="O102" s="23">
        <v>15</v>
      </c>
      <c r="P102" s="23">
        <v>16</v>
      </c>
    </row>
    <row r="103" spans="1:16">
      <c r="A103" s="23">
        <v>712</v>
      </c>
      <c r="B103" s="24">
        <v>40576</v>
      </c>
      <c r="C103" s="23">
        <v>1</v>
      </c>
      <c r="D103" s="23">
        <v>0</v>
      </c>
      <c r="E103" s="23">
        <v>2</v>
      </c>
      <c r="F103" s="23">
        <v>0</v>
      </c>
      <c r="G103" s="23" t="b">
        <v>0</v>
      </c>
      <c r="H103" s="23">
        <v>3</v>
      </c>
      <c r="I103" s="23">
        <v>3</v>
      </c>
      <c r="J103" s="23">
        <v>0.22</v>
      </c>
      <c r="K103" s="23">
        <v>0.2424</v>
      </c>
      <c r="L103" s="23">
        <v>0.93</v>
      </c>
      <c r="M103" s="23">
        <v>0.1045</v>
      </c>
      <c r="N103" s="23">
        <v>0</v>
      </c>
      <c r="O103" s="23">
        <v>2</v>
      </c>
      <c r="P103" s="23">
        <v>2</v>
      </c>
    </row>
    <row r="104" spans="1:16">
      <c r="A104" s="23">
        <v>713</v>
      </c>
      <c r="B104" s="24">
        <v>40576</v>
      </c>
      <c r="C104" s="23">
        <v>1</v>
      </c>
      <c r="D104" s="23">
        <v>0</v>
      </c>
      <c r="E104" s="23">
        <v>2</v>
      </c>
      <c r="F104" s="23">
        <v>1</v>
      </c>
      <c r="G104" s="23" t="b">
        <v>0</v>
      </c>
      <c r="H104" s="23">
        <v>3</v>
      </c>
      <c r="I104" s="23">
        <v>3</v>
      </c>
      <c r="J104" s="23">
        <v>0.22</v>
      </c>
      <c r="K104" s="23">
        <v>0.2273</v>
      </c>
      <c r="L104" s="23">
        <v>0.93</v>
      </c>
      <c r="M104" s="23">
        <v>0.19400000000000001</v>
      </c>
      <c r="N104" s="23">
        <v>0</v>
      </c>
      <c r="O104" s="23">
        <v>3</v>
      </c>
      <c r="P104" s="23">
        <v>3</v>
      </c>
    </row>
    <row r="105" spans="1:16">
      <c r="A105" s="23">
        <v>714</v>
      </c>
      <c r="B105" s="24">
        <v>40576</v>
      </c>
      <c r="C105" s="23">
        <v>1</v>
      </c>
      <c r="D105" s="23">
        <v>0</v>
      </c>
      <c r="E105" s="23">
        <v>2</v>
      </c>
      <c r="F105" s="23">
        <v>2</v>
      </c>
      <c r="G105" s="23" t="b">
        <v>0</v>
      </c>
      <c r="H105" s="23">
        <v>3</v>
      </c>
      <c r="I105" s="23">
        <v>3</v>
      </c>
      <c r="J105" s="23">
        <v>0.22</v>
      </c>
      <c r="K105" s="23">
        <v>0.2273</v>
      </c>
      <c r="L105" s="23">
        <v>0.93</v>
      </c>
      <c r="M105" s="23">
        <v>0.1343</v>
      </c>
      <c r="N105" s="23">
        <v>4</v>
      </c>
      <c r="O105" s="23">
        <v>0</v>
      </c>
      <c r="P105" s="23">
        <v>4</v>
      </c>
    </row>
    <row r="106" spans="1:16">
      <c r="A106" s="23">
        <v>715</v>
      </c>
      <c r="B106" s="24">
        <v>40576</v>
      </c>
      <c r="C106" s="23">
        <v>1</v>
      </c>
      <c r="D106" s="23">
        <v>0</v>
      </c>
      <c r="E106" s="23">
        <v>2</v>
      </c>
      <c r="F106" s="23">
        <v>3</v>
      </c>
      <c r="G106" s="23" t="b">
        <v>0</v>
      </c>
      <c r="H106" s="23">
        <v>3</v>
      </c>
      <c r="I106" s="23">
        <v>3</v>
      </c>
      <c r="J106" s="23">
        <v>0.22</v>
      </c>
      <c r="K106" s="23">
        <v>0.2273</v>
      </c>
      <c r="L106" s="23">
        <v>0.93</v>
      </c>
      <c r="M106" s="23">
        <v>0.1343</v>
      </c>
      <c r="N106" s="23">
        <v>0</v>
      </c>
      <c r="O106" s="23">
        <v>1</v>
      </c>
      <c r="P106" s="23">
        <v>1</v>
      </c>
    </row>
    <row r="107" spans="1:16">
      <c r="A107" s="23">
        <v>716</v>
      </c>
      <c r="B107" s="24">
        <v>40576</v>
      </c>
      <c r="C107" s="23">
        <v>1</v>
      </c>
      <c r="D107" s="23">
        <v>0</v>
      </c>
      <c r="E107" s="23">
        <v>2</v>
      </c>
      <c r="F107" s="23">
        <v>4</v>
      </c>
      <c r="G107" s="23" t="b">
        <v>0</v>
      </c>
      <c r="H107" s="23">
        <v>3</v>
      </c>
      <c r="I107" s="23">
        <v>3</v>
      </c>
      <c r="J107" s="23">
        <v>0.22</v>
      </c>
      <c r="K107" s="23">
        <v>0.21210000000000001</v>
      </c>
      <c r="L107" s="23">
        <v>0.93</v>
      </c>
      <c r="M107" s="23">
        <v>0.28360000000000002</v>
      </c>
      <c r="N107" s="23">
        <v>0</v>
      </c>
      <c r="O107" s="23">
        <v>1</v>
      </c>
      <c r="P107" s="23">
        <v>1</v>
      </c>
    </row>
    <row r="108" spans="1:16">
      <c r="A108" s="23">
        <v>717</v>
      </c>
      <c r="B108" s="24">
        <v>40576</v>
      </c>
      <c r="C108" s="23">
        <v>1</v>
      </c>
      <c r="D108" s="23">
        <v>0</v>
      </c>
      <c r="E108" s="23">
        <v>2</v>
      </c>
      <c r="F108" s="23">
        <v>5</v>
      </c>
      <c r="G108" s="23" t="b">
        <v>0</v>
      </c>
      <c r="H108" s="23">
        <v>3</v>
      </c>
      <c r="I108" s="23">
        <v>3</v>
      </c>
      <c r="J108" s="23">
        <v>0.22</v>
      </c>
      <c r="K108" s="23">
        <v>0.2424</v>
      </c>
      <c r="L108" s="23">
        <v>0.93</v>
      </c>
      <c r="M108" s="23">
        <v>0.1045</v>
      </c>
      <c r="N108" s="23">
        <v>0</v>
      </c>
      <c r="O108" s="23">
        <v>3</v>
      </c>
      <c r="P108" s="23">
        <v>3</v>
      </c>
    </row>
    <row r="109" spans="1:16">
      <c r="A109" s="23">
        <v>718</v>
      </c>
      <c r="B109" s="24">
        <v>40576</v>
      </c>
      <c r="C109" s="23">
        <v>1</v>
      </c>
      <c r="D109" s="23">
        <v>0</v>
      </c>
      <c r="E109" s="23">
        <v>2</v>
      </c>
      <c r="F109" s="23">
        <v>6</v>
      </c>
      <c r="G109" s="23" t="b">
        <v>0</v>
      </c>
      <c r="H109" s="23">
        <v>3</v>
      </c>
      <c r="I109" s="23">
        <v>3</v>
      </c>
      <c r="J109" s="23">
        <v>0.22</v>
      </c>
      <c r="K109" s="23">
        <v>0.2424</v>
      </c>
      <c r="L109" s="23">
        <v>0.93</v>
      </c>
      <c r="M109" s="23">
        <v>0.1045</v>
      </c>
      <c r="N109" s="23">
        <v>1</v>
      </c>
      <c r="O109" s="23">
        <v>17</v>
      </c>
      <c r="P109" s="23">
        <v>18</v>
      </c>
    </row>
    <row r="110" spans="1:16">
      <c r="A110" s="23">
        <v>719</v>
      </c>
      <c r="B110" s="24">
        <v>40576</v>
      </c>
      <c r="C110" s="23">
        <v>1</v>
      </c>
      <c r="D110" s="23">
        <v>0</v>
      </c>
      <c r="E110" s="23">
        <v>2</v>
      </c>
      <c r="F110" s="23">
        <v>7</v>
      </c>
      <c r="G110" s="23" t="b">
        <v>0</v>
      </c>
      <c r="H110" s="23">
        <v>3</v>
      </c>
      <c r="I110" s="23">
        <v>3</v>
      </c>
      <c r="J110" s="23">
        <v>0.22</v>
      </c>
      <c r="K110" s="23">
        <v>0.21210000000000001</v>
      </c>
      <c r="L110" s="23">
        <v>0.93</v>
      </c>
      <c r="M110" s="23">
        <v>0.22389999999999999</v>
      </c>
      <c r="N110" s="23">
        <v>1</v>
      </c>
      <c r="O110" s="23">
        <v>48</v>
      </c>
      <c r="P110" s="23">
        <v>49</v>
      </c>
    </row>
    <row r="111" spans="1:16">
      <c r="A111" s="23">
        <v>720</v>
      </c>
      <c r="B111" s="24">
        <v>40576</v>
      </c>
      <c r="C111" s="23">
        <v>1</v>
      </c>
      <c r="D111" s="23">
        <v>0</v>
      </c>
      <c r="E111" s="23">
        <v>2</v>
      </c>
      <c r="F111" s="23">
        <v>8</v>
      </c>
      <c r="G111" s="23" t="b">
        <v>0</v>
      </c>
      <c r="H111" s="23">
        <v>3</v>
      </c>
      <c r="I111" s="23">
        <v>3</v>
      </c>
      <c r="J111" s="23">
        <v>0.22</v>
      </c>
      <c r="K111" s="23">
        <v>0.21210000000000001</v>
      </c>
      <c r="L111" s="23">
        <v>0.93</v>
      </c>
      <c r="M111" s="23">
        <v>0.22389999999999999</v>
      </c>
      <c r="N111" s="23">
        <v>1</v>
      </c>
      <c r="O111" s="23">
        <v>154</v>
      </c>
      <c r="P111" s="23">
        <v>155</v>
      </c>
    </row>
    <row r="112" spans="1:16">
      <c r="A112" s="23">
        <v>721</v>
      </c>
      <c r="B112" s="24">
        <v>40576</v>
      </c>
      <c r="C112" s="23">
        <v>1</v>
      </c>
      <c r="D112" s="23">
        <v>0</v>
      </c>
      <c r="E112" s="23">
        <v>2</v>
      </c>
      <c r="F112" s="23">
        <v>9</v>
      </c>
      <c r="G112" s="23" t="b">
        <v>0</v>
      </c>
      <c r="H112" s="23">
        <v>3</v>
      </c>
      <c r="I112" s="23">
        <v>2</v>
      </c>
      <c r="J112" s="23">
        <v>0.24</v>
      </c>
      <c r="K112" s="23">
        <v>0.2576</v>
      </c>
      <c r="L112" s="23">
        <v>0.93</v>
      </c>
      <c r="M112" s="23">
        <v>8.9599999999999999E-2</v>
      </c>
      <c r="N112" s="23">
        <v>4</v>
      </c>
      <c r="O112" s="23">
        <v>119</v>
      </c>
      <c r="P112" s="23">
        <v>123</v>
      </c>
    </row>
    <row r="113" spans="1:16">
      <c r="A113" s="23">
        <v>722</v>
      </c>
      <c r="B113" s="24">
        <v>40576</v>
      </c>
      <c r="C113" s="23">
        <v>1</v>
      </c>
      <c r="D113" s="23">
        <v>0</v>
      </c>
      <c r="E113" s="23">
        <v>2</v>
      </c>
      <c r="F113" s="23">
        <v>10</v>
      </c>
      <c r="G113" s="23" t="b">
        <v>0</v>
      </c>
      <c r="H113" s="23">
        <v>3</v>
      </c>
      <c r="I113" s="23">
        <v>2</v>
      </c>
      <c r="J113" s="23">
        <v>0.22</v>
      </c>
      <c r="K113" s="23">
        <v>0.2727</v>
      </c>
      <c r="L113" s="23">
        <v>1</v>
      </c>
      <c r="M113" s="23">
        <v>0</v>
      </c>
      <c r="N113" s="23">
        <v>2</v>
      </c>
      <c r="O113" s="23">
        <v>59</v>
      </c>
      <c r="P113" s="23">
        <v>61</v>
      </c>
    </row>
    <row r="114" spans="1:16">
      <c r="A114" s="23">
        <v>723</v>
      </c>
      <c r="B114" s="24">
        <v>40576</v>
      </c>
      <c r="C114" s="23">
        <v>1</v>
      </c>
      <c r="D114" s="23">
        <v>0</v>
      </c>
      <c r="E114" s="23">
        <v>2</v>
      </c>
      <c r="F114" s="23">
        <v>11</v>
      </c>
      <c r="G114" s="23" t="b">
        <v>0</v>
      </c>
      <c r="H114" s="23">
        <v>3</v>
      </c>
      <c r="I114" s="23">
        <v>2</v>
      </c>
      <c r="J114" s="23">
        <v>0.24</v>
      </c>
      <c r="K114" s="23">
        <v>0.2273</v>
      </c>
      <c r="L114" s="23">
        <v>0.93</v>
      </c>
      <c r="M114" s="23">
        <v>0.19400000000000001</v>
      </c>
      <c r="N114" s="23">
        <v>5</v>
      </c>
      <c r="O114" s="23">
        <v>47</v>
      </c>
      <c r="P114" s="23">
        <v>52</v>
      </c>
    </row>
    <row r="115" spans="1:16">
      <c r="A115" s="23">
        <v>724</v>
      </c>
      <c r="B115" s="24">
        <v>40576</v>
      </c>
      <c r="C115" s="23">
        <v>1</v>
      </c>
      <c r="D115" s="23">
        <v>0</v>
      </c>
      <c r="E115" s="23">
        <v>2</v>
      </c>
      <c r="F115" s="23">
        <v>12</v>
      </c>
      <c r="G115" s="23" t="b">
        <v>0</v>
      </c>
      <c r="H115" s="23">
        <v>3</v>
      </c>
      <c r="I115" s="23">
        <v>2</v>
      </c>
      <c r="J115" s="23">
        <v>0.24</v>
      </c>
      <c r="K115" s="23">
        <v>0.2273</v>
      </c>
      <c r="L115" s="23">
        <v>0.93</v>
      </c>
      <c r="M115" s="23">
        <v>0.22389999999999999</v>
      </c>
      <c r="N115" s="23">
        <v>3</v>
      </c>
      <c r="O115" s="23">
        <v>61</v>
      </c>
      <c r="P115" s="23">
        <v>64</v>
      </c>
    </row>
    <row r="116" spans="1:16">
      <c r="A116" s="23">
        <v>725</v>
      </c>
      <c r="B116" s="24">
        <v>40576</v>
      </c>
      <c r="C116" s="23">
        <v>1</v>
      </c>
      <c r="D116" s="23">
        <v>0</v>
      </c>
      <c r="E116" s="23">
        <v>2</v>
      </c>
      <c r="F116" s="23">
        <v>13</v>
      </c>
      <c r="G116" s="23" t="b">
        <v>0</v>
      </c>
      <c r="H116" s="23">
        <v>3</v>
      </c>
      <c r="I116" s="23">
        <v>1</v>
      </c>
      <c r="J116" s="23">
        <v>0.34</v>
      </c>
      <c r="K116" s="23">
        <v>0.33329999999999999</v>
      </c>
      <c r="L116" s="23">
        <v>0.93</v>
      </c>
      <c r="M116" s="23">
        <v>0.16420000000000001</v>
      </c>
      <c r="N116" s="23">
        <v>1</v>
      </c>
      <c r="O116" s="23">
        <v>74</v>
      </c>
      <c r="P116" s="23">
        <v>75</v>
      </c>
    </row>
    <row r="117" spans="1:16">
      <c r="A117" s="23">
        <v>726</v>
      </c>
      <c r="B117" s="24">
        <v>40576</v>
      </c>
      <c r="C117" s="23">
        <v>1</v>
      </c>
      <c r="D117" s="23">
        <v>0</v>
      </c>
      <c r="E117" s="23">
        <v>2</v>
      </c>
      <c r="F117" s="23">
        <v>14</v>
      </c>
      <c r="G117" s="23" t="b">
        <v>0</v>
      </c>
      <c r="H117" s="23">
        <v>3</v>
      </c>
      <c r="I117" s="23">
        <v>1</v>
      </c>
      <c r="J117" s="23">
        <v>0.38</v>
      </c>
      <c r="K117" s="23">
        <v>0.39389999999999997</v>
      </c>
      <c r="L117" s="23">
        <v>0.82</v>
      </c>
      <c r="M117" s="23">
        <v>0.3881</v>
      </c>
      <c r="N117" s="23">
        <v>2</v>
      </c>
      <c r="O117" s="23">
        <v>61</v>
      </c>
      <c r="P117" s="23">
        <v>63</v>
      </c>
    </row>
    <row r="118" spans="1:16">
      <c r="A118" s="23">
        <v>727</v>
      </c>
      <c r="B118" s="24">
        <v>40576</v>
      </c>
      <c r="C118" s="23">
        <v>1</v>
      </c>
      <c r="D118" s="23">
        <v>0</v>
      </c>
      <c r="E118" s="23">
        <v>2</v>
      </c>
      <c r="F118" s="23">
        <v>15</v>
      </c>
      <c r="G118" s="23" t="b">
        <v>0</v>
      </c>
      <c r="H118" s="23">
        <v>3</v>
      </c>
      <c r="I118" s="23">
        <v>1</v>
      </c>
      <c r="J118" s="23">
        <v>0.38</v>
      </c>
      <c r="K118" s="23">
        <v>0.39389999999999997</v>
      </c>
      <c r="L118" s="23">
        <v>0.76</v>
      </c>
      <c r="M118" s="23">
        <v>0.32840000000000003</v>
      </c>
      <c r="N118" s="23">
        <v>10</v>
      </c>
      <c r="O118" s="23">
        <v>66</v>
      </c>
      <c r="P118" s="23">
        <v>76</v>
      </c>
    </row>
    <row r="119" spans="1:16">
      <c r="A119" s="23">
        <v>728</v>
      </c>
      <c r="B119" s="24">
        <v>40576</v>
      </c>
      <c r="C119" s="23">
        <v>1</v>
      </c>
      <c r="D119" s="23">
        <v>0</v>
      </c>
      <c r="E119" s="23">
        <v>2</v>
      </c>
      <c r="F119" s="23">
        <v>16</v>
      </c>
      <c r="G119" s="23" t="b">
        <v>0</v>
      </c>
      <c r="H119" s="23">
        <v>3</v>
      </c>
      <c r="I119" s="23">
        <v>1</v>
      </c>
      <c r="J119" s="23">
        <v>0.36</v>
      </c>
      <c r="K119" s="23">
        <v>0.33329999999999999</v>
      </c>
      <c r="L119" s="23">
        <v>0.71</v>
      </c>
      <c r="M119" s="23">
        <v>0.29849999999999999</v>
      </c>
      <c r="N119" s="23">
        <v>8</v>
      </c>
      <c r="O119" s="23">
        <v>95</v>
      </c>
      <c r="P119" s="23">
        <v>103</v>
      </c>
    </row>
    <row r="120" spans="1:16">
      <c r="A120" s="23">
        <v>729</v>
      </c>
      <c r="B120" s="24">
        <v>40576</v>
      </c>
      <c r="C120" s="23">
        <v>1</v>
      </c>
      <c r="D120" s="23">
        <v>0</v>
      </c>
      <c r="E120" s="23">
        <v>2</v>
      </c>
      <c r="F120" s="23">
        <v>17</v>
      </c>
      <c r="G120" s="23" t="b">
        <v>0</v>
      </c>
      <c r="H120" s="23">
        <v>3</v>
      </c>
      <c r="I120" s="23">
        <v>1</v>
      </c>
      <c r="J120" s="23">
        <v>0.36</v>
      </c>
      <c r="K120" s="23">
        <v>0.31819999999999998</v>
      </c>
      <c r="L120" s="23">
        <v>0.53</v>
      </c>
      <c r="M120" s="23">
        <v>0.52239999999999998</v>
      </c>
      <c r="N120" s="23">
        <v>7</v>
      </c>
      <c r="O120" s="23">
        <v>183</v>
      </c>
      <c r="P120" s="23">
        <v>190</v>
      </c>
    </row>
    <row r="121" spans="1:16">
      <c r="A121" s="23">
        <v>730</v>
      </c>
      <c r="B121" s="24">
        <v>40576</v>
      </c>
      <c r="C121" s="23">
        <v>1</v>
      </c>
      <c r="D121" s="23">
        <v>0</v>
      </c>
      <c r="E121" s="23">
        <v>2</v>
      </c>
      <c r="F121" s="23">
        <v>18</v>
      </c>
      <c r="G121" s="23" t="b">
        <v>0</v>
      </c>
      <c r="H121" s="23">
        <v>3</v>
      </c>
      <c r="I121" s="23">
        <v>1</v>
      </c>
      <c r="J121" s="23">
        <v>0.34</v>
      </c>
      <c r="K121" s="23">
        <v>0.28789999999999999</v>
      </c>
      <c r="L121" s="23">
        <v>0.42</v>
      </c>
      <c r="M121" s="23">
        <v>0.55220000000000002</v>
      </c>
      <c r="N121" s="23">
        <v>7</v>
      </c>
      <c r="O121" s="23">
        <v>175</v>
      </c>
      <c r="P121" s="23">
        <v>182</v>
      </c>
    </row>
    <row r="122" spans="1:16">
      <c r="A122" s="23">
        <v>731</v>
      </c>
      <c r="B122" s="24">
        <v>40576</v>
      </c>
      <c r="C122" s="23">
        <v>1</v>
      </c>
      <c r="D122" s="23">
        <v>0</v>
      </c>
      <c r="E122" s="23">
        <v>2</v>
      </c>
      <c r="F122" s="23">
        <v>19</v>
      </c>
      <c r="G122" s="23" t="b">
        <v>0</v>
      </c>
      <c r="H122" s="23">
        <v>3</v>
      </c>
      <c r="I122" s="23">
        <v>1</v>
      </c>
      <c r="J122" s="23">
        <v>0.28000000000000003</v>
      </c>
      <c r="K122" s="23">
        <v>0.2424</v>
      </c>
      <c r="L122" s="23">
        <v>0.45</v>
      </c>
      <c r="M122" s="23">
        <v>0.49249999999999999</v>
      </c>
      <c r="N122" s="23">
        <v>3</v>
      </c>
      <c r="O122" s="23">
        <v>88</v>
      </c>
      <c r="P122" s="23">
        <v>91</v>
      </c>
    </row>
    <row r="123" spans="1:16">
      <c r="A123" s="23">
        <v>732</v>
      </c>
      <c r="B123" s="24">
        <v>40576</v>
      </c>
      <c r="C123" s="23">
        <v>1</v>
      </c>
      <c r="D123" s="23">
        <v>0</v>
      </c>
      <c r="E123" s="23">
        <v>2</v>
      </c>
      <c r="F123" s="23">
        <v>20</v>
      </c>
      <c r="G123" s="23" t="b">
        <v>0</v>
      </c>
      <c r="H123" s="23">
        <v>3</v>
      </c>
      <c r="I123" s="23">
        <v>1</v>
      </c>
      <c r="J123" s="23">
        <v>0.24</v>
      </c>
      <c r="K123" s="23">
        <v>0.19700000000000001</v>
      </c>
      <c r="L123" s="23">
        <v>0.48</v>
      </c>
      <c r="M123" s="23">
        <v>0.55220000000000002</v>
      </c>
      <c r="N123" s="23">
        <v>4</v>
      </c>
      <c r="O123" s="23">
        <v>71</v>
      </c>
      <c r="P123" s="23">
        <v>75</v>
      </c>
    </row>
    <row r="124" spans="1:16">
      <c r="A124" s="23">
        <v>733</v>
      </c>
      <c r="B124" s="24">
        <v>40576</v>
      </c>
      <c r="C124" s="23">
        <v>1</v>
      </c>
      <c r="D124" s="23">
        <v>0</v>
      </c>
      <c r="E124" s="23">
        <v>2</v>
      </c>
      <c r="F124" s="23">
        <v>21</v>
      </c>
      <c r="G124" s="23" t="b">
        <v>0</v>
      </c>
      <c r="H124" s="23">
        <v>3</v>
      </c>
      <c r="I124" s="23">
        <v>1</v>
      </c>
      <c r="J124" s="23">
        <v>0.22</v>
      </c>
      <c r="K124" s="23">
        <v>0.19700000000000001</v>
      </c>
      <c r="L124" s="23">
        <v>0.47</v>
      </c>
      <c r="M124" s="23">
        <v>0.32840000000000003</v>
      </c>
      <c r="N124" s="23">
        <v>1</v>
      </c>
      <c r="O124" s="23">
        <v>62</v>
      </c>
      <c r="P124" s="23">
        <v>63</v>
      </c>
    </row>
    <row r="125" spans="1:16">
      <c r="A125" s="23">
        <v>734</v>
      </c>
      <c r="B125" s="24">
        <v>40576</v>
      </c>
      <c r="C125" s="23">
        <v>1</v>
      </c>
      <c r="D125" s="23">
        <v>0</v>
      </c>
      <c r="E125" s="23">
        <v>2</v>
      </c>
      <c r="F125" s="23">
        <v>22</v>
      </c>
      <c r="G125" s="23" t="b">
        <v>0</v>
      </c>
      <c r="H125" s="23">
        <v>3</v>
      </c>
      <c r="I125" s="23">
        <v>1</v>
      </c>
      <c r="J125" s="23">
        <v>0.22</v>
      </c>
      <c r="K125" s="23">
        <v>0.21210000000000001</v>
      </c>
      <c r="L125" s="23">
        <v>0.44</v>
      </c>
      <c r="M125" s="23">
        <v>0.25369999999999998</v>
      </c>
      <c r="N125" s="23">
        <v>5</v>
      </c>
      <c r="O125" s="23">
        <v>35</v>
      </c>
      <c r="P125" s="23">
        <v>40</v>
      </c>
    </row>
    <row r="126" spans="1:16">
      <c r="A126" s="23">
        <v>735</v>
      </c>
      <c r="B126" s="24">
        <v>40576</v>
      </c>
      <c r="C126" s="23">
        <v>1</v>
      </c>
      <c r="D126" s="23">
        <v>0</v>
      </c>
      <c r="E126" s="23">
        <v>2</v>
      </c>
      <c r="F126" s="23">
        <v>23</v>
      </c>
      <c r="G126" s="23" t="b">
        <v>0</v>
      </c>
      <c r="H126" s="23">
        <v>3</v>
      </c>
      <c r="I126" s="23">
        <v>1</v>
      </c>
      <c r="J126" s="23">
        <v>0.2</v>
      </c>
      <c r="K126" s="23">
        <v>0.16669999999999999</v>
      </c>
      <c r="L126" s="23">
        <v>0.44</v>
      </c>
      <c r="M126" s="23">
        <v>0.44779999999999998</v>
      </c>
      <c r="N126" s="23">
        <v>3</v>
      </c>
      <c r="O126" s="23">
        <v>29</v>
      </c>
      <c r="P126" s="23">
        <v>32</v>
      </c>
    </row>
    <row r="127" spans="1:16">
      <c r="A127" s="23">
        <v>736</v>
      </c>
      <c r="B127" s="24">
        <v>40577</v>
      </c>
      <c r="C127" s="23">
        <v>1</v>
      </c>
      <c r="D127" s="23">
        <v>0</v>
      </c>
      <c r="E127" s="23">
        <v>2</v>
      </c>
      <c r="F127" s="23">
        <v>0</v>
      </c>
      <c r="G127" s="23" t="b">
        <v>0</v>
      </c>
      <c r="H127" s="23">
        <v>4</v>
      </c>
      <c r="I127" s="23">
        <v>1</v>
      </c>
      <c r="J127" s="23">
        <v>0.2</v>
      </c>
      <c r="K127" s="23">
        <v>0.16669999999999999</v>
      </c>
      <c r="L127" s="23">
        <v>0.4</v>
      </c>
      <c r="M127" s="23">
        <v>0.44779999999999998</v>
      </c>
      <c r="N127" s="23">
        <v>1</v>
      </c>
      <c r="O127" s="23">
        <v>11</v>
      </c>
      <c r="P127" s="23">
        <v>12</v>
      </c>
    </row>
    <row r="128" spans="1:16">
      <c r="A128" s="23">
        <v>737</v>
      </c>
      <c r="B128" s="24">
        <v>40577</v>
      </c>
      <c r="C128" s="23">
        <v>1</v>
      </c>
      <c r="D128" s="23">
        <v>0</v>
      </c>
      <c r="E128" s="23">
        <v>2</v>
      </c>
      <c r="F128" s="23">
        <v>1</v>
      </c>
      <c r="G128" s="23" t="b">
        <v>0</v>
      </c>
      <c r="H128" s="23">
        <v>4</v>
      </c>
      <c r="I128" s="23">
        <v>1</v>
      </c>
      <c r="J128" s="23">
        <v>0.2</v>
      </c>
      <c r="K128" s="23">
        <v>0.1515</v>
      </c>
      <c r="L128" s="23">
        <v>0.44</v>
      </c>
      <c r="M128" s="23">
        <v>0.52239999999999998</v>
      </c>
      <c r="N128" s="23">
        <v>0</v>
      </c>
      <c r="O128" s="23">
        <v>5</v>
      </c>
      <c r="P128" s="23">
        <v>5</v>
      </c>
    </row>
    <row r="129" spans="1:16">
      <c r="A129" s="23">
        <v>738</v>
      </c>
      <c r="B129" s="24">
        <v>40577</v>
      </c>
      <c r="C129" s="23">
        <v>1</v>
      </c>
      <c r="D129" s="23">
        <v>0</v>
      </c>
      <c r="E129" s="23">
        <v>2</v>
      </c>
      <c r="F129" s="23">
        <v>2</v>
      </c>
      <c r="G129" s="23" t="b">
        <v>0</v>
      </c>
      <c r="H129" s="23">
        <v>4</v>
      </c>
      <c r="I129" s="23">
        <v>1</v>
      </c>
      <c r="J129" s="23">
        <v>0.18</v>
      </c>
      <c r="K129" s="23">
        <v>0.16669999999999999</v>
      </c>
      <c r="L129" s="23">
        <v>0.43</v>
      </c>
      <c r="M129" s="23">
        <v>0.25369999999999998</v>
      </c>
      <c r="N129" s="23">
        <v>0</v>
      </c>
      <c r="O129" s="23">
        <v>2</v>
      </c>
      <c r="P129" s="23">
        <v>2</v>
      </c>
    </row>
    <row r="130" spans="1:16">
      <c r="A130" s="23">
        <v>739</v>
      </c>
      <c r="B130" s="24">
        <v>40577</v>
      </c>
      <c r="C130" s="23">
        <v>1</v>
      </c>
      <c r="D130" s="23">
        <v>0</v>
      </c>
      <c r="E130" s="23">
        <v>2</v>
      </c>
      <c r="F130" s="23">
        <v>3</v>
      </c>
      <c r="G130" s="23" t="b">
        <v>0</v>
      </c>
      <c r="H130" s="23">
        <v>4</v>
      </c>
      <c r="I130" s="23">
        <v>1</v>
      </c>
      <c r="J130" s="23">
        <v>0.18</v>
      </c>
      <c r="K130" s="23">
        <v>0.16669999999999999</v>
      </c>
      <c r="L130" s="23">
        <v>0.43</v>
      </c>
      <c r="M130" s="23">
        <v>0.25369999999999998</v>
      </c>
      <c r="N130" s="23">
        <v>0</v>
      </c>
      <c r="O130" s="23">
        <v>1</v>
      </c>
      <c r="P130" s="23">
        <v>1</v>
      </c>
    </row>
    <row r="131" spans="1:16">
      <c r="A131" s="23">
        <v>740</v>
      </c>
      <c r="B131" s="24">
        <v>40577</v>
      </c>
      <c r="C131" s="23">
        <v>1</v>
      </c>
      <c r="D131" s="23">
        <v>0</v>
      </c>
      <c r="E131" s="23">
        <v>2</v>
      </c>
      <c r="F131" s="23">
        <v>5</v>
      </c>
      <c r="G131" s="23" t="b">
        <v>0</v>
      </c>
      <c r="H131" s="23">
        <v>4</v>
      </c>
      <c r="I131" s="23">
        <v>1</v>
      </c>
      <c r="J131" s="23">
        <v>0.16</v>
      </c>
      <c r="K131" s="23">
        <v>0.13639999999999999</v>
      </c>
      <c r="L131" s="23">
        <v>0.5</v>
      </c>
      <c r="M131" s="23">
        <v>0.29849999999999999</v>
      </c>
      <c r="N131" s="23">
        <v>0</v>
      </c>
      <c r="O131" s="23">
        <v>2</v>
      </c>
      <c r="P131" s="23">
        <v>2</v>
      </c>
    </row>
    <row r="132" spans="1:16">
      <c r="A132" s="23">
        <v>741</v>
      </c>
      <c r="B132" s="24">
        <v>40577</v>
      </c>
      <c r="C132" s="23">
        <v>1</v>
      </c>
      <c r="D132" s="23">
        <v>0</v>
      </c>
      <c r="E132" s="23">
        <v>2</v>
      </c>
      <c r="F132" s="23">
        <v>6</v>
      </c>
      <c r="G132" s="23" t="b">
        <v>0</v>
      </c>
      <c r="H132" s="23">
        <v>4</v>
      </c>
      <c r="I132" s="23">
        <v>1</v>
      </c>
      <c r="J132" s="23">
        <v>0.16</v>
      </c>
      <c r="K132" s="23">
        <v>0.13639999999999999</v>
      </c>
      <c r="L132" s="23">
        <v>0.43</v>
      </c>
      <c r="M132" s="23">
        <v>0.35820000000000002</v>
      </c>
      <c r="N132" s="23">
        <v>0</v>
      </c>
      <c r="O132" s="23">
        <v>39</v>
      </c>
      <c r="P132" s="23">
        <v>39</v>
      </c>
    </row>
    <row r="133" spans="1:16">
      <c r="A133" s="23">
        <v>742</v>
      </c>
      <c r="B133" s="24">
        <v>40577</v>
      </c>
      <c r="C133" s="23">
        <v>1</v>
      </c>
      <c r="D133" s="23">
        <v>0</v>
      </c>
      <c r="E133" s="23">
        <v>2</v>
      </c>
      <c r="F133" s="23">
        <v>7</v>
      </c>
      <c r="G133" s="23" t="b">
        <v>0</v>
      </c>
      <c r="H133" s="23">
        <v>4</v>
      </c>
      <c r="I133" s="23">
        <v>1</v>
      </c>
      <c r="J133" s="23">
        <v>0.14000000000000001</v>
      </c>
      <c r="K133" s="23">
        <v>0.1212</v>
      </c>
      <c r="L133" s="23">
        <v>0.5</v>
      </c>
      <c r="M133" s="23">
        <v>0.32840000000000003</v>
      </c>
      <c r="N133" s="23">
        <v>1</v>
      </c>
      <c r="O133" s="23">
        <v>86</v>
      </c>
      <c r="P133" s="23">
        <v>87</v>
      </c>
    </row>
    <row r="134" spans="1:16">
      <c r="A134" s="23">
        <v>743</v>
      </c>
      <c r="B134" s="24">
        <v>40577</v>
      </c>
      <c r="C134" s="23">
        <v>1</v>
      </c>
      <c r="D134" s="23">
        <v>0</v>
      </c>
      <c r="E134" s="23">
        <v>2</v>
      </c>
      <c r="F134" s="23">
        <v>8</v>
      </c>
      <c r="G134" s="23" t="b">
        <v>0</v>
      </c>
      <c r="H134" s="23">
        <v>4</v>
      </c>
      <c r="I134" s="23">
        <v>1</v>
      </c>
      <c r="J134" s="23">
        <v>0.14000000000000001</v>
      </c>
      <c r="K134" s="23">
        <v>0.1212</v>
      </c>
      <c r="L134" s="23">
        <v>0.5</v>
      </c>
      <c r="M134" s="23">
        <v>0.35820000000000002</v>
      </c>
      <c r="N134" s="23">
        <v>4</v>
      </c>
      <c r="O134" s="23">
        <v>184</v>
      </c>
      <c r="P134" s="23">
        <v>188</v>
      </c>
    </row>
    <row r="135" spans="1:16">
      <c r="A135" s="23">
        <v>744</v>
      </c>
      <c r="B135" s="24">
        <v>40577</v>
      </c>
      <c r="C135" s="23">
        <v>1</v>
      </c>
      <c r="D135" s="23">
        <v>0</v>
      </c>
      <c r="E135" s="23">
        <v>2</v>
      </c>
      <c r="F135" s="23">
        <v>9</v>
      </c>
      <c r="G135" s="23" t="b">
        <v>0</v>
      </c>
      <c r="H135" s="23">
        <v>4</v>
      </c>
      <c r="I135" s="23">
        <v>1</v>
      </c>
      <c r="J135" s="23">
        <v>0.16</v>
      </c>
      <c r="K135" s="23">
        <v>0.13639999999999999</v>
      </c>
      <c r="L135" s="23">
        <v>0.47</v>
      </c>
      <c r="M135" s="23">
        <v>0.29849999999999999</v>
      </c>
      <c r="N135" s="23">
        <v>6</v>
      </c>
      <c r="O135" s="23">
        <v>127</v>
      </c>
      <c r="P135" s="23">
        <v>133</v>
      </c>
    </row>
    <row r="136" spans="1:16">
      <c r="A136" s="23">
        <v>745</v>
      </c>
      <c r="B136" s="24">
        <v>40577</v>
      </c>
      <c r="C136" s="23">
        <v>1</v>
      </c>
      <c r="D136" s="23">
        <v>0</v>
      </c>
      <c r="E136" s="23">
        <v>2</v>
      </c>
      <c r="F136" s="23">
        <v>10</v>
      </c>
      <c r="G136" s="23" t="b">
        <v>0</v>
      </c>
      <c r="H136" s="23">
        <v>4</v>
      </c>
      <c r="I136" s="23">
        <v>1</v>
      </c>
      <c r="J136" s="23">
        <v>0.18</v>
      </c>
      <c r="K136" s="23">
        <v>0.1515</v>
      </c>
      <c r="L136" s="23">
        <v>0.43</v>
      </c>
      <c r="M136" s="23">
        <v>0.32840000000000003</v>
      </c>
      <c r="N136" s="23">
        <v>2</v>
      </c>
      <c r="O136" s="23">
        <v>50</v>
      </c>
      <c r="P136" s="23">
        <v>52</v>
      </c>
    </row>
    <row r="137" spans="1:16">
      <c r="A137" s="23">
        <v>746</v>
      </c>
      <c r="B137" s="24">
        <v>40577</v>
      </c>
      <c r="C137" s="23">
        <v>1</v>
      </c>
      <c r="D137" s="23">
        <v>0</v>
      </c>
      <c r="E137" s="23">
        <v>2</v>
      </c>
      <c r="F137" s="23">
        <v>11</v>
      </c>
      <c r="G137" s="23" t="b">
        <v>0</v>
      </c>
      <c r="H137" s="23">
        <v>4</v>
      </c>
      <c r="I137" s="23">
        <v>1</v>
      </c>
      <c r="J137" s="23">
        <v>0.18</v>
      </c>
      <c r="K137" s="23">
        <v>0.13639999999999999</v>
      </c>
      <c r="L137" s="23">
        <v>0.43</v>
      </c>
      <c r="M137" s="23">
        <v>0.44779999999999998</v>
      </c>
      <c r="N137" s="23">
        <v>9</v>
      </c>
      <c r="O137" s="23">
        <v>55</v>
      </c>
      <c r="P137" s="23">
        <v>64</v>
      </c>
    </row>
    <row r="138" spans="1:16">
      <c r="A138" s="23">
        <v>747</v>
      </c>
      <c r="B138" s="24">
        <v>40577</v>
      </c>
      <c r="C138" s="23">
        <v>1</v>
      </c>
      <c r="D138" s="23">
        <v>0</v>
      </c>
      <c r="E138" s="23">
        <v>2</v>
      </c>
      <c r="F138" s="23">
        <v>12</v>
      </c>
      <c r="G138" s="23" t="b">
        <v>0</v>
      </c>
      <c r="H138" s="23">
        <v>4</v>
      </c>
      <c r="I138" s="23">
        <v>1</v>
      </c>
      <c r="J138" s="23">
        <v>0.2</v>
      </c>
      <c r="K138" s="23">
        <v>0.18179999999999999</v>
      </c>
      <c r="L138" s="23">
        <v>0.4</v>
      </c>
      <c r="M138" s="23">
        <v>0.35820000000000002</v>
      </c>
      <c r="N138" s="23">
        <v>2</v>
      </c>
      <c r="O138" s="23">
        <v>67</v>
      </c>
      <c r="P138" s="23">
        <v>69</v>
      </c>
    </row>
    <row r="139" spans="1:16">
      <c r="A139" s="23">
        <v>748</v>
      </c>
      <c r="B139" s="24">
        <v>40577</v>
      </c>
      <c r="C139" s="23">
        <v>1</v>
      </c>
      <c r="D139" s="23">
        <v>0</v>
      </c>
      <c r="E139" s="23">
        <v>2</v>
      </c>
      <c r="F139" s="23">
        <v>13</v>
      </c>
      <c r="G139" s="23" t="b">
        <v>0</v>
      </c>
      <c r="H139" s="23">
        <v>4</v>
      </c>
      <c r="I139" s="23">
        <v>1</v>
      </c>
      <c r="J139" s="23">
        <v>0.2</v>
      </c>
      <c r="K139" s="23">
        <v>0.16669999999999999</v>
      </c>
      <c r="L139" s="23">
        <v>0.4</v>
      </c>
      <c r="M139" s="23">
        <v>0.41789999999999999</v>
      </c>
      <c r="N139" s="23">
        <v>4</v>
      </c>
      <c r="O139" s="23">
        <v>47</v>
      </c>
      <c r="P139" s="23">
        <v>51</v>
      </c>
    </row>
    <row r="140" spans="1:16">
      <c r="A140" s="23">
        <v>749</v>
      </c>
      <c r="B140" s="24">
        <v>40577</v>
      </c>
      <c r="C140" s="23">
        <v>1</v>
      </c>
      <c r="D140" s="23">
        <v>0</v>
      </c>
      <c r="E140" s="23">
        <v>2</v>
      </c>
      <c r="F140" s="23">
        <v>14</v>
      </c>
      <c r="G140" s="23" t="b">
        <v>0</v>
      </c>
      <c r="H140" s="23">
        <v>4</v>
      </c>
      <c r="I140" s="23">
        <v>1</v>
      </c>
      <c r="J140" s="23">
        <v>0.22</v>
      </c>
      <c r="K140" s="23">
        <v>0.19700000000000001</v>
      </c>
      <c r="L140" s="23">
        <v>0.37</v>
      </c>
      <c r="M140" s="23">
        <v>0.3881</v>
      </c>
      <c r="N140" s="23">
        <v>4</v>
      </c>
      <c r="O140" s="23">
        <v>43</v>
      </c>
      <c r="P140" s="23">
        <v>47</v>
      </c>
    </row>
    <row r="141" spans="1:16">
      <c r="A141" s="23">
        <v>750</v>
      </c>
      <c r="B141" s="24">
        <v>40577</v>
      </c>
      <c r="C141" s="23">
        <v>1</v>
      </c>
      <c r="D141" s="23">
        <v>0</v>
      </c>
      <c r="E141" s="23">
        <v>2</v>
      </c>
      <c r="F141" s="23">
        <v>15</v>
      </c>
      <c r="G141" s="23" t="b">
        <v>0</v>
      </c>
      <c r="H141" s="23">
        <v>4</v>
      </c>
      <c r="I141" s="23">
        <v>1</v>
      </c>
      <c r="J141" s="23">
        <v>0.22</v>
      </c>
      <c r="K141" s="23">
        <v>0.19700000000000001</v>
      </c>
      <c r="L141" s="23">
        <v>0.37</v>
      </c>
      <c r="M141" s="23">
        <v>0.32840000000000003</v>
      </c>
      <c r="N141" s="23">
        <v>4</v>
      </c>
      <c r="O141" s="23">
        <v>56</v>
      </c>
      <c r="P141" s="23">
        <v>60</v>
      </c>
    </row>
    <row r="142" spans="1:16">
      <c r="A142" s="23">
        <v>751</v>
      </c>
      <c r="B142" s="24">
        <v>40577</v>
      </c>
      <c r="C142" s="23">
        <v>1</v>
      </c>
      <c r="D142" s="23">
        <v>0</v>
      </c>
      <c r="E142" s="23">
        <v>2</v>
      </c>
      <c r="F142" s="23">
        <v>16</v>
      </c>
      <c r="G142" s="23" t="b">
        <v>0</v>
      </c>
      <c r="H142" s="23">
        <v>4</v>
      </c>
      <c r="I142" s="23">
        <v>1</v>
      </c>
      <c r="J142" s="23">
        <v>0.22</v>
      </c>
      <c r="K142" s="23">
        <v>0.21210000000000001</v>
      </c>
      <c r="L142" s="23">
        <v>0.37</v>
      </c>
      <c r="M142" s="23">
        <v>0.25369999999999998</v>
      </c>
      <c r="N142" s="23">
        <v>5</v>
      </c>
      <c r="O142" s="23">
        <v>73</v>
      </c>
      <c r="P142" s="23">
        <v>78</v>
      </c>
    </row>
    <row r="143" spans="1:16">
      <c r="A143" s="23">
        <v>752</v>
      </c>
      <c r="B143" s="24">
        <v>40577</v>
      </c>
      <c r="C143" s="23">
        <v>1</v>
      </c>
      <c r="D143" s="23">
        <v>0</v>
      </c>
      <c r="E143" s="23">
        <v>2</v>
      </c>
      <c r="F143" s="23">
        <v>17</v>
      </c>
      <c r="G143" s="23" t="b">
        <v>0</v>
      </c>
      <c r="H143" s="23">
        <v>4</v>
      </c>
      <c r="I143" s="23">
        <v>1</v>
      </c>
      <c r="J143" s="23">
        <v>0.2</v>
      </c>
      <c r="K143" s="23">
        <v>0.19700000000000001</v>
      </c>
      <c r="L143" s="23">
        <v>0.4</v>
      </c>
      <c r="M143" s="23">
        <v>0.19400000000000001</v>
      </c>
      <c r="N143" s="23">
        <v>5</v>
      </c>
      <c r="O143" s="23">
        <v>170</v>
      </c>
      <c r="P143" s="23">
        <v>175</v>
      </c>
    </row>
    <row r="144" spans="1:16">
      <c r="A144" s="23">
        <v>753</v>
      </c>
      <c r="B144" s="24">
        <v>40577</v>
      </c>
      <c r="C144" s="23">
        <v>1</v>
      </c>
      <c r="D144" s="23">
        <v>0</v>
      </c>
      <c r="E144" s="23">
        <v>2</v>
      </c>
      <c r="F144" s="23">
        <v>18</v>
      </c>
      <c r="G144" s="23" t="b">
        <v>0</v>
      </c>
      <c r="H144" s="23">
        <v>4</v>
      </c>
      <c r="I144" s="23">
        <v>1</v>
      </c>
      <c r="J144" s="23">
        <v>0.2</v>
      </c>
      <c r="K144" s="23">
        <v>0.21210000000000001</v>
      </c>
      <c r="L144" s="23">
        <v>0.4</v>
      </c>
      <c r="M144" s="23">
        <v>0.16420000000000001</v>
      </c>
      <c r="N144" s="23">
        <v>2</v>
      </c>
      <c r="O144" s="23">
        <v>145</v>
      </c>
      <c r="P144" s="23">
        <v>147</v>
      </c>
    </row>
    <row r="145" spans="1:16">
      <c r="A145" s="23">
        <v>754</v>
      </c>
      <c r="B145" s="24">
        <v>40577</v>
      </c>
      <c r="C145" s="23">
        <v>1</v>
      </c>
      <c r="D145" s="23">
        <v>0</v>
      </c>
      <c r="E145" s="23">
        <v>2</v>
      </c>
      <c r="F145" s="23">
        <v>19</v>
      </c>
      <c r="G145" s="23" t="b">
        <v>0</v>
      </c>
      <c r="H145" s="23">
        <v>4</v>
      </c>
      <c r="I145" s="23">
        <v>1</v>
      </c>
      <c r="J145" s="23">
        <v>0.2</v>
      </c>
      <c r="K145" s="23">
        <v>0.2576</v>
      </c>
      <c r="L145" s="23">
        <v>0.4</v>
      </c>
      <c r="M145" s="23">
        <v>0</v>
      </c>
      <c r="N145" s="23">
        <v>4</v>
      </c>
      <c r="O145" s="23">
        <v>92</v>
      </c>
      <c r="P145" s="23">
        <v>96</v>
      </c>
    </row>
    <row r="146" spans="1:16">
      <c r="A146" s="23">
        <v>755</v>
      </c>
      <c r="B146" s="24">
        <v>40577</v>
      </c>
      <c r="C146" s="23">
        <v>1</v>
      </c>
      <c r="D146" s="23">
        <v>0</v>
      </c>
      <c r="E146" s="23">
        <v>2</v>
      </c>
      <c r="F146" s="23">
        <v>20</v>
      </c>
      <c r="G146" s="23" t="b">
        <v>0</v>
      </c>
      <c r="H146" s="23">
        <v>4</v>
      </c>
      <c r="I146" s="23">
        <v>1</v>
      </c>
      <c r="J146" s="23">
        <v>0.2</v>
      </c>
      <c r="K146" s="23">
        <v>0.2273</v>
      </c>
      <c r="L146" s="23">
        <v>0.47</v>
      </c>
      <c r="M146" s="23">
        <v>8.9599999999999999E-2</v>
      </c>
      <c r="N146" s="23">
        <v>1</v>
      </c>
      <c r="O146" s="23">
        <v>108</v>
      </c>
      <c r="P146" s="23">
        <v>109</v>
      </c>
    </row>
    <row r="147" spans="1:16">
      <c r="A147" s="23">
        <v>756</v>
      </c>
      <c r="B147" s="24">
        <v>40577</v>
      </c>
      <c r="C147" s="23">
        <v>1</v>
      </c>
      <c r="D147" s="23">
        <v>0</v>
      </c>
      <c r="E147" s="23">
        <v>2</v>
      </c>
      <c r="F147" s="23">
        <v>21</v>
      </c>
      <c r="G147" s="23" t="b">
        <v>0</v>
      </c>
      <c r="H147" s="23">
        <v>4</v>
      </c>
      <c r="I147" s="23">
        <v>1</v>
      </c>
      <c r="J147" s="23">
        <v>0.18</v>
      </c>
      <c r="K147" s="23">
        <v>0.21210000000000001</v>
      </c>
      <c r="L147" s="23">
        <v>0.55000000000000004</v>
      </c>
      <c r="M147" s="23">
        <v>0.1045</v>
      </c>
      <c r="N147" s="23">
        <v>1</v>
      </c>
      <c r="O147" s="23">
        <v>53</v>
      </c>
      <c r="P147" s="23">
        <v>54</v>
      </c>
    </row>
    <row r="148" spans="1:16">
      <c r="A148" s="23">
        <v>757</v>
      </c>
      <c r="B148" s="24">
        <v>40577</v>
      </c>
      <c r="C148" s="23">
        <v>1</v>
      </c>
      <c r="D148" s="23">
        <v>0</v>
      </c>
      <c r="E148" s="23">
        <v>2</v>
      </c>
      <c r="F148" s="23">
        <v>22</v>
      </c>
      <c r="G148" s="23" t="b">
        <v>0</v>
      </c>
      <c r="H148" s="23">
        <v>4</v>
      </c>
      <c r="I148" s="23">
        <v>1</v>
      </c>
      <c r="J148" s="23">
        <v>0.18</v>
      </c>
      <c r="K148" s="23">
        <v>0.21210000000000001</v>
      </c>
      <c r="L148" s="23">
        <v>0.51</v>
      </c>
      <c r="M148" s="23">
        <v>8.9599999999999999E-2</v>
      </c>
      <c r="N148" s="23">
        <v>2</v>
      </c>
      <c r="O148" s="23">
        <v>39</v>
      </c>
      <c r="P148" s="23">
        <v>41</v>
      </c>
    </row>
    <row r="149" spans="1:16">
      <c r="A149" s="23">
        <v>758</v>
      </c>
      <c r="B149" s="24">
        <v>40577</v>
      </c>
      <c r="C149" s="23">
        <v>1</v>
      </c>
      <c r="D149" s="23">
        <v>0</v>
      </c>
      <c r="E149" s="23">
        <v>2</v>
      </c>
      <c r="F149" s="23">
        <v>23</v>
      </c>
      <c r="G149" s="23" t="b">
        <v>0</v>
      </c>
      <c r="H149" s="23">
        <v>4</v>
      </c>
      <c r="I149" s="23">
        <v>1</v>
      </c>
      <c r="J149" s="23">
        <v>0.2</v>
      </c>
      <c r="K149" s="23">
        <v>0.2273</v>
      </c>
      <c r="L149" s="23">
        <v>0.47</v>
      </c>
      <c r="M149" s="23">
        <v>0.1045</v>
      </c>
      <c r="N149" s="23">
        <v>4</v>
      </c>
      <c r="O149" s="23">
        <v>34</v>
      </c>
      <c r="P149" s="23">
        <v>38</v>
      </c>
    </row>
    <row r="150" spans="1:16">
      <c r="A150" s="23">
        <v>759</v>
      </c>
      <c r="B150" s="24">
        <v>40578</v>
      </c>
      <c r="C150" s="23">
        <v>1</v>
      </c>
      <c r="D150" s="23">
        <v>0</v>
      </c>
      <c r="E150" s="23">
        <v>2</v>
      </c>
      <c r="F150" s="23">
        <v>0</v>
      </c>
      <c r="G150" s="23" t="b">
        <v>0</v>
      </c>
      <c r="H150" s="23">
        <v>5</v>
      </c>
      <c r="I150" s="23">
        <v>2</v>
      </c>
      <c r="J150" s="23">
        <v>0.2</v>
      </c>
      <c r="K150" s="23">
        <v>0.2576</v>
      </c>
      <c r="L150" s="23">
        <v>0.44</v>
      </c>
      <c r="M150" s="23">
        <v>0</v>
      </c>
      <c r="N150" s="23">
        <v>3</v>
      </c>
      <c r="O150" s="23">
        <v>10</v>
      </c>
      <c r="P150" s="23">
        <v>13</v>
      </c>
    </row>
    <row r="151" spans="1:16">
      <c r="A151" s="23">
        <v>760</v>
      </c>
      <c r="B151" s="24">
        <v>40578</v>
      </c>
      <c r="C151" s="23">
        <v>1</v>
      </c>
      <c r="D151" s="23">
        <v>0</v>
      </c>
      <c r="E151" s="23">
        <v>2</v>
      </c>
      <c r="F151" s="23">
        <v>1</v>
      </c>
      <c r="G151" s="23" t="b">
        <v>0</v>
      </c>
      <c r="H151" s="23">
        <v>5</v>
      </c>
      <c r="I151" s="23">
        <v>2</v>
      </c>
      <c r="J151" s="23">
        <v>0.16</v>
      </c>
      <c r="K151" s="23">
        <v>0.2273</v>
      </c>
      <c r="L151" s="23">
        <v>0.59</v>
      </c>
      <c r="M151" s="23">
        <v>0</v>
      </c>
      <c r="N151" s="23">
        <v>0</v>
      </c>
      <c r="O151" s="23">
        <v>7</v>
      </c>
      <c r="P151" s="23">
        <v>7</v>
      </c>
    </row>
    <row r="152" spans="1:16">
      <c r="A152" s="23">
        <v>761</v>
      </c>
      <c r="B152" s="24">
        <v>40578</v>
      </c>
      <c r="C152" s="23">
        <v>1</v>
      </c>
      <c r="D152" s="23">
        <v>0</v>
      </c>
      <c r="E152" s="23">
        <v>2</v>
      </c>
      <c r="F152" s="23">
        <v>2</v>
      </c>
      <c r="G152" s="23" t="b">
        <v>0</v>
      </c>
      <c r="H152" s="23">
        <v>5</v>
      </c>
      <c r="I152" s="23">
        <v>2</v>
      </c>
      <c r="J152" s="23">
        <v>0.14000000000000001</v>
      </c>
      <c r="K152" s="23">
        <v>0.16669999999999999</v>
      </c>
      <c r="L152" s="23">
        <v>0.63</v>
      </c>
      <c r="M152" s="23">
        <v>0.1045</v>
      </c>
      <c r="N152" s="23">
        <v>0</v>
      </c>
      <c r="O152" s="23">
        <v>1</v>
      </c>
      <c r="P152" s="23">
        <v>1</v>
      </c>
    </row>
    <row r="153" spans="1:16">
      <c r="A153" s="23">
        <v>762</v>
      </c>
      <c r="B153" s="24">
        <v>40578</v>
      </c>
      <c r="C153" s="23">
        <v>1</v>
      </c>
      <c r="D153" s="23">
        <v>0</v>
      </c>
      <c r="E153" s="23">
        <v>2</v>
      </c>
      <c r="F153" s="23">
        <v>3</v>
      </c>
      <c r="G153" s="23" t="b">
        <v>0</v>
      </c>
      <c r="H153" s="23">
        <v>5</v>
      </c>
      <c r="I153" s="23">
        <v>2</v>
      </c>
      <c r="J153" s="23">
        <v>0.14000000000000001</v>
      </c>
      <c r="K153" s="23">
        <v>0.16669999999999999</v>
      </c>
      <c r="L153" s="23">
        <v>0.63</v>
      </c>
      <c r="M153" s="23">
        <v>0.1045</v>
      </c>
      <c r="N153" s="23">
        <v>0</v>
      </c>
      <c r="O153" s="23">
        <v>1</v>
      </c>
      <c r="P153" s="23">
        <v>1</v>
      </c>
    </row>
    <row r="154" spans="1:16">
      <c r="A154" s="23">
        <v>763</v>
      </c>
      <c r="B154" s="24">
        <v>40578</v>
      </c>
      <c r="C154" s="23">
        <v>1</v>
      </c>
      <c r="D154" s="23">
        <v>0</v>
      </c>
      <c r="E154" s="23">
        <v>2</v>
      </c>
      <c r="F154" s="23">
        <v>5</v>
      </c>
      <c r="G154" s="23" t="b">
        <v>0</v>
      </c>
      <c r="H154" s="23">
        <v>5</v>
      </c>
      <c r="I154" s="23">
        <v>2</v>
      </c>
      <c r="J154" s="23">
        <v>0.14000000000000001</v>
      </c>
      <c r="K154" s="23">
        <v>0.1515</v>
      </c>
      <c r="L154" s="23">
        <v>0.63</v>
      </c>
      <c r="M154" s="23">
        <v>0.1343</v>
      </c>
      <c r="N154" s="23">
        <v>0</v>
      </c>
      <c r="O154" s="23">
        <v>7</v>
      </c>
      <c r="P154" s="23">
        <v>7</v>
      </c>
    </row>
    <row r="155" spans="1:16">
      <c r="A155" s="23">
        <v>764</v>
      </c>
      <c r="B155" s="24">
        <v>40578</v>
      </c>
      <c r="C155" s="23">
        <v>1</v>
      </c>
      <c r="D155" s="23">
        <v>0</v>
      </c>
      <c r="E155" s="23">
        <v>2</v>
      </c>
      <c r="F155" s="23">
        <v>6</v>
      </c>
      <c r="G155" s="23" t="b">
        <v>0</v>
      </c>
      <c r="H155" s="23">
        <v>5</v>
      </c>
      <c r="I155" s="23">
        <v>2</v>
      </c>
      <c r="J155" s="23">
        <v>0.16</v>
      </c>
      <c r="K155" s="23">
        <v>0.2273</v>
      </c>
      <c r="L155" s="23">
        <v>0.55000000000000004</v>
      </c>
      <c r="M155" s="23">
        <v>0</v>
      </c>
      <c r="N155" s="23">
        <v>2</v>
      </c>
      <c r="O155" s="23">
        <v>26</v>
      </c>
      <c r="P155" s="23">
        <v>28</v>
      </c>
    </row>
    <row r="156" spans="1:16">
      <c r="A156" s="23">
        <v>765</v>
      </c>
      <c r="B156" s="24">
        <v>40578</v>
      </c>
      <c r="C156" s="23">
        <v>1</v>
      </c>
      <c r="D156" s="23">
        <v>0</v>
      </c>
      <c r="E156" s="23">
        <v>2</v>
      </c>
      <c r="F156" s="23">
        <v>7</v>
      </c>
      <c r="G156" s="23" t="b">
        <v>0</v>
      </c>
      <c r="H156" s="23">
        <v>5</v>
      </c>
      <c r="I156" s="23">
        <v>1</v>
      </c>
      <c r="J156" s="23">
        <v>0.14000000000000001</v>
      </c>
      <c r="K156" s="23">
        <v>0.21210000000000001</v>
      </c>
      <c r="L156" s="23">
        <v>0.59</v>
      </c>
      <c r="M156" s="23">
        <v>0</v>
      </c>
      <c r="N156" s="23">
        <v>0</v>
      </c>
      <c r="O156" s="23">
        <v>87</v>
      </c>
      <c r="P156" s="23">
        <v>87</v>
      </c>
    </row>
    <row r="157" spans="1:16">
      <c r="A157" s="23">
        <v>766</v>
      </c>
      <c r="B157" s="24">
        <v>40578</v>
      </c>
      <c r="C157" s="23">
        <v>1</v>
      </c>
      <c r="D157" s="23">
        <v>0</v>
      </c>
      <c r="E157" s="23">
        <v>2</v>
      </c>
      <c r="F157" s="23">
        <v>8</v>
      </c>
      <c r="G157" s="23" t="b">
        <v>0</v>
      </c>
      <c r="H157" s="23">
        <v>5</v>
      </c>
      <c r="I157" s="23">
        <v>1</v>
      </c>
      <c r="J157" s="23">
        <v>0.14000000000000001</v>
      </c>
      <c r="K157" s="23">
        <v>0.1515</v>
      </c>
      <c r="L157" s="23">
        <v>0.74</v>
      </c>
      <c r="M157" s="23">
        <v>0.1343</v>
      </c>
      <c r="N157" s="23">
        <v>3</v>
      </c>
      <c r="O157" s="23">
        <v>217</v>
      </c>
      <c r="P157" s="23">
        <v>220</v>
      </c>
    </row>
    <row r="158" spans="1:16">
      <c r="A158" s="23">
        <v>767</v>
      </c>
      <c r="B158" s="24">
        <v>40578</v>
      </c>
      <c r="C158" s="23">
        <v>1</v>
      </c>
      <c r="D158" s="23">
        <v>0</v>
      </c>
      <c r="E158" s="23">
        <v>2</v>
      </c>
      <c r="F158" s="23">
        <v>9</v>
      </c>
      <c r="G158" s="23" t="b">
        <v>0</v>
      </c>
      <c r="H158" s="23">
        <v>5</v>
      </c>
      <c r="I158" s="23">
        <v>2</v>
      </c>
      <c r="J158" s="23">
        <v>0.16</v>
      </c>
      <c r="K158" s="23">
        <v>0.18179999999999999</v>
      </c>
      <c r="L158" s="23">
        <v>0.8</v>
      </c>
      <c r="M158" s="23">
        <v>0.1343</v>
      </c>
      <c r="N158" s="23">
        <v>3</v>
      </c>
      <c r="O158" s="23">
        <v>124</v>
      </c>
      <c r="P158" s="23">
        <v>127</v>
      </c>
    </row>
    <row r="159" spans="1:16">
      <c r="A159" s="23">
        <v>768</v>
      </c>
      <c r="B159" s="24">
        <v>40578</v>
      </c>
      <c r="C159" s="23">
        <v>1</v>
      </c>
      <c r="D159" s="23">
        <v>0</v>
      </c>
      <c r="E159" s="23">
        <v>2</v>
      </c>
      <c r="F159" s="23">
        <v>10</v>
      </c>
      <c r="G159" s="23" t="b">
        <v>0</v>
      </c>
      <c r="H159" s="23">
        <v>5</v>
      </c>
      <c r="I159" s="23">
        <v>2</v>
      </c>
      <c r="J159" s="23">
        <v>0.2</v>
      </c>
      <c r="K159" s="23">
        <v>0.21210000000000001</v>
      </c>
      <c r="L159" s="23">
        <v>0.51</v>
      </c>
      <c r="M159" s="23">
        <v>0.1343</v>
      </c>
      <c r="N159" s="23">
        <v>5</v>
      </c>
      <c r="O159" s="23">
        <v>46</v>
      </c>
      <c r="P159" s="23">
        <v>51</v>
      </c>
    </row>
    <row r="160" spans="1:16">
      <c r="A160" s="23">
        <v>769</v>
      </c>
      <c r="B160" s="24">
        <v>40578</v>
      </c>
      <c r="C160" s="23">
        <v>1</v>
      </c>
      <c r="D160" s="23">
        <v>0</v>
      </c>
      <c r="E160" s="23">
        <v>2</v>
      </c>
      <c r="F160" s="23">
        <v>11</v>
      </c>
      <c r="G160" s="23" t="b">
        <v>0</v>
      </c>
      <c r="H160" s="23">
        <v>5</v>
      </c>
      <c r="I160" s="23">
        <v>1</v>
      </c>
      <c r="J160" s="23">
        <v>0.22</v>
      </c>
      <c r="K160" s="23">
        <v>0.2273</v>
      </c>
      <c r="L160" s="23">
        <v>0.51</v>
      </c>
      <c r="M160" s="23">
        <v>0.16420000000000001</v>
      </c>
      <c r="N160" s="23">
        <v>3</v>
      </c>
      <c r="O160" s="23">
        <v>61</v>
      </c>
      <c r="P160" s="23">
        <v>64</v>
      </c>
    </row>
    <row r="161" spans="1:16">
      <c r="A161" s="23">
        <v>770</v>
      </c>
      <c r="B161" s="24">
        <v>40578</v>
      </c>
      <c r="C161" s="23">
        <v>1</v>
      </c>
      <c r="D161" s="23">
        <v>0</v>
      </c>
      <c r="E161" s="23">
        <v>2</v>
      </c>
      <c r="F161" s="23">
        <v>12</v>
      </c>
      <c r="G161" s="23" t="b">
        <v>0</v>
      </c>
      <c r="H161" s="23">
        <v>5</v>
      </c>
      <c r="I161" s="23">
        <v>2</v>
      </c>
      <c r="J161" s="23">
        <v>0.24</v>
      </c>
      <c r="K161" s="23">
        <v>0.2424</v>
      </c>
      <c r="L161" s="23">
        <v>0.48</v>
      </c>
      <c r="M161" s="23">
        <v>0.16420000000000001</v>
      </c>
      <c r="N161" s="23">
        <v>8</v>
      </c>
      <c r="O161" s="23">
        <v>78</v>
      </c>
      <c r="P161" s="23">
        <v>86</v>
      </c>
    </row>
    <row r="162" spans="1:16">
      <c r="A162" s="23">
        <v>771</v>
      </c>
      <c r="B162" s="24">
        <v>40578</v>
      </c>
      <c r="C162" s="23">
        <v>1</v>
      </c>
      <c r="D162" s="23">
        <v>0</v>
      </c>
      <c r="E162" s="23">
        <v>2</v>
      </c>
      <c r="F162" s="23">
        <v>13</v>
      </c>
      <c r="G162" s="23" t="b">
        <v>0</v>
      </c>
      <c r="H162" s="23">
        <v>5</v>
      </c>
      <c r="I162" s="23">
        <v>2</v>
      </c>
      <c r="J162" s="23">
        <v>0.26</v>
      </c>
      <c r="K162" s="23">
        <v>0.2576</v>
      </c>
      <c r="L162" s="23">
        <v>0.5</v>
      </c>
      <c r="M162" s="23">
        <v>0.22389999999999999</v>
      </c>
      <c r="N162" s="23">
        <v>9</v>
      </c>
      <c r="O162" s="23">
        <v>73</v>
      </c>
      <c r="P162" s="23">
        <v>82</v>
      </c>
    </row>
    <row r="163" spans="1:16">
      <c r="A163" s="23">
        <v>772</v>
      </c>
      <c r="B163" s="24">
        <v>40578</v>
      </c>
      <c r="C163" s="23">
        <v>1</v>
      </c>
      <c r="D163" s="23">
        <v>0</v>
      </c>
      <c r="E163" s="23">
        <v>2</v>
      </c>
      <c r="F163" s="23">
        <v>14</v>
      </c>
      <c r="G163" s="23" t="b">
        <v>0</v>
      </c>
      <c r="H163" s="23">
        <v>5</v>
      </c>
      <c r="I163" s="23">
        <v>2</v>
      </c>
      <c r="J163" s="23">
        <v>0.28000000000000003</v>
      </c>
      <c r="K163" s="23">
        <v>0.2727</v>
      </c>
      <c r="L163" s="23">
        <v>0.45</v>
      </c>
      <c r="M163" s="23">
        <v>0.16420000000000001</v>
      </c>
      <c r="N163" s="23">
        <v>15</v>
      </c>
      <c r="O163" s="23">
        <v>76</v>
      </c>
      <c r="P163" s="23">
        <v>91</v>
      </c>
    </row>
    <row r="164" spans="1:16">
      <c r="A164" s="23">
        <v>773</v>
      </c>
      <c r="B164" s="24">
        <v>40578</v>
      </c>
      <c r="C164" s="23">
        <v>1</v>
      </c>
      <c r="D164" s="23">
        <v>0</v>
      </c>
      <c r="E164" s="23">
        <v>2</v>
      </c>
      <c r="F164" s="23">
        <v>15</v>
      </c>
      <c r="G164" s="23" t="b">
        <v>0</v>
      </c>
      <c r="H164" s="23">
        <v>5</v>
      </c>
      <c r="I164" s="23">
        <v>2</v>
      </c>
      <c r="J164" s="23">
        <v>0.28000000000000003</v>
      </c>
      <c r="K164" s="23">
        <v>0.2727</v>
      </c>
      <c r="L164" s="23">
        <v>0.48</v>
      </c>
      <c r="M164" s="23">
        <v>0.25369999999999998</v>
      </c>
      <c r="N164" s="23">
        <v>9</v>
      </c>
      <c r="O164" s="23">
        <v>81</v>
      </c>
      <c r="P164" s="23">
        <v>90</v>
      </c>
    </row>
    <row r="165" spans="1:16">
      <c r="A165" s="23">
        <v>774</v>
      </c>
      <c r="B165" s="24">
        <v>40578</v>
      </c>
      <c r="C165" s="23">
        <v>1</v>
      </c>
      <c r="D165" s="23">
        <v>0</v>
      </c>
      <c r="E165" s="23">
        <v>2</v>
      </c>
      <c r="F165" s="23">
        <v>16</v>
      </c>
      <c r="G165" s="23" t="b">
        <v>0</v>
      </c>
      <c r="H165" s="23">
        <v>5</v>
      </c>
      <c r="I165" s="23">
        <v>2</v>
      </c>
      <c r="J165" s="23">
        <v>0.3</v>
      </c>
      <c r="K165" s="23">
        <v>0.28789999999999999</v>
      </c>
      <c r="L165" s="23">
        <v>0.42</v>
      </c>
      <c r="M165" s="23">
        <v>0.22389999999999999</v>
      </c>
      <c r="N165" s="23">
        <v>8</v>
      </c>
      <c r="O165" s="23">
        <v>91</v>
      </c>
      <c r="P165" s="23">
        <v>99</v>
      </c>
    </row>
    <row r="166" spans="1:16">
      <c r="A166" s="23">
        <v>775</v>
      </c>
      <c r="B166" s="24">
        <v>40578</v>
      </c>
      <c r="C166" s="23">
        <v>1</v>
      </c>
      <c r="D166" s="23">
        <v>0</v>
      </c>
      <c r="E166" s="23">
        <v>2</v>
      </c>
      <c r="F166" s="23">
        <v>17</v>
      </c>
      <c r="G166" s="23" t="b">
        <v>0</v>
      </c>
      <c r="H166" s="23">
        <v>5</v>
      </c>
      <c r="I166" s="23">
        <v>2</v>
      </c>
      <c r="J166" s="23">
        <v>0.26</v>
      </c>
      <c r="K166" s="23">
        <v>0.2727</v>
      </c>
      <c r="L166" s="23">
        <v>0.56000000000000005</v>
      </c>
      <c r="M166" s="23">
        <v>0.1343</v>
      </c>
      <c r="N166" s="23">
        <v>10</v>
      </c>
      <c r="O166" s="23">
        <v>195</v>
      </c>
      <c r="P166" s="23">
        <v>205</v>
      </c>
    </row>
    <row r="167" spans="1:16">
      <c r="A167" s="23">
        <v>776</v>
      </c>
      <c r="B167" s="24">
        <v>40578</v>
      </c>
      <c r="C167" s="23">
        <v>1</v>
      </c>
      <c r="D167" s="23">
        <v>0</v>
      </c>
      <c r="E167" s="23">
        <v>2</v>
      </c>
      <c r="F167" s="23">
        <v>18</v>
      </c>
      <c r="G167" s="23" t="b">
        <v>0</v>
      </c>
      <c r="H167" s="23">
        <v>5</v>
      </c>
      <c r="I167" s="23">
        <v>2</v>
      </c>
      <c r="J167" s="23">
        <v>0.24</v>
      </c>
      <c r="K167" s="23">
        <v>0.2576</v>
      </c>
      <c r="L167" s="23">
        <v>0.6</v>
      </c>
      <c r="M167" s="23">
        <v>0.1045</v>
      </c>
      <c r="N167" s="23">
        <v>3</v>
      </c>
      <c r="O167" s="23">
        <v>152</v>
      </c>
      <c r="P167" s="23">
        <v>155</v>
      </c>
    </row>
    <row r="168" spans="1:16">
      <c r="A168" s="23">
        <v>777</v>
      </c>
      <c r="B168" s="24">
        <v>40578</v>
      </c>
      <c r="C168" s="23">
        <v>1</v>
      </c>
      <c r="D168" s="23">
        <v>0</v>
      </c>
      <c r="E168" s="23">
        <v>2</v>
      </c>
      <c r="F168" s="23">
        <v>19</v>
      </c>
      <c r="G168" s="23" t="b">
        <v>0</v>
      </c>
      <c r="H168" s="23">
        <v>5</v>
      </c>
      <c r="I168" s="23">
        <v>2</v>
      </c>
      <c r="J168" s="23">
        <v>0.24</v>
      </c>
      <c r="K168" s="23">
        <v>0.2424</v>
      </c>
      <c r="L168" s="23">
        <v>0.65</v>
      </c>
      <c r="M168" s="23">
        <v>0.1343</v>
      </c>
      <c r="N168" s="23">
        <v>1</v>
      </c>
      <c r="O168" s="23">
        <v>102</v>
      </c>
      <c r="P168" s="23">
        <v>103</v>
      </c>
    </row>
    <row r="169" spans="1:16">
      <c r="A169" s="23">
        <v>778</v>
      </c>
      <c r="B169" s="24">
        <v>40578</v>
      </c>
      <c r="C169" s="23">
        <v>1</v>
      </c>
      <c r="D169" s="23">
        <v>0</v>
      </c>
      <c r="E169" s="23">
        <v>2</v>
      </c>
      <c r="F169" s="23">
        <v>20</v>
      </c>
      <c r="G169" s="23" t="b">
        <v>0</v>
      </c>
      <c r="H169" s="23">
        <v>5</v>
      </c>
      <c r="I169" s="23">
        <v>2</v>
      </c>
      <c r="J169" s="23">
        <v>0.24</v>
      </c>
      <c r="K169" s="23">
        <v>0.2424</v>
      </c>
      <c r="L169" s="23">
        <v>0.65</v>
      </c>
      <c r="M169" s="23">
        <v>0.16420000000000001</v>
      </c>
      <c r="N169" s="23">
        <v>2</v>
      </c>
      <c r="O169" s="23">
        <v>69</v>
      </c>
      <c r="P169" s="23">
        <v>71</v>
      </c>
    </row>
    <row r="170" spans="1:16">
      <c r="A170" s="23">
        <v>779</v>
      </c>
      <c r="B170" s="24">
        <v>40578</v>
      </c>
      <c r="C170" s="23">
        <v>1</v>
      </c>
      <c r="D170" s="23">
        <v>0</v>
      </c>
      <c r="E170" s="23">
        <v>2</v>
      </c>
      <c r="F170" s="23">
        <v>21</v>
      </c>
      <c r="G170" s="23" t="b">
        <v>0</v>
      </c>
      <c r="H170" s="23">
        <v>5</v>
      </c>
      <c r="I170" s="23">
        <v>2</v>
      </c>
      <c r="J170" s="23">
        <v>0.24</v>
      </c>
      <c r="K170" s="23">
        <v>0.2424</v>
      </c>
      <c r="L170" s="23">
        <v>0.7</v>
      </c>
      <c r="M170" s="23">
        <v>0.16420000000000001</v>
      </c>
      <c r="N170" s="23">
        <v>2</v>
      </c>
      <c r="O170" s="23">
        <v>41</v>
      </c>
      <c r="P170" s="23">
        <v>43</v>
      </c>
    </row>
    <row r="171" spans="1:16">
      <c r="A171" s="23">
        <v>780</v>
      </c>
      <c r="B171" s="24">
        <v>40578</v>
      </c>
      <c r="C171" s="23">
        <v>1</v>
      </c>
      <c r="D171" s="23">
        <v>0</v>
      </c>
      <c r="E171" s="23">
        <v>2</v>
      </c>
      <c r="F171" s="23">
        <v>22</v>
      </c>
      <c r="G171" s="23" t="b">
        <v>0</v>
      </c>
      <c r="H171" s="23">
        <v>5</v>
      </c>
      <c r="I171" s="23">
        <v>2</v>
      </c>
      <c r="J171" s="23">
        <v>0.24</v>
      </c>
      <c r="K171" s="23">
        <v>0.2424</v>
      </c>
      <c r="L171" s="23">
        <v>0.65</v>
      </c>
      <c r="M171" s="23">
        <v>0.16420000000000001</v>
      </c>
      <c r="N171" s="23">
        <v>1</v>
      </c>
      <c r="O171" s="23">
        <v>45</v>
      </c>
      <c r="P171" s="23">
        <v>46</v>
      </c>
    </row>
    <row r="172" spans="1:16">
      <c r="A172" s="23">
        <v>781</v>
      </c>
      <c r="B172" s="24">
        <v>40578</v>
      </c>
      <c r="C172" s="23">
        <v>1</v>
      </c>
      <c r="D172" s="23">
        <v>0</v>
      </c>
      <c r="E172" s="23">
        <v>2</v>
      </c>
      <c r="F172" s="23">
        <v>23</v>
      </c>
      <c r="G172" s="23" t="b">
        <v>0</v>
      </c>
      <c r="H172" s="23">
        <v>5</v>
      </c>
      <c r="I172" s="23">
        <v>2</v>
      </c>
      <c r="J172" s="23">
        <v>0.24</v>
      </c>
      <c r="K172" s="23">
        <v>0.2424</v>
      </c>
      <c r="L172" s="23">
        <v>0.7</v>
      </c>
      <c r="M172" s="23">
        <v>0.1343</v>
      </c>
      <c r="N172" s="23">
        <v>1</v>
      </c>
      <c r="O172" s="23">
        <v>30</v>
      </c>
      <c r="P172" s="23">
        <v>31</v>
      </c>
    </row>
    <row r="173" spans="1:16">
      <c r="A173" s="23">
        <v>782</v>
      </c>
      <c r="B173" s="24">
        <v>40579</v>
      </c>
      <c r="C173" s="23">
        <v>1</v>
      </c>
      <c r="D173" s="23">
        <v>0</v>
      </c>
      <c r="E173" s="23">
        <v>2</v>
      </c>
      <c r="F173" s="23">
        <v>0</v>
      </c>
      <c r="G173" s="23" t="b">
        <v>0</v>
      </c>
      <c r="H173" s="23">
        <v>6</v>
      </c>
      <c r="I173" s="23">
        <v>2</v>
      </c>
      <c r="J173" s="23">
        <v>0.24</v>
      </c>
      <c r="K173" s="23">
        <v>0.2424</v>
      </c>
      <c r="L173" s="23">
        <v>0.7</v>
      </c>
      <c r="M173" s="23">
        <v>0.16420000000000001</v>
      </c>
      <c r="N173" s="23">
        <v>3</v>
      </c>
      <c r="O173" s="23">
        <v>36</v>
      </c>
      <c r="P173" s="23">
        <v>39</v>
      </c>
    </row>
    <row r="174" spans="1:16">
      <c r="A174" s="23">
        <v>783</v>
      </c>
      <c r="B174" s="24">
        <v>40579</v>
      </c>
      <c r="C174" s="23">
        <v>1</v>
      </c>
      <c r="D174" s="23">
        <v>0</v>
      </c>
      <c r="E174" s="23">
        <v>2</v>
      </c>
      <c r="F174" s="23">
        <v>1</v>
      </c>
      <c r="G174" s="23" t="b">
        <v>0</v>
      </c>
      <c r="H174" s="23">
        <v>6</v>
      </c>
      <c r="I174" s="23">
        <v>2</v>
      </c>
      <c r="J174" s="23">
        <v>0.24</v>
      </c>
      <c r="K174" s="23">
        <v>0.2424</v>
      </c>
      <c r="L174" s="23">
        <v>0.65</v>
      </c>
      <c r="M174" s="23">
        <v>0.16420000000000001</v>
      </c>
      <c r="N174" s="23">
        <v>1</v>
      </c>
      <c r="O174" s="23">
        <v>17</v>
      </c>
      <c r="P174" s="23">
        <v>18</v>
      </c>
    </row>
    <row r="175" spans="1:16">
      <c r="A175" s="23">
        <v>784</v>
      </c>
      <c r="B175" s="24">
        <v>40579</v>
      </c>
      <c r="C175" s="23">
        <v>1</v>
      </c>
      <c r="D175" s="23">
        <v>0</v>
      </c>
      <c r="E175" s="23">
        <v>2</v>
      </c>
      <c r="F175" s="23">
        <v>2</v>
      </c>
      <c r="G175" s="23" t="b">
        <v>0</v>
      </c>
      <c r="H175" s="23">
        <v>6</v>
      </c>
      <c r="I175" s="23">
        <v>2</v>
      </c>
      <c r="J175" s="23">
        <v>0.24</v>
      </c>
      <c r="K175" s="23">
        <v>0.2424</v>
      </c>
      <c r="L175" s="23">
        <v>0.75</v>
      </c>
      <c r="M175" s="23">
        <v>0.16420000000000001</v>
      </c>
      <c r="N175" s="23">
        <v>5</v>
      </c>
      <c r="O175" s="23">
        <v>12</v>
      </c>
      <c r="P175" s="23">
        <v>17</v>
      </c>
    </row>
    <row r="176" spans="1:16">
      <c r="A176" s="23">
        <v>785</v>
      </c>
      <c r="B176" s="24">
        <v>40579</v>
      </c>
      <c r="C176" s="23">
        <v>1</v>
      </c>
      <c r="D176" s="23">
        <v>0</v>
      </c>
      <c r="E176" s="23">
        <v>2</v>
      </c>
      <c r="F176" s="23">
        <v>3</v>
      </c>
      <c r="G176" s="23" t="b">
        <v>0</v>
      </c>
      <c r="H176" s="23">
        <v>6</v>
      </c>
      <c r="I176" s="23">
        <v>2</v>
      </c>
      <c r="J176" s="23">
        <v>0.24</v>
      </c>
      <c r="K176" s="23">
        <v>0.2424</v>
      </c>
      <c r="L176" s="23">
        <v>0.75</v>
      </c>
      <c r="M176" s="23">
        <v>0.16420000000000001</v>
      </c>
      <c r="N176" s="23">
        <v>1</v>
      </c>
      <c r="O176" s="23">
        <v>10</v>
      </c>
      <c r="P176" s="23">
        <v>11</v>
      </c>
    </row>
    <row r="177" spans="1:16">
      <c r="A177" s="23">
        <v>786</v>
      </c>
      <c r="B177" s="24">
        <v>40579</v>
      </c>
      <c r="C177" s="23">
        <v>1</v>
      </c>
      <c r="D177" s="23">
        <v>0</v>
      </c>
      <c r="E177" s="23">
        <v>2</v>
      </c>
      <c r="F177" s="23">
        <v>4</v>
      </c>
      <c r="G177" s="23" t="b">
        <v>0</v>
      </c>
      <c r="H177" s="23">
        <v>6</v>
      </c>
      <c r="I177" s="23">
        <v>3</v>
      </c>
      <c r="J177" s="23">
        <v>0.22</v>
      </c>
      <c r="K177" s="23">
        <v>0.2273</v>
      </c>
      <c r="L177" s="23">
        <v>0.93</v>
      </c>
      <c r="M177" s="23">
        <v>0.1343</v>
      </c>
      <c r="N177" s="23">
        <v>0</v>
      </c>
      <c r="O177" s="23">
        <v>8</v>
      </c>
      <c r="P177" s="23">
        <v>8</v>
      </c>
    </row>
    <row r="178" spans="1:16">
      <c r="A178" s="23">
        <v>787</v>
      </c>
      <c r="B178" s="24">
        <v>40579</v>
      </c>
      <c r="C178" s="23">
        <v>1</v>
      </c>
      <c r="D178" s="23">
        <v>0</v>
      </c>
      <c r="E178" s="23">
        <v>2</v>
      </c>
      <c r="F178" s="23">
        <v>5</v>
      </c>
      <c r="G178" s="23" t="b">
        <v>0</v>
      </c>
      <c r="H178" s="23">
        <v>6</v>
      </c>
      <c r="I178" s="23">
        <v>3</v>
      </c>
      <c r="J178" s="23">
        <v>0.2</v>
      </c>
      <c r="K178" s="23">
        <v>0.2273</v>
      </c>
      <c r="L178" s="23">
        <v>1</v>
      </c>
      <c r="M178" s="23">
        <v>8.9599999999999999E-2</v>
      </c>
      <c r="N178" s="23">
        <v>0</v>
      </c>
      <c r="O178" s="23">
        <v>9</v>
      </c>
      <c r="P178" s="23">
        <v>9</v>
      </c>
    </row>
    <row r="179" spans="1:16">
      <c r="A179" s="23">
        <v>788</v>
      </c>
      <c r="B179" s="24">
        <v>40579</v>
      </c>
      <c r="C179" s="23">
        <v>1</v>
      </c>
      <c r="D179" s="23">
        <v>0</v>
      </c>
      <c r="E179" s="23">
        <v>2</v>
      </c>
      <c r="F179" s="23">
        <v>6</v>
      </c>
      <c r="G179" s="23" t="b">
        <v>0</v>
      </c>
      <c r="H179" s="23">
        <v>6</v>
      </c>
      <c r="I179" s="23">
        <v>3</v>
      </c>
      <c r="J179" s="23">
        <v>0.2</v>
      </c>
      <c r="K179" s="23">
        <v>0.2576</v>
      </c>
      <c r="L179" s="23">
        <v>1</v>
      </c>
      <c r="M179" s="23">
        <v>0</v>
      </c>
      <c r="N179" s="23">
        <v>0</v>
      </c>
      <c r="O179" s="23">
        <v>4</v>
      </c>
      <c r="P179" s="23">
        <v>4</v>
      </c>
    </row>
    <row r="180" spans="1:16">
      <c r="A180" s="23">
        <v>789</v>
      </c>
      <c r="B180" s="24">
        <v>40579</v>
      </c>
      <c r="C180" s="23">
        <v>1</v>
      </c>
      <c r="D180" s="23">
        <v>0</v>
      </c>
      <c r="E180" s="23">
        <v>2</v>
      </c>
      <c r="F180" s="23">
        <v>7</v>
      </c>
      <c r="G180" s="23" t="b">
        <v>0</v>
      </c>
      <c r="H180" s="23">
        <v>6</v>
      </c>
      <c r="I180" s="23">
        <v>3</v>
      </c>
      <c r="J180" s="23">
        <v>0.22</v>
      </c>
      <c r="K180" s="23">
        <v>0.2576</v>
      </c>
      <c r="L180" s="23">
        <v>0.93</v>
      </c>
      <c r="M180" s="23">
        <v>8.9599999999999999E-2</v>
      </c>
      <c r="N180" s="23">
        <v>0</v>
      </c>
      <c r="O180" s="23">
        <v>4</v>
      </c>
      <c r="P180" s="23">
        <v>4</v>
      </c>
    </row>
    <row r="181" spans="1:16">
      <c r="A181" s="23">
        <v>790</v>
      </c>
      <c r="B181" s="24">
        <v>40579</v>
      </c>
      <c r="C181" s="23">
        <v>1</v>
      </c>
      <c r="D181" s="23">
        <v>0</v>
      </c>
      <c r="E181" s="23">
        <v>2</v>
      </c>
      <c r="F181" s="23">
        <v>8</v>
      </c>
      <c r="G181" s="23" t="b">
        <v>0</v>
      </c>
      <c r="H181" s="23">
        <v>6</v>
      </c>
      <c r="I181" s="23">
        <v>3</v>
      </c>
      <c r="J181" s="23">
        <v>0.2</v>
      </c>
      <c r="K181" s="23">
        <v>0.2273</v>
      </c>
      <c r="L181" s="23">
        <v>1</v>
      </c>
      <c r="M181" s="23">
        <v>8.9599999999999999E-2</v>
      </c>
      <c r="N181" s="23">
        <v>0</v>
      </c>
      <c r="O181" s="23">
        <v>10</v>
      </c>
      <c r="P181" s="23">
        <v>10</v>
      </c>
    </row>
    <row r="182" spans="1:16">
      <c r="A182" s="23">
        <v>791</v>
      </c>
      <c r="B182" s="24">
        <v>40579</v>
      </c>
      <c r="C182" s="23">
        <v>1</v>
      </c>
      <c r="D182" s="23">
        <v>0</v>
      </c>
      <c r="E182" s="23">
        <v>2</v>
      </c>
      <c r="F182" s="23">
        <v>9</v>
      </c>
      <c r="G182" s="23" t="b">
        <v>0</v>
      </c>
      <c r="H182" s="23">
        <v>6</v>
      </c>
      <c r="I182" s="23">
        <v>3</v>
      </c>
      <c r="J182" s="23">
        <v>0.2</v>
      </c>
      <c r="K182" s="23">
        <v>0.2273</v>
      </c>
      <c r="L182" s="23">
        <v>1</v>
      </c>
      <c r="M182" s="23">
        <v>8.9599999999999999E-2</v>
      </c>
      <c r="N182" s="23">
        <v>3</v>
      </c>
      <c r="O182" s="23">
        <v>17</v>
      </c>
      <c r="P182" s="23">
        <v>20</v>
      </c>
    </row>
    <row r="183" spans="1:16">
      <c r="A183" s="23">
        <v>792</v>
      </c>
      <c r="B183" s="24">
        <v>40579</v>
      </c>
      <c r="C183" s="23">
        <v>1</v>
      </c>
      <c r="D183" s="23">
        <v>0</v>
      </c>
      <c r="E183" s="23">
        <v>2</v>
      </c>
      <c r="F183" s="23">
        <v>10</v>
      </c>
      <c r="G183" s="23" t="b">
        <v>0</v>
      </c>
      <c r="H183" s="23">
        <v>6</v>
      </c>
      <c r="I183" s="23">
        <v>3</v>
      </c>
      <c r="J183" s="23">
        <v>0.2</v>
      </c>
      <c r="K183" s="23">
        <v>0.21210000000000001</v>
      </c>
      <c r="L183" s="23">
        <v>1</v>
      </c>
      <c r="M183" s="23">
        <v>0.1343</v>
      </c>
      <c r="N183" s="23">
        <v>3</v>
      </c>
      <c r="O183" s="23">
        <v>31</v>
      </c>
      <c r="P183" s="23">
        <v>34</v>
      </c>
    </row>
    <row r="184" spans="1:16">
      <c r="A184" s="23">
        <v>793</v>
      </c>
      <c r="B184" s="24">
        <v>40579</v>
      </c>
      <c r="C184" s="23">
        <v>1</v>
      </c>
      <c r="D184" s="23">
        <v>0</v>
      </c>
      <c r="E184" s="23">
        <v>2</v>
      </c>
      <c r="F184" s="23">
        <v>11</v>
      </c>
      <c r="G184" s="23" t="b">
        <v>0</v>
      </c>
      <c r="H184" s="23">
        <v>6</v>
      </c>
      <c r="I184" s="23">
        <v>3</v>
      </c>
      <c r="J184" s="23">
        <v>0.22</v>
      </c>
      <c r="K184" s="23">
        <v>0.2273</v>
      </c>
      <c r="L184" s="23">
        <v>1</v>
      </c>
      <c r="M184" s="23">
        <v>0.1343</v>
      </c>
      <c r="N184" s="23">
        <v>1</v>
      </c>
      <c r="O184" s="23">
        <v>46</v>
      </c>
      <c r="P184" s="23">
        <v>47</v>
      </c>
    </row>
    <row r="185" spans="1:16">
      <c r="A185" s="23">
        <v>794</v>
      </c>
      <c r="B185" s="24">
        <v>40579</v>
      </c>
      <c r="C185" s="23">
        <v>1</v>
      </c>
      <c r="D185" s="23">
        <v>0</v>
      </c>
      <c r="E185" s="23">
        <v>2</v>
      </c>
      <c r="F185" s="23">
        <v>12</v>
      </c>
      <c r="G185" s="23" t="b">
        <v>0</v>
      </c>
      <c r="H185" s="23">
        <v>6</v>
      </c>
      <c r="I185" s="23">
        <v>3</v>
      </c>
      <c r="J185" s="23">
        <v>0.22</v>
      </c>
      <c r="K185" s="23">
        <v>0.2273</v>
      </c>
      <c r="L185" s="23">
        <v>1</v>
      </c>
      <c r="M185" s="23">
        <v>0.16420000000000001</v>
      </c>
      <c r="N185" s="23">
        <v>10</v>
      </c>
      <c r="O185" s="23">
        <v>42</v>
      </c>
      <c r="P185" s="23">
        <v>52</v>
      </c>
    </row>
    <row r="186" spans="1:16">
      <c r="A186" s="23">
        <v>795</v>
      </c>
      <c r="B186" s="24">
        <v>40579</v>
      </c>
      <c r="C186" s="23">
        <v>1</v>
      </c>
      <c r="D186" s="23">
        <v>0</v>
      </c>
      <c r="E186" s="23">
        <v>2</v>
      </c>
      <c r="F186" s="23">
        <v>13</v>
      </c>
      <c r="G186" s="23" t="b">
        <v>0</v>
      </c>
      <c r="H186" s="23">
        <v>6</v>
      </c>
      <c r="I186" s="23">
        <v>3</v>
      </c>
      <c r="J186" s="23">
        <v>0.22</v>
      </c>
      <c r="K186" s="23">
        <v>0.2273</v>
      </c>
      <c r="L186" s="23">
        <v>1</v>
      </c>
      <c r="M186" s="23">
        <v>0.16420000000000001</v>
      </c>
      <c r="N186" s="23">
        <v>10</v>
      </c>
      <c r="O186" s="23">
        <v>62</v>
      </c>
      <c r="P186" s="23">
        <v>72</v>
      </c>
    </row>
    <row r="187" spans="1:16">
      <c r="A187" s="23">
        <v>796</v>
      </c>
      <c r="B187" s="24">
        <v>40579</v>
      </c>
      <c r="C187" s="23">
        <v>1</v>
      </c>
      <c r="D187" s="23">
        <v>0</v>
      </c>
      <c r="E187" s="23">
        <v>2</v>
      </c>
      <c r="F187" s="23">
        <v>14</v>
      </c>
      <c r="G187" s="23" t="b">
        <v>0</v>
      </c>
      <c r="H187" s="23">
        <v>6</v>
      </c>
      <c r="I187" s="23">
        <v>3</v>
      </c>
      <c r="J187" s="23">
        <v>0.22</v>
      </c>
      <c r="K187" s="23">
        <v>0.2727</v>
      </c>
      <c r="L187" s="23">
        <v>1</v>
      </c>
      <c r="M187" s="23">
        <v>0</v>
      </c>
      <c r="N187" s="23">
        <v>5</v>
      </c>
      <c r="O187" s="23">
        <v>50</v>
      </c>
      <c r="P187" s="23">
        <v>55</v>
      </c>
    </row>
    <row r="188" spans="1:16">
      <c r="A188" s="23">
        <v>797</v>
      </c>
      <c r="B188" s="24">
        <v>40579</v>
      </c>
      <c r="C188" s="23">
        <v>1</v>
      </c>
      <c r="D188" s="23">
        <v>0</v>
      </c>
      <c r="E188" s="23">
        <v>2</v>
      </c>
      <c r="F188" s="23">
        <v>15</v>
      </c>
      <c r="G188" s="23" t="b">
        <v>0</v>
      </c>
      <c r="H188" s="23">
        <v>6</v>
      </c>
      <c r="I188" s="23">
        <v>3</v>
      </c>
      <c r="J188" s="23">
        <v>0.22</v>
      </c>
      <c r="K188" s="23">
        <v>0.2727</v>
      </c>
      <c r="L188" s="23">
        <v>1</v>
      </c>
      <c r="M188" s="23">
        <v>0</v>
      </c>
      <c r="N188" s="23">
        <v>11</v>
      </c>
      <c r="O188" s="23">
        <v>49</v>
      </c>
      <c r="P188" s="23">
        <v>60</v>
      </c>
    </row>
    <row r="189" spans="1:16">
      <c r="A189" s="23">
        <v>798</v>
      </c>
      <c r="B189" s="24">
        <v>40579</v>
      </c>
      <c r="C189" s="23">
        <v>1</v>
      </c>
      <c r="D189" s="23">
        <v>0</v>
      </c>
      <c r="E189" s="23">
        <v>2</v>
      </c>
      <c r="F189" s="23">
        <v>16</v>
      </c>
      <c r="G189" s="23" t="b">
        <v>0</v>
      </c>
      <c r="H189" s="23">
        <v>6</v>
      </c>
      <c r="I189" s="23">
        <v>3</v>
      </c>
      <c r="J189" s="23">
        <v>0.22</v>
      </c>
      <c r="K189" s="23">
        <v>0.2273</v>
      </c>
      <c r="L189" s="23">
        <v>1</v>
      </c>
      <c r="M189" s="23">
        <v>0.1343</v>
      </c>
      <c r="N189" s="23">
        <v>8</v>
      </c>
      <c r="O189" s="23">
        <v>63</v>
      </c>
      <c r="P189" s="23">
        <v>71</v>
      </c>
    </row>
    <row r="190" spans="1:16">
      <c r="A190" s="23">
        <v>799</v>
      </c>
      <c r="B190" s="24">
        <v>40579</v>
      </c>
      <c r="C190" s="23">
        <v>1</v>
      </c>
      <c r="D190" s="23">
        <v>0</v>
      </c>
      <c r="E190" s="23">
        <v>2</v>
      </c>
      <c r="F190" s="23">
        <v>17</v>
      </c>
      <c r="G190" s="23" t="b">
        <v>0</v>
      </c>
      <c r="H190" s="23">
        <v>6</v>
      </c>
      <c r="I190" s="23">
        <v>2</v>
      </c>
      <c r="J190" s="23">
        <v>0.24</v>
      </c>
      <c r="K190" s="23">
        <v>0.21210000000000001</v>
      </c>
      <c r="L190" s="23">
        <v>1</v>
      </c>
      <c r="M190" s="23">
        <v>0.28360000000000002</v>
      </c>
      <c r="N190" s="23">
        <v>14</v>
      </c>
      <c r="O190" s="23">
        <v>64</v>
      </c>
      <c r="P190" s="23">
        <v>78</v>
      </c>
    </row>
    <row r="191" spans="1:16">
      <c r="A191" s="23">
        <v>800</v>
      </c>
      <c r="B191" s="24">
        <v>40579</v>
      </c>
      <c r="C191" s="23">
        <v>1</v>
      </c>
      <c r="D191" s="23">
        <v>0</v>
      </c>
      <c r="E191" s="23">
        <v>2</v>
      </c>
      <c r="F191" s="23">
        <v>18</v>
      </c>
      <c r="G191" s="23" t="b">
        <v>0</v>
      </c>
      <c r="H191" s="23">
        <v>6</v>
      </c>
      <c r="I191" s="23">
        <v>2</v>
      </c>
      <c r="J191" s="23">
        <v>0.28000000000000003</v>
      </c>
      <c r="K191" s="23">
        <v>0.2424</v>
      </c>
      <c r="L191" s="23">
        <v>0.93</v>
      </c>
      <c r="M191" s="23">
        <v>0.44779999999999998</v>
      </c>
      <c r="N191" s="23">
        <v>2</v>
      </c>
      <c r="O191" s="23">
        <v>81</v>
      </c>
      <c r="P191" s="23">
        <v>83</v>
      </c>
    </row>
    <row r="192" spans="1:16">
      <c r="A192" s="23">
        <v>801</v>
      </c>
      <c r="B192" s="24">
        <v>40579</v>
      </c>
      <c r="C192" s="23">
        <v>1</v>
      </c>
      <c r="D192" s="23">
        <v>0</v>
      </c>
      <c r="E192" s="23">
        <v>2</v>
      </c>
      <c r="F192" s="23">
        <v>19</v>
      </c>
      <c r="G192" s="23" t="b">
        <v>0</v>
      </c>
      <c r="H192" s="23">
        <v>6</v>
      </c>
      <c r="I192" s="23">
        <v>2</v>
      </c>
      <c r="J192" s="23">
        <v>0.28000000000000003</v>
      </c>
      <c r="K192" s="23">
        <v>0.2424</v>
      </c>
      <c r="L192" s="23">
        <v>0.93</v>
      </c>
      <c r="M192" s="23">
        <v>0.44779999999999998</v>
      </c>
      <c r="N192" s="23">
        <v>6</v>
      </c>
      <c r="O192" s="23">
        <v>78</v>
      </c>
      <c r="P192" s="23">
        <v>84</v>
      </c>
    </row>
    <row r="193" spans="1:16">
      <c r="A193" s="23">
        <v>802</v>
      </c>
      <c r="B193" s="24">
        <v>40579</v>
      </c>
      <c r="C193" s="23">
        <v>1</v>
      </c>
      <c r="D193" s="23">
        <v>0</v>
      </c>
      <c r="E193" s="23">
        <v>2</v>
      </c>
      <c r="F193" s="23">
        <v>20</v>
      </c>
      <c r="G193" s="23" t="b">
        <v>0</v>
      </c>
      <c r="H193" s="23">
        <v>6</v>
      </c>
      <c r="I193" s="23">
        <v>1</v>
      </c>
      <c r="J193" s="23">
        <v>0.3</v>
      </c>
      <c r="K193" s="23">
        <v>0.28789999999999999</v>
      </c>
      <c r="L193" s="23">
        <v>0.87</v>
      </c>
      <c r="M193" s="23">
        <v>0.25369999999999998</v>
      </c>
      <c r="N193" s="23">
        <v>5</v>
      </c>
      <c r="O193" s="23">
        <v>64</v>
      </c>
      <c r="P193" s="23">
        <v>69</v>
      </c>
    </row>
    <row r="194" spans="1:16">
      <c r="A194" s="23">
        <v>803</v>
      </c>
      <c r="B194" s="24">
        <v>40579</v>
      </c>
      <c r="C194" s="23">
        <v>1</v>
      </c>
      <c r="D194" s="23">
        <v>0</v>
      </c>
      <c r="E194" s="23">
        <v>2</v>
      </c>
      <c r="F194" s="23">
        <v>21</v>
      </c>
      <c r="G194" s="23" t="b">
        <v>0</v>
      </c>
      <c r="H194" s="23">
        <v>6</v>
      </c>
      <c r="I194" s="23">
        <v>1</v>
      </c>
      <c r="J194" s="23">
        <v>0.26</v>
      </c>
      <c r="K194" s="23">
        <v>0.2576</v>
      </c>
      <c r="L194" s="23">
        <v>1</v>
      </c>
      <c r="M194" s="23">
        <v>0.19400000000000001</v>
      </c>
      <c r="N194" s="23">
        <v>3</v>
      </c>
      <c r="O194" s="23">
        <v>53</v>
      </c>
      <c r="P194" s="23">
        <v>56</v>
      </c>
    </row>
    <row r="195" spans="1:16">
      <c r="A195" s="23">
        <v>804</v>
      </c>
      <c r="B195" s="24">
        <v>40579</v>
      </c>
      <c r="C195" s="23">
        <v>1</v>
      </c>
      <c r="D195" s="23">
        <v>0</v>
      </c>
      <c r="E195" s="23">
        <v>2</v>
      </c>
      <c r="F195" s="23">
        <v>22</v>
      </c>
      <c r="G195" s="23" t="b">
        <v>0</v>
      </c>
      <c r="H195" s="23">
        <v>6</v>
      </c>
      <c r="I195" s="23">
        <v>1</v>
      </c>
      <c r="J195" s="23">
        <v>0.26</v>
      </c>
      <c r="K195" s="23">
        <v>0.2727</v>
      </c>
      <c r="L195" s="23">
        <v>0.93</v>
      </c>
      <c r="M195" s="23">
        <v>0.1343</v>
      </c>
      <c r="N195" s="23">
        <v>2</v>
      </c>
      <c r="O195" s="23">
        <v>43</v>
      </c>
      <c r="P195" s="23">
        <v>45</v>
      </c>
    </row>
    <row r="196" spans="1:16">
      <c r="A196" s="23">
        <v>805</v>
      </c>
      <c r="B196" s="24">
        <v>40579</v>
      </c>
      <c r="C196" s="23">
        <v>1</v>
      </c>
      <c r="D196" s="23">
        <v>0</v>
      </c>
      <c r="E196" s="23">
        <v>2</v>
      </c>
      <c r="F196" s="23">
        <v>23</v>
      </c>
      <c r="G196" s="23" t="b">
        <v>0</v>
      </c>
      <c r="H196" s="23">
        <v>6</v>
      </c>
      <c r="I196" s="23">
        <v>1</v>
      </c>
      <c r="J196" s="23">
        <v>0.26</v>
      </c>
      <c r="K196" s="23">
        <v>0.2576</v>
      </c>
      <c r="L196" s="23">
        <v>0.93</v>
      </c>
      <c r="M196" s="23">
        <v>0.22389999999999999</v>
      </c>
      <c r="N196" s="23">
        <v>7</v>
      </c>
      <c r="O196" s="23">
        <v>52</v>
      </c>
      <c r="P196" s="23">
        <v>59</v>
      </c>
    </row>
    <row r="197" spans="1:16">
      <c r="A197" s="23">
        <v>806</v>
      </c>
      <c r="B197" s="24">
        <v>40580</v>
      </c>
      <c r="C197" s="23">
        <v>1</v>
      </c>
      <c r="D197" s="23">
        <v>0</v>
      </c>
      <c r="E197" s="23">
        <v>2</v>
      </c>
      <c r="F197" s="23">
        <v>0</v>
      </c>
      <c r="G197" s="23" t="b">
        <v>0</v>
      </c>
      <c r="H197" s="23">
        <v>0</v>
      </c>
      <c r="I197" s="23">
        <v>1</v>
      </c>
      <c r="J197" s="23">
        <v>0.26</v>
      </c>
      <c r="K197" s="23">
        <v>0.2576</v>
      </c>
      <c r="L197" s="23">
        <v>0.7</v>
      </c>
      <c r="M197" s="23">
        <v>0.19400000000000001</v>
      </c>
      <c r="N197" s="23">
        <v>2</v>
      </c>
      <c r="O197" s="23">
        <v>37</v>
      </c>
      <c r="P197" s="23">
        <v>39</v>
      </c>
    </row>
    <row r="198" spans="1:16">
      <c r="A198" s="23">
        <v>807</v>
      </c>
      <c r="B198" s="24">
        <v>40580</v>
      </c>
      <c r="C198" s="23">
        <v>1</v>
      </c>
      <c r="D198" s="23">
        <v>0</v>
      </c>
      <c r="E198" s="23">
        <v>2</v>
      </c>
      <c r="F198" s="23">
        <v>1</v>
      </c>
      <c r="G198" s="23" t="b">
        <v>0</v>
      </c>
      <c r="H198" s="23">
        <v>0</v>
      </c>
      <c r="I198" s="23">
        <v>1</v>
      </c>
      <c r="J198" s="23">
        <v>0.26</v>
      </c>
      <c r="K198" s="23">
        <v>0.2273</v>
      </c>
      <c r="L198" s="23">
        <v>0.65</v>
      </c>
      <c r="M198" s="23">
        <v>0.41789999999999999</v>
      </c>
      <c r="N198" s="23">
        <v>4</v>
      </c>
      <c r="O198" s="23">
        <v>40</v>
      </c>
      <c r="P198" s="23">
        <v>44</v>
      </c>
    </row>
    <row r="199" spans="1:16">
      <c r="A199" s="23">
        <v>808</v>
      </c>
      <c r="B199" s="24">
        <v>40580</v>
      </c>
      <c r="C199" s="23">
        <v>1</v>
      </c>
      <c r="D199" s="23">
        <v>0</v>
      </c>
      <c r="E199" s="23">
        <v>2</v>
      </c>
      <c r="F199" s="23">
        <v>2</v>
      </c>
      <c r="G199" s="23" t="b">
        <v>0</v>
      </c>
      <c r="H199" s="23">
        <v>0</v>
      </c>
      <c r="I199" s="23">
        <v>1</v>
      </c>
      <c r="J199" s="23">
        <v>0.26</v>
      </c>
      <c r="K199" s="23">
        <v>0.2273</v>
      </c>
      <c r="L199" s="23">
        <v>0.6</v>
      </c>
      <c r="M199" s="23">
        <v>0.32840000000000003</v>
      </c>
      <c r="N199" s="23">
        <v>0</v>
      </c>
      <c r="O199" s="23">
        <v>20</v>
      </c>
      <c r="P199" s="23">
        <v>20</v>
      </c>
    </row>
    <row r="200" spans="1:16">
      <c r="A200" s="23">
        <v>809</v>
      </c>
      <c r="B200" s="24">
        <v>40580</v>
      </c>
      <c r="C200" s="23">
        <v>1</v>
      </c>
      <c r="D200" s="23">
        <v>0</v>
      </c>
      <c r="E200" s="23">
        <v>2</v>
      </c>
      <c r="F200" s="23">
        <v>3</v>
      </c>
      <c r="G200" s="23" t="b">
        <v>0</v>
      </c>
      <c r="H200" s="23">
        <v>0</v>
      </c>
      <c r="I200" s="23">
        <v>1</v>
      </c>
      <c r="J200" s="23">
        <v>0.26</v>
      </c>
      <c r="K200" s="23">
        <v>0.28789999999999999</v>
      </c>
      <c r="L200" s="23">
        <v>0.6</v>
      </c>
      <c r="M200" s="23">
        <v>8.9599999999999999E-2</v>
      </c>
      <c r="N200" s="23">
        <v>3</v>
      </c>
      <c r="O200" s="23">
        <v>10</v>
      </c>
      <c r="P200" s="23">
        <v>13</v>
      </c>
    </row>
    <row r="201" spans="1:16">
      <c r="A201" s="23">
        <v>810</v>
      </c>
      <c r="B201" s="24">
        <v>40580</v>
      </c>
      <c r="C201" s="23">
        <v>1</v>
      </c>
      <c r="D201" s="23">
        <v>0</v>
      </c>
      <c r="E201" s="23">
        <v>2</v>
      </c>
      <c r="F201" s="23">
        <v>4</v>
      </c>
      <c r="G201" s="23" t="b">
        <v>0</v>
      </c>
      <c r="H201" s="23">
        <v>0</v>
      </c>
      <c r="I201" s="23">
        <v>1</v>
      </c>
      <c r="J201" s="23">
        <v>0.26</v>
      </c>
      <c r="K201" s="23">
        <v>0.2273</v>
      </c>
      <c r="L201" s="23">
        <v>0.6</v>
      </c>
      <c r="M201" s="23">
        <v>0.35820000000000002</v>
      </c>
      <c r="N201" s="23">
        <v>0</v>
      </c>
      <c r="O201" s="23">
        <v>2</v>
      </c>
      <c r="P201" s="23">
        <v>2</v>
      </c>
    </row>
    <row r="202" spans="1:16">
      <c r="A202" s="23">
        <v>811</v>
      </c>
      <c r="B202" s="24">
        <v>40580</v>
      </c>
      <c r="C202" s="23">
        <v>1</v>
      </c>
      <c r="D202" s="23">
        <v>0</v>
      </c>
      <c r="E202" s="23">
        <v>2</v>
      </c>
      <c r="F202" s="23">
        <v>5</v>
      </c>
      <c r="G202" s="23" t="b">
        <v>0</v>
      </c>
      <c r="H202" s="23">
        <v>0</v>
      </c>
      <c r="I202" s="23">
        <v>1</v>
      </c>
      <c r="J202" s="23">
        <v>0.26</v>
      </c>
      <c r="K202" s="23">
        <v>0.2576</v>
      </c>
      <c r="L202" s="23">
        <v>0.6</v>
      </c>
      <c r="M202" s="23">
        <v>0.22389999999999999</v>
      </c>
      <c r="N202" s="23">
        <v>0</v>
      </c>
      <c r="O202" s="23">
        <v>1</v>
      </c>
      <c r="P202" s="23">
        <v>1</v>
      </c>
    </row>
    <row r="203" spans="1:16">
      <c r="A203" s="23">
        <v>812</v>
      </c>
      <c r="B203" s="24">
        <v>40580</v>
      </c>
      <c r="C203" s="23">
        <v>1</v>
      </c>
      <c r="D203" s="23">
        <v>0</v>
      </c>
      <c r="E203" s="23">
        <v>2</v>
      </c>
      <c r="F203" s="23">
        <v>6</v>
      </c>
      <c r="G203" s="23" t="b">
        <v>0</v>
      </c>
      <c r="H203" s="23">
        <v>0</v>
      </c>
      <c r="I203" s="23">
        <v>1</v>
      </c>
      <c r="J203" s="23">
        <v>0.26</v>
      </c>
      <c r="K203" s="23">
        <v>0.2576</v>
      </c>
      <c r="L203" s="23">
        <v>0.6</v>
      </c>
      <c r="M203" s="23">
        <v>0.22389999999999999</v>
      </c>
      <c r="N203" s="23">
        <v>0</v>
      </c>
      <c r="O203" s="23">
        <v>1</v>
      </c>
      <c r="P203" s="23">
        <v>1</v>
      </c>
    </row>
    <row r="204" spans="1:16">
      <c r="A204" s="23">
        <v>813</v>
      </c>
      <c r="B204" s="24">
        <v>40580</v>
      </c>
      <c r="C204" s="23">
        <v>1</v>
      </c>
      <c r="D204" s="23">
        <v>0</v>
      </c>
      <c r="E204" s="23">
        <v>2</v>
      </c>
      <c r="F204" s="23">
        <v>7</v>
      </c>
      <c r="G204" s="23" t="b">
        <v>0</v>
      </c>
      <c r="H204" s="23">
        <v>0</v>
      </c>
      <c r="I204" s="23">
        <v>1</v>
      </c>
      <c r="J204" s="23">
        <v>0.24</v>
      </c>
      <c r="K204" s="23">
        <v>0.2424</v>
      </c>
      <c r="L204" s="23">
        <v>0.65</v>
      </c>
      <c r="M204" s="23">
        <v>0.16420000000000001</v>
      </c>
      <c r="N204" s="23">
        <v>0</v>
      </c>
      <c r="O204" s="23">
        <v>8</v>
      </c>
      <c r="P204" s="23">
        <v>8</v>
      </c>
    </row>
    <row r="205" spans="1:16">
      <c r="A205" s="23">
        <v>814</v>
      </c>
      <c r="B205" s="24">
        <v>40580</v>
      </c>
      <c r="C205" s="23">
        <v>1</v>
      </c>
      <c r="D205" s="23">
        <v>0</v>
      </c>
      <c r="E205" s="23">
        <v>2</v>
      </c>
      <c r="F205" s="23">
        <v>8</v>
      </c>
      <c r="G205" s="23" t="b">
        <v>0</v>
      </c>
      <c r="H205" s="23">
        <v>0</v>
      </c>
      <c r="I205" s="23">
        <v>1</v>
      </c>
      <c r="J205" s="23">
        <v>0.24</v>
      </c>
      <c r="K205" s="23">
        <v>0.2576</v>
      </c>
      <c r="L205" s="23">
        <v>0.65</v>
      </c>
      <c r="M205" s="23">
        <v>0.1045</v>
      </c>
      <c r="N205" s="23">
        <v>2</v>
      </c>
      <c r="O205" s="23">
        <v>21</v>
      </c>
      <c r="P205" s="23">
        <v>23</v>
      </c>
    </row>
    <row r="206" spans="1:16">
      <c r="A206" s="23">
        <v>815</v>
      </c>
      <c r="B206" s="24">
        <v>40580</v>
      </c>
      <c r="C206" s="23">
        <v>1</v>
      </c>
      <c r="D206" s="23">
        <v>0</v>
      </c>
      <c r="E206" s="23">
        <v>2</v>
      </c>
      <c r="F206" s="23">
        <v>9</v>
      </c>
      <c r="G206" s="23" t="b">
        <v>0</v>
      </c>
      <c r="H206" s="23">
        <v>0</v>
      </c>
      <c r="I206" s="23">
        <v>1</v>
      </c>
      <c r="J206" s="23">
        <v>0.28000000000000003</v>
      </c>
      <c r="K206" s="23">
        <v>0.28789999999999999</v>
      </c>
      <c r="L206" s="23">
        <v>0.56000000000000005</v>
      </c>
      <c r="M206" s="23">
        <v>0.1045</v>
      </c>
      <c r="N206" s="23">
        <v>7</v>
      </c>
      <c r="O206" s="23">
        <v>38</v>
      </c>
      <c r="P206" s="23">
        <v>45</v>
      </c>
    </row>
    <row r="207" spans="1:16">
      <c r="A207" s="23">
        <v>816</v>
      </c>
      <c r="B207" s="24">
        <v>40580</v>
      </c>
      <c r="C207" s="23">
        <v>1</v>
      </c>
      <c r="D207" s="23">
        <v>0</v>
      </c>
      <c r="E207" s="23">
        <v>2</v>
      </c>
      <c r="F207" s="23">
        <v>10</v>
      </c>
      <c r="G207" s="23" t="b">
        <v>0</v>
      </c>
      <c r="H207" s="23">
        <v>0</v>
      </c>
      <c r="I207" s="23">
        <v>1</v>
      </c>
      <c r="J207" s="23">
        <v>0.3</v>
      </c>
      <c r="K207" s="23">
        <v>0.28789999999999999</v>
      </c>
      <c r="L207" s="23">
        <v>0.52</v>
      </c>
      <c r="M207" s="23">
        <v>0.25369999999999998</v>
      </c>
      <c r="N207" s="23">
        <v>15</v>
      </c>
      <c r="O207" s="23">
        <v>74</v>
      </c>
      <c r="P207" s="23">
        <v>89</v>
      </c>
    </row>
    <row r="208" spans="1:16">
      <c r="A208" s="23">
        <v>817</v>
      </c>
      <c r="B208" s="24">
        <v>40580</v>
      </c>
      <c r="C208" s="23">
        <v>1</v>
      </c>
      <c r="D208" s="23">
        <v>0</v>
      </c>
      <c r="E208" s="23">
        <v>2</v>
      </c>
      <c r="F208" s="23">
        <v>11</v>
      </c>
      <c r="G208" s="23" t="b">
        <v>0</v>
      </c>
      <c r="H208" s="23">
        <v>0</v>
      </c>
      <c r="I208" s="23">
        <v>1</v>
      </c>
      <c r="J208" s="23">
        <v>0.32</v>
      </c>
      <c r="K208" s="23">
        <v>0.30299999999999999</v>
      </c>
      <c r="L208" s="23">
        <v>0.49</v>
      </c>
      <c r="M208" s="23">
        <v>0.25369999999999998</v>
      </c>
      <c r="N208" s="23">
        <v>28</v>
      </c>
      <c r="O208" s="23">
        <v>89</v>
      </c>
      <c r="P208" s="23">
        <v>117</v>
      </c>
    </row>
    <row r="209" spans="1:16">
      <c r="A209" s="23">
        <v>818</v>
      </c>
      <c r="B209" s="24">
        <v>40580</v>
      </c>
      <c r="C209" s="23">
        <v>1</v>
      </c>
      <c r="D209" s="23">
        <v>0</v>
      </c>
      <c r="E209" s="23">
        <v>2</v>
      </c>
      <c r="F209" s="23">
        <v>12</v>
      </c>
      <c r="G209" s="23" t="b">
        <v>0</v>
      </c>
      <c r="H209" s="23">
        <v>0</v>
      </c>
      <c r="I209" s="23">
        <v>1</v>
      </c>
      <c r="J209" s="23">
        <v>0.34</v>
      </c>
      <c r="K209" s="23">
        <v>0.33329999999999999</v>
      </c>
      <c r="L209" s="23">
        <v>0.46</v>
      </c>
      <c r="M209" s="23">
        <v>0</v>
      </c>
      <c r="N209" s="23">
        <v>48</v>
      </c>
      <c r="O209" s="23">
        <v>126</v>
      </c>
      <c r="P209" s="23">
        <v>174</v>
      </c>
    </row>
    <row r="210" spans="1:16">
      <c r="A210" s="23">
        <v>819</v>
      </c>
      <c r="B210" s="24">
        <v>40580</v>
      </c>
      <c r="C210" s="23">
        <v>1</v>
      </c>
      <c r="D210" s="23">
        <v>0</v>
      </c>
      <c r="E210" s="23">
        <v>2</v>
      </c>
      <c r="F210" s="23">
        <v>13</v>
      </c>
      <c r="G210" s="23" t="b">
        <v>0</v>
      </c>
      <c r="H210" s="23">
        <v>0</v>
      </c>
      <c r="I210" s="23">
        <v>1</v>
      </c>
      <c r="J210" s="23">
        <v>0.34</v>
      </c>
      <c r="K210" s="23">
        <v>0.36359999999999998</v>
      </c>
      <c r="L210" s="23">
        <v>0.46</v>
      </c>
      <c r="M210" s="23">
        <v>0</v>
      </c>
      <c r="N210" s="23">
        <v>47</v>
      </c>
      <c r="O210" s="23">
        <v>135</v>
      </c>
      <c r="P210" s="23">
        <v>182</v>
      </c>
    </row>
    <row r="211" spans="1:16">
      <c r="A211" s="23">
        <v>820</v>
      </c>
      <c r="B211" s="24">
        <v>40580</v>
      </c>
      <c r="C211" s="23">
        <v>1</v>
      </c>
      <c r="D211" s="23">
        <v>0</v>
      </c>
      <c r="E211" s="23">
        <v>2</v>
      </c>
      <c r="F211" s="23">
        <v>14</v>
      </c>
      <c r="G211" s="23" t="b">
        <v>0</v>
      </c>
      <c r="H211" s="23">
        <v>0</v>
      </c>
      <c r="I211" s="23">
        <v>1</v>
      </c>
      <c r="J211" s="23">
        <v>0.34</v>
      </c>
      <c r="K211" s="23">
        <v>0.34849999999999998</v>
      </c>
      <c r="L211" s="23">
        <v>0.46</v>
      </c>
      <c r="M211" s="23">
        <v>8.9599999999999999E-2</v>
      </c>
      <c r="N211" s="23">
        <v>47</v>
      </c>
      <c r="O211" s="23">
        <v>114</v>
      </c>
      <c r="P211" s="23">
        <v>161</v>
      </c>
    </row>
    <row r="212" spans="1:16">
      <c r="A212" s="23">
        <v>821</v>
      </c>
      <c r="B212" s="24">
        <v>40580</v>
      </c>
      <c r="C212" s="23">
        <v>1</v>
      </c>
      <c r="D212" s="23">
        <v>0</v>
      </c>
      <c r="E212" s="23">
        <v>2</v>
      </c>
      <c r="F212" s="23">
        <v>15</v>
      </c>
      <c r="G212" s="23" t="b">
        <v>0</v>
      </c>
      <c r="H212" s="23">
        <v>0</v>
      </c>
      <c r="I212" s="23">
        <v>1</v>
      </c>
      <c r="J212" s="23">
        <v>0.34</v>
      </c>
      <c r="K212" s="23">
        <v>0.34849999999999998</v>
      </c>
      <c r="L212" s="23">
        <v>0.46</v>
      </c>
      <c r="M212" s="23">
        <v>8.9599999999999999E-2</v>
      </c>
      <c r="N212" s="23">
        <v>52</v>
      </c>
      <c r="O212" s="23">
        <v>130</v>
      </c>
      <c r="P212" s="23">
        <v>182</v>
      </c>
    </row>
    <row r="213" spans="1:16">
      <c r="A213" s="23">
        <v>822</v>
      </c>
      <c r="B213" s="24">
        <v>40580</v>
      </c>
      <c r="C213" s="23">
        <v>1</v>
      </c>
      <c r="D213" s="23">
        <v>0</v>
      </c>
      <c r="E213" s="23">
        <v>2</v>
      </c>
      <c r="F213" s="23">
        <v>16</v>
      </c>
      <c r="G213" s="23" t="b">
        <v>0</v>
      </c>
      <c r="H213" s="23">
        <v>0</v>
      </c>
      <c r="I213" s="23">
        <v>1</v>
      </c>
      <c r="J213" s="23">
        <v>0.34</v>
      </c>
      <c r="K213" s="23">
        <v>0.34849999999999998</v>
      </c>
      <c r="L213" s="23">
        <v>0.49</v>
      </c>
      <c r="M213" s="23">
        <v>0.1045</v>
      </c>
      <c r="N213" s="23">
        <v>42</v>
      </c>
      <c r="O213" s="23">
        <v>115</v>
      </c>
      <c r="P213" s="23">
        <v>157</v>
      </c>
    </row>
    <row r="214" spans="1:16">
      <c r="A214" s="23">
        <v>823</v>
      </c>
      <c r="B214" s="24">
        <v>40580</v>
      </c>
      <c r="C214" s="23">
        <v>1</v>
      </c>
      <c r="D214" s="23">
        <v>0</v>
      </c>
      <c r="E214" s="23">
        <v>2</v>
      </c>
      <c r="F214" s="23">
        <v>17</v>
      </c>
      <c r="G214" s="23" t="b">
        <v>0</v>
      </c>
      <c r="H214" s="23">
        <v>0</v>
      </c>
      <c r="I214" s="23">
        <v>1</v>
      </c>
      <c r="J214" s="23">
        <v>0.34</v>
      </c>
      <c r="K214" s="23">
        <v>0.36359999999999998</v>
      </c>
      <c r="L214" s="23">
        <v>0.46</v>
      </c>
      <c r="M214" s="23">
        <v>0</v>
      </c>
      <c r="N214" s="23">
        <v>24</v>
      </c>
      <c r="O214" s="23">
        <v>97</v>
      </c>
      <c r="P214" s="23">
        <v>121</v>
      </c>
    </row>
    <row r="215" spans="1:16">
      <c r="A215" s="23">
        <v>824</v>
      </c>
      <c r="B215" s="24">
        <v>40580</v>
      </c>
      <c r="C215" s="23">
        <v>1</v>
      </c>
      <c r="D215" s="23">
        <v>0</v>
      </c>
      <c r="E215" s="23">
        <v>2</v>
      </c>
      <c r="F215" s="23">
        <v>18</v>
      </c>
      <c r="G215" s="23" t="b">
        <v>0</v>
      </c>
      <c r="H215" s="23">
        <v>0</v>
      </c>
      <c r="I215" s="23">
        <v>1</v>
      </c>
      <c r="J215" s="23">
        <v>0.3</v>
      </c>
      <c r="K215" s="23">
        <v>0.30299999999999999</v>
      </c>
      <c r="L215" s="23">
        <v>0.56000000000000005</v>
      </c>
      <c r="M215" s="23">
        <v>0.16420000000000001</v>
      </c>
      <c r="N215" s="23">
        <v>13</v>
      </c>
      <c r="O215" s="23">
        <v>65</v>
      </c>
      <c r="P215" s="23">
        <v>78</v>
      </c>
    </row>
    <row r="216" spans="1:16">
      <c r="A216" s="23">
        <v>825</v>
      </c>
      <c r="B216" s="24">
        <v>40580</v>
      </c>
      <c r="C216" s="23">
        <v>1</v>
      </c>
      <c r="D216" s="23">
        <v>0</v>
      </c>
      <c r="E216" s="23">
        <v>2</v>
      </c>
      <c r="F216" s="23">
        <v>19</v>
      </c>
      <c r="G216" s="23" t="b">
        <v>0</v>
      </c>
      <c r="H216" s="23">
        <v>0</v>
      </c>
      <c r="I216" s="23">
        <v>1</v>
      </c>
      <c r="J216" s="23">
        <v>0.28000000000000003</v>
      </c>
      <c r="K216" s="23">
        <v>0.28789999999999999</v>
      </c>
      <c r="L216" s="23">
        <v>0.61</v>
      </c>
      <c r="M216" s="23">
        <v>0.1343</v>
      </c>
      <c r="N216" s="23">
        <v>1</v>
      </c>
      <c r="O216" s="23">
        <v>20</v>
      </c>
      <c r="P216" s="23">
        <v>21</v>
      </c>
    </row>
    <row r="217" spans="1:16">
      <c r="A217" s="23">
        <v>826</v>
      </c>
      <c r="B217" s="24">
        <v>40580</v>
      </c>
      <c r="C217" s="23">
        <v>1</v>
      </c>
      <c r="D217" s="23">
        <v>0</v>
      </c>
      <c r="E217" s="23">
        <v>2</v>
      </c>
      <c r="F217" s="23">
        <v>20</v>
      </c>
      <c r="G217" s="23" t="b">
        <v>0</v>
      </c>
      <c r="H217" s="23">
        <v>0</v>
      </c>
      <c r="I217" s="23">
        <v>1</v>
      </c>
      <c r="J217" s="23">
        <v>0.28000000000000003</v>
      </c>
      <c r="K217" s="23">
        <v>0.28789999999999999</v>
      </c>
      <c r="L217" s="23">
        <v>0.61</v>
      </c>
      <c r="M217" s="23">
        <v>0.1045</v>
      </c>
      <c r="N217" s="23">
        <v>5</v>
      </c>
      <c r="O217" s="23">
        <v>21</v>
      </c>
      <c r="P217" s="23">
        <v>26</v>
      </c>
    </row>
    <row r="218" spans="1:16">
      <c r="A218" s="23">
        <v>827</v>
      </c>
      <c r="B218" s="24">
        <v>40580</v>
      </c>
      <c r="C218" s="23">
        <v>1</v>
      </c>
      <c r="D218" s="23">
        <v>0</v>
      </c>
      <c r="E218" s="23">
        <v>2</v>
      </c>
      <c r="F218" s="23">
        <v>21</v>
      </c>
      <c r="G218" s="23" t="b">
        <v>0</v>
      </c>
      <c r="H218" s="23">
        <v>0</v>
      </c>
      <c r="I218" s="23">
        <v>1</v>
      </c>
      <c r="J218" s="23">
        <v>0.26</v>
      </c>
      <c r="K218" s="23">
        <v>0.30299999999999999</v>
      </c>
      <c r="L218" s="23">
        <v>0.6</v>
      </c>
      <c r="M218" s="23">
        <v>0</v>
      </c>
      <c r="N218" s="23">
        <v>5</v>
      </c>
      <c r="O218" s="23">
        <v>22</v>
      </c>
      <c r="P218" s="23">
        <v>27</v>
      </c>
    </row>
    <row r="219" spans="1:16">
      <c r="A219" s="23">
        <v>828</v>
      </c>
      <c r="B219" s="24">
        <v>40580</v>
      </c>
      <c r="C219" s="23">
        <v>1</v>
      </c>
      <c r="D219" s="23">
        <v>0</v>
      </c>
      <c r="E219" s="23">
        <v>2</v>
      </c>
      <c r="F219" s="23">
        <v>22</v>
      </c>
      <c r="G219" s="23" t="b">
        <v>0</v>
      </c>
      <c r="H219" s="23">
        <v>0</v>
      </c>
      <c r="I219" s="23">
        <v>1</v>
      </c>
      <c r="J219" s="23">
        <v>0.26</v>
      </c>
      <c r="K219" s="23">
        <v>0.30299999999999999</v>
      </c>
      <c r="L219" s="23">
        <v>0.6</v>
      </c>
      <c r="M219" s="23">
        <v>0</v>
      </c>
      <c r="N219" s="23">
        <v>5</v>
      </c>
      <c r="O219" s="23">
        <v>57</v>
      </c>
      <c r="P219" s="23">
        <v>62</v>
      </c>
    </row>
    <row r="220" spans="1:16">
      <c r="A220" s="23">
        <v>829</v>
      </c>
      <c r="B220" s="24">
        <v>40580</v>
      </c>
      <c r="C220" s="23">
        <v>1</v>
      </c>
      <c r="D220" s="23">
        <v>0</v>
      </c>
      <c r="E220" s="23">
        <v>2</v>
      </c>
      <c r="F220" s="23">
        <v>23</v>
      </c>
      <c r="G220" s="23" t="b">
        <v>0</v>
      </c>
      <c r="H220" s="23">
        <v>0</v>
      </c>
      <c r="I220" s="23">
        <v>1</v>
      </c>
      <c r="J220" s="23">
        <v>0.24</v>
      </c>
      <c r="K220" s="23">
        <v>0.28789999999999999</v>
      </c>
      <c r="L220" s="23">
        <v>0.65</v>
      </c>
      <c r="M220" s="23">
        <v>0</v>
      </c>
      <c r="N220" s="23">
        <v>4</v>
      </c>
      <c r="O220" s="23">
        <v>26</v>
      </c>
      <c r="P220" s="23">
        <v>30</v>
      </c>
    </row>
    <row r="221" spans="1:16">
      <c r="A221" s="23">
        <v>830</v>
      </c>
      <c r="B221" s="24">
        <v>40581</v>
      </c>
      <c r="C221" s="23">
        <v>1</v>
      </c>
      <c r="D221" s="23">
        <v>0</v>
      </c>
      <c r="E221" s="23">
        <v>2</v>
      </c>
      <c r="F221" s="23">
        <v>0</v>
      </c>
      <c r="G221" s="23" t="b">
        <v>0</v>
      </c>
      <c r="H221" s="23">
        <v>1</v>
      </c>
      <c r="I221" s="23">
        <v>1</v>
      </c>
      <c r="J221" s="23">
        <v>0.24</v>
      </c>
      <c r="K221" s="23">
        <v>0.28789999999999999</v>
      </c>
      <c r="L221" s="23">
        <v>0.65</v>
      </c>
      <c r="M221" s="23">
        <v>0</v>
      </c>
      <c r="N221" s="23">
        <v>1</v>
      </c>
      <c r="O221" s="23">
        <v>14</v>
      </c>
      <c r="P221" s="23">
        <v>15</v>
      </c>
    </row>
    <row r="222" spans="1:16">
      <c r="A222" s="23">
        <v>831</v>
      </c>
      <c r="B222" s="24">
        <v>40581</v>
      </c>
      <c r="C222" s="23">
        <v>1</v>
      </c>
      <c r="D222" s="23">
        <v>0</v>
      </c>
      <c r="E222" s="23">
        <v>2</v>
      </c>
      <c r="F222" s="23">
        <v>1</v>
      </c>
      <c r="G222" s="23" t="b">
        <v>0</v>
      </c>
      <c r="H222" s="23">
        <v>1</v>
      </c>
      <c r="I222" s="23">
        <v>1</v>
      </c>
      <c r="J222" s="23">
        <v>0.22</v>
      </c>
      <c r="K222" s="23">
        <v>0.2727</v>
      </c>
      <c r="L222" s="23">
        <v>0.75</v>
      </c>
      <c r="M222" s="23">
        <v>0</v>
      </c>
      <c r="N222" s="23">
        <v>1</v>
      </c>
      <c r="O222" s="23">
        <v>4</v>
      </c>
      <c r="P222" s="23">
        <v>5</v>
      </c>
    </row>
    <row r="223" spans="1:16">
      <c r="A223" s="23">
        <v>832</v>
      </c>
      <c r="B223" s="24">
        <v>40581</v>
      </c>
      <c r="C223" s="23">
        <v>1</v>
      </c>
      <c r="D223" s="23">
        <v>0</v>
      </c>
      <c r="E223" s="23">
        <v>2</v>
      </c>
      <c r="F223" s="23">
        <v>2</v>
      </c>
      <c r="G223" s="23" t="b">
        <v>0</v>
      </c>
      <c r="H223" s="23">
        <v>1</v>
      </c>
      <c r="I223" s="23">
        <v>1</v>
      </c>
      <c r="J223" s="23">
        <v>0.2</v>
      </c>
      <c r="K223" s="23">
        <v>0.2576</v>
      </c>
      <c r="L223" s="23">
        <v>0.8</v>
      </c>
      <c r="M223" s="23">
        <v>0</v>
      </c>
      <c r="N223" s="23">
        <v>0</v>
      </c>
      <c r="O223" s="23">
        <v>3</v>
      </c>
      <c r="P223" s="23">
        <v>3</v>
      </c>
    </row>
    <row r="224" spans="1:16">
      <c r="A224" s="23">
        <v>833</v>
      </c>
      <c r="B224" s="24">
        <v>40581</v>
      </c>
      <c r="C224" s="23">
        <v>1</v>
      </c>
      <c r="D224" s="23">
        <v>0</v>
      </c>
      <c r="E224" s="23">
        <v>2</v>
      </c>
      <c r="F224" s="23">
        <v>3</v>
      </c>
      <c r="G224" s="23" t="b">
        <v>0</v>
      </c>
      <c r="H224" s="23">
        <v>1</v>
      </c>
      <c r="I224" s="23">
        <v>1</v>
      </c>
      <c r="J224" s="23">
        <v>0.2</v>
      </c>
      <c r="K224" s="23">
        <v>0.2576</v>
      </c>
      <c r="L224" s="23">
        <v>0.86</v>
      </c>
      <c r="M224" s="23">
        <v>0</v>
      </c>
      <c r="N224" s="23">
        <v>0</v>
      </c>
      <c r="O224" s="23">
        <v>1</v>
      </c>
      <c r="P224" s="23">
        <v>1</v>
      </c>
    </row>
    <row r="225" spans="1:16">
      <c r="A225" s="23">
        <v>834</v>
      </c>
      <c r="B225" s="24">
        <v>40581</v>
      </c>
      <c r="C225" s="23">
        <v>1</v>
      </c>
      <c r="D225" s="23">
        <v>0</v>
      </c>
      <c r="E225" s="23">
        <v>2</v>
      </c>
      <c r="F225" s="23">
        <v>4</v>
      </c>
      <c r="G225" s="23" t="b">
        <v>0</v>
      </c>
      <c r="H225" s="23">
        <v>1</v>
      </c>
      <c r="I225" s="23">
        <v>1</v>
      </c>
      <c r="J225" s="23">
        <v>0.2</v>
      </c>
      <c r="K225" s="23">
        <v>0.2576</v>
      </c>
      <c r="L225" s="23">
        <v>0.86</v>
      </c>
      <c r="M225" s="23">
        <v>0</v>
      </c>
      <c r="N225" s="23">
        <v>1</v>
      </c>
      <c r="O225" s="23">
        <v>1</v>
      </c>
      <c r="P225" s="23">
        <v>2</v>
      </c>
    </row>
    <row r="226" spans="1:16">
      <c r="A226" s="23">
        <v>835</v>
      </c>
      <c r="B226" s="24">
        <v>40581</v>
      </c>
      <c r="C226" s="23">
        <v>1</v>
      </c>
      <c r="D226" s="23">
        <v>0</v>
      </c>
      <c r="E226" s="23">
        <v>2</v>
      </c>
      <c r="F226" s="23">
        <v>5</v>
      </c>
      <c r="G226" s="23" t="b">
        <v>0</v>
      </c>
      <c r="H226" s="23">
        <v>1</v>
      </c>
      <c r="I226" s="23">
        <v>1</v>
      </c>
      <c r="J226" s="23">
        <v>0.2</v>
      </c>
      <c r="K226" s="23">
        <v>0.2576</v>
      </c>
      <c r="L226" s="23">
        <v>0.86</v>
      </c>
      <c r="M226" s="23">
        <v>0</v>
      </c>
      <c r="N226" s="23">
        <v>1</v>
      </c>
      <c r="O226" s="23">
        <v>9</v>
      </c>
      <c r="P226" s="23">
        <v>10</v>
      </c>
    </row>
    <row r="227" spans="1:16">
      <c r="A227" s="23">
        <v>836</v>
      </c>
      <c r="B227" s="24">
        <v>40581</v>
      </c>
      <c r="C227" s="23">
        <v>1</v>
      </c>
      <c r="D227" s="23">
        <v>0</v>
      </c>
      <c r="E227" s="23">
        <v>2</v>
      </c>
      <c r="F227" s="23">
        <v>6</v>
      </c>
      <c r="G227" s="23" t="b">
        <v>0</v>
      </c>
      <c r="H227" s="23">
        <v>1</v>
      </c>
      <c r="I227" s="23">
        <v>1</v>
      </c>
      <c r="J227" s="23">
        <v>0.18</v>
      </c>
      <c r="K227" s="23">
        <v>0.2424</v>
      </c>
      <c r="L227" s="23">
        <v>0.93</v>
      </c>
      <c r="M227" s="23">
        <v>0</v>
      </c>
      <c r="N227" s="23">
        <v>1</v>
      </c>
      <c r="O227" s="23">
        <v>29</v>
      </c>
      <c r="P227" s="23">
        <v>30</v>
      </c>
    </row>
    <row r="228" spans="1:16">
      <c r="A228" s="23">
        <v>837</v>
      </c>
      <c r="B228" s="24">
        <v>40581</v>
      </c>
      <c r="C228" s="23">
        <v>1</v>
      </c>
      <c r="D228" s="23">
        <v>0</v>
      </c>
      <c r="E228" s="23">
        <v>2</v>
      </c>
      <c r="F228" s="23">
        <v>7</v>
      </c>
      <c r="G228" s="23" t="b">
        <v>0</v>
      </c>
      <c r="H228" s="23">
        <v>1</v>
      </c>
      <c r="I228" s="23">
        <v>1</v>
      </c>
      <c r="J228" s="23">
        <v>0.18</v>
      </c>
      <c r="K228" s="23">
        <v>0.2424</v>
      </c>
      <c r="L228" s="23">
        <v>0.86</v>
      </c>
      <c r="M228" s="23">
        <v>0</v>
      </c>
      <c r="N228" s="23">
        <v>6</v>
      </c>
      <c r="O228" s="23">
        <v>89</v>
      </c>
      <c r="P228" s="23">
        <v>95</v>
      </c>
    </row>
    <row r="229" spans="1:16">
      <c r="A229" s="23">
        <v>838</v>
      </c>
      <c r="B229" s="24">
        <v>40581</v>
      </c>
      <c r="C229" s="23">
        <v>1</v>
      </c>
      <c r="D229" s="23">
        <v>0</v>
      </c>
      <c r="E229" s="23">
        <v>2</v>
      </c>
      <c r="F229" s="23">
        <v>8</v>
      </c>
      <c r="G229" s="23" t="b">
        <v>0</v>
      </c>
      <c r="H229" s="23">
        <v>1</v>
      </c>
      <c r="I229" s="23">
        <v>2</v>
      </c>
      <c r="J229" s="23">
        <v>0.16</v>
      </c>
      <c r="K229" s="23">
        <v>0.2273</v>
      </c>
      <c r="L229" s="23">
        <v>1</v>
      </c>
      <c r="M229" s="23">
        <v>0</v>
      </c>
      <c r="N229" s="23">
        <v>7</v>
      </c>
      <c r="O229" s="23">
        <v>223</v>
      </c>
      <c r="P229" s="23">
        <v>230</v>
      </c>
    </row>
    <row r="230" spans="1:16">
      <c r="A230" s="23">
        <v>839</v>
      </c>
      <c r="B230" s="24">
        <v>40581</v>
      </c>
      <c r="C230" s="23">
        <v>1</v>
      </c>
      <c r="D230" s="23">
        <v>0</v>
      </c>
      <c r="E230" s="23">
        <v>2</v>
      </c>
      <c r="F230" s="23">
        <v>9</v>
      </c>
      <c r="G230" s="23" t="b">
        <v>0</v>
      </c>
      <c r="H230" s="23">
        <v>1</v>
      </c>
      <c r="I230" s="23">
        <v>1</v>
      </c>
      <c r="J230" s="23">
        <v>0.22</v>
      </c>
      <c r="K230" s="23">
        <v>0.2727</v>
      </c>
      <c r="L230" s="23">
        <v>0.8</v>
      </c>
      <c r="M230" s="23">
        <v>0</v>
      </c>
      <c r="N230" s="23">
        <v>3</v>
      </c>
      <c r="O230" s="23">
        <v>115</v>
      </c>
      <c r="P230" s="23">
        <v>118</v>
      </c>
    </row>
    <row r="231" spans="1:16">
      <c r="A231" s="23">
        <v>840</v>
      </c>
      <c r="B231" s="24">
        <v>40581</v>
      </c>
      <c r="C231" s="23">
        <v>1</v>
      </c>
      <c r="D231" s="23">
        <v>0</v>
      </c>
      <c r="E231" s="23">
        <v>2</v>
      </c>
      <c r="F231" s="23">
        <v>10</v>
      </c>
      <c r="G231" s="23" t="b">
        <v>0</v>
      </c>
      <c r="H231" s="23">
        <v>1</v>
      </c>
      <c r="I231" s="23">
        <v>1</v>
      </c>
      <c r="J231" s="23">
        <v>0.24</v>
      </c>
      <c r="K231" s="23">
        <v>0.2576</v>
      </c>
      <c r="L231" s="23">
        <v>0.75</v>
      </c>
      <c r="M231" s="23">
        <v>0.1045</v>
      </c>
      <c r="N231" s="23">
        <v>6</v>
      </c>
      <c r="O231" s="23">
        <v>49</v>
      </c>
      <c r="P231" s="23">
        <v>55</v>
      </c>
    </row>
    <row r="232" spans="1:16">
      <c r="A232" s="23">
        <v>841</v>
      </c>
      <c r="B232" s="24">
        <v>40581</v>
      </c>
      <c r="C232" s="23">
        <v>1</v>
      </c>
      <c r="D232" s="23">
        <v>0</v>
      </c>
      <c r="E232" s="23">
        <v>2</v>
      </c>
      <c r="F232" s="23">
        <v>11</v>
      </c>
      <c r="G232" s="23" t="b">
        <v>0</v>
      </c>
      <c r="H232" s="23">
        <v>1</v>
      </c>
      <c r="I232" s="23">
        <v>1</v>
      </c>
      <c r="J232" s="23">
        <v>0.3</v>
      </c>
      <c r="K232" s="23">
        <v>0.31819999999999998</v>
      </c>
      <c r="L232" s="23">
        <v>0.65</v>
      </c>
      <c r="M232" s="23">
        <v>8.9599999999999999E-2</v>
      </c>
      <c r="N232" s="23">
        <v>11</v>
      </c>
      <c r="O232" s="23">
        <v>36</v>
      </c>
      <c r="P232" s="23">
        <v>47</v>
      </c>
    </row>
    <row r="233" spans="1:16">
      <c r="A233" s="23">
        <v>842</v>
      </c>
      <c r="B233" s="24">
        <v>40581</v>
      </c>
      <c r="C233" s="23">
        <v>1</v>
      </c>
      <c r="D233" s="23">
        <v>0</v>
      </c>
      <c r="E233" s="23">
        <v>2</v>
      </c>
      <c r="F233" s="23">
        <v>12</v>
      </c>
      <c r="G233" s="23" t="b">
        <v>0</v>
      </c>
      <c r="H233" s="23">
        <v>1</v>
      </c>
      <c r="I233" s="23">
        <v>2</v>
      </c>
      <c r="J233" s="23">
        <v>0.32</v>
      </c>
      <c r="K233" s="23">
        <v>0.34849999999999998</v>
      </c>
      <c r="L233" s="23">
        <v>0.62</v>
      </c>
      <c r="M233" s="23">
        <v>0</v>
      </c>
      <c r="N233" s="23">
        <v>7</v>
      </c>
      <c r="O233" s="23">
        <v>59</v>
      </c>
      <c r="P233" s="23">
        <v>66</v>
      </c>
    </row>
    <row r="234" spans="1:16">
      <c r="A234" s="23">
        <v>843</v>
      </c>
      <c r="B234" s="24">
        <v>40581</v>
      </c>
      <c r="C234" s="23">
        <v>1</v>
      </c>
      <c r="D234" s="23">
        <v>0</v>
      </c>
      <c r="E234" s="23">
        <v>2</v>
      </c>
      <c r="F234" s="23">
        <v>13</v>
      </c>
      <c r="G234" s="23" t="b">
        <v>0</v>
      </c>
      <c r="H234" s="23">
        <v>1</v>
      </c>
      <c r="I234" s="23">
        <v>2</v>
      </c>
      <c r="J234" s="23">
        <v>0.36</v>
      </c>
      <c r="K234" s="23">
        <v>0.36359999999999998</v>
      </c>
      <c r="L234" s="23">
        <v>0.56999999999999995</v>
      </c>
      <c r="M234" s="23">
        <v>8.9599999999999999E-2</v>
      </c>
      <c r="N234" s="23">
        <v>10</v>
      </c>
      <c r="O234" s="23">
        <v>54</v>
      </c>
      <c r="P234" s="23">
        <v>64</v>
      </c>
    </row>
    <row r="235" spans="1:16">
      <c r="A235" s="23">
        <v>844</v>
      </c>
      <c r="B235" s="24">
        <v>40581</v>
      </c>
      <c r="C235" s="23">
        <v>1</v>
      </c>
      <c r="D235" s="23">
        <v>0</v>
      </c>
      <c r="E235" s="23">
        <v>2</v>
      </c>
      <c r="F235" s="23">
        <v>14</v>
      </c>
      <c r="G235" s="23" t="b">
        <v>0</v>
      </c>
      <c r="H235" s="23">
        <v>1</v>
      </c>
      <c r="I235" s="23">
        <v>2</v>
      </c>
      <c r="J235" s="23">
        <v>0.36</v>
      </c>
      <c r="K235" s="23">
        <v>0.36359999999999998</v>
      </c>
      <c r="L235" s="23">
        <v>0.56999999999999995</v>
      </c>
      <c r="M235" s="23">
        <v>8.9599999999999999E-2</v>
      </c>
      <c r="N235" s="23">
        <v>8</v>
      </c>
      <c r="O235" s="23">
        <v>52</v>
      </c>
      <c r="P235" s="23">
        <v>60</v>
      </c>
    </row>
    <row r="236" spans="1:16">
      <c r="A236" s="23">
        <v>845</v>
      </c>
      <c r="B236" s="24">
        <v>40581</v>
      </c>
      <c r="C236" s="23">
        <v>1</v>
      </c>
      <c r="D236" s="23">
        <v>0</v>
      </c>
      <c r="E236" s="23">
        <v>2</v>
      </c>
      <c r="F236" s="23">
        <v>15</v>
      </c>
      <c r="G236" s="23" t="b">
        <v>0</v>
      </c>
      <c r="H236" s="23">
        <v>1</v>
      </c>
      <c r="I236" s="23">
        <v>2</v>
      </c>
      <c r="J236" s="23">
        <v>0.38</v>
      </c>
      <c r="K236" s="23">
        <v>0.39389999999999997</v>
      </c>
      <c r="L236" s="23">
        <v>0.54</v>
      </c>
      <c r="M236" s="23">
        <v>8.9599999999999999E-2</v>
      </c>
      <c r="N236" s="23">
        <v>4</v>
      </c>
      <c r="O236" s="23">
        <v>46</v>
      </c>
      <c r="P236" s="23">
        <v>50</v>
      </c>
    </row>
    <row r="237" spans="1:16">
      <c r="A237" s="23">
        <v>846</v>
      </c>
      <c r="B237" s="24">
        <v>40581</v>
      </c>
      <c r="C237" s="23">
        <v>1</v>
      </c>
      <c r="D237" s="23">
        <v>0</v>
      </c>
      <c r="E237" s="23">
        <v>2</v>
      </c>
      <c r="F237" s="23">
        <v>16</v>
      </c>
      <c r="G237" s="23" t="b">
        <v>0</v>
      </c>
      <c r="H237" s="23">
        <v>1</v>
      </c>
      <c r="I237" s="23">
        <v>2</v>
      </c>
      <c r="J237" s="23">
        <v>0.36</v>
      </c>
      <c r="K237" s="23">
        <v>0.34849999999999998</v>
      </c>
      <c r="L237" s="23">
        <v>0.56999999999999995</v>
      </c>
      <c r="M237" s="23">
        <v>0.1343</v>
      </c>
      <c r="N237" s="23">
        <v>16</v>
      </c>
      <c r="O237" s="23">
        <v>98</v>
      </c>
      <c r="P237" s="23">
        <v>114</v>
      </c>
    </row>
    <row r="238" spans="1:16">
      <c r="A238" s="23">
        <v>847</v>
      </c>
      <c r="B238" s="24">
        <v>40581</v>
      </c>
      <c r="C238" s="23">
        <v>1</v>
      </c>
      <c r="D238" s="23">
        <v>0</v>
      </c>
      <c r="E238" s="23">
        <v>2</v>
      </c>
      <c r="F238" s="23">
        <v>17</v>
      </c>
      <c r="G238" s="23" t="b">
        <v>0</v>
      </c>
      <c r="H238" s="23">
        <v>1</v>
      </c>
      <c r="I238" s="23">
        <v>2</v>
      </c>
      <c r="J238" s="23">
        <v>0.32</v>
      </c>
      <c r="K238" s="23">
        <v>0.31819999999999998</v>
      </c>
      <c r="L238" s="23">
        <v>0.7</v>
      </c>
      <c r="M238" s="23">
        <v>0.16420000000000001</v>
      </c>
      <c r="N238" s="23">
        <v>9</v>
      </c>
      <c r="O238" s="23">
        <v>207</v>
      </c>
      <c r="P238" s="23">
        <v>216</v>
      </c>
    </row>
    <row r="239" spans="1:16">
      <c r="A239" s="23">
        <v>848</v>
      </c>
      <c r="B239" s="24">
        <v>40581</v>
      </c>
      <c r="C239" s="23">
        <v>1</v>
      </c>
      <c r="D239" s="23">
        <v>0</v>
      </c>
      <c r="E239" s="23">
        <v>2</v>
      </c>
      <c r="F239" s="23">
        <v>18</v>
      </c>
      <c r="G239" s="23" t="b">
        <v>0</v>
      </c>
      <c r="H239" s="23">
        <v>1</v>
      </c>
      <c r="I239" s="23">
        <v>2</v>
      </c>
      <c r="J239" s="23">
        <v>0.34</v>
      </c>
      <c r="K239" s="23">
        <v>0.33329999999999999</v>
      </c>
      <c r="L239" s="23">
        <v>0.66</v>
      </c>
      <c r="M239" s="23">
        <v>0.1343</v>
      </c>
      <c r="N239" s="23">
        <v>5</v>
      </c>
      <c r="O239" s="23">
        <v>170</v>
      </c>
      <c r="P239" s="23">
        <v>175</v>
      </c>
    </row>
    <row r="240" spans="1:16">
      <c r="A240" s="23">
        <v>849</v>
      </c>
      <c r="B240" s="24">
        <v>40581</v>
      </c>
      <c r="C240" s="23">
        <v>1</v>
      </c>
      <c r="D240" s="23">
        <v>0</v>
      </c>
      <c r="E240" s="23">
        <v>2</v>
      </c>
      <c r="F240" s="23">
        <v>19</v>
      </c>
      <c r="G240" s="23" t="b">
        <v>0</v>
      </c>
      <c r="H240" s="23">
        <v>1</v>
      </c>
      <c r="I240" s="23">
        <v>2</v>
      </c>
      <c r="J240" s="23">
        <v>0.32</v>
      </c>
      <c r="K240" s="23">
        <v>0.34849999999999998</v>
      </c>
      <c r="L240" s="23">
        <v>0.7</v>
      </c>
      <c r="M240" s="23">
        <v>0</v>
      </c>
      <c r="N240" s="23">
        <v>5</v>
      </c>
      <c r="O240" s="23">
        <v>123</v>
      </c>
      <c r="P240" s="23">
        <v>128</v>
      </c>
    </row>
    <row r="241" spans="1:16">
      <c r="A241" s="23">
        <v>850</v>
      </c>
      <c r="B241" s="24">
        <v>40581</v>
      </c>
      <c r="C241" s="23">
        <v>1</v>
      </c>
      <c r="D241" s="23">
        <v>0</v>
      </c>
      <c r="E241" s="23">
        <v>2</v>
      </c>
      <c r="F241" s="23">
        <v>20</v>
      </c>
      <c r="G241" s="23" t="b">
        <v>0</v>
      </c>
      <c r="H241" s="23">
        <v>1</v>
      </c>
      <c r="I241" s="23">
        <v>2</v>
      </c>
      <c r="J241" s="23">
        <v>0.32</v>
      </c>
      <c r="K241" s="23">
        <v>0.33329999999999999</v>
      </c>
      <c r="L241" s="23">
        <v>0.7</v>
      </c>
      <c r="M241" s="23">
        <v>0.1045</v>
      </c>
      <c r="N241" s="23">
        <v>6</v>
      </c>
      <c r="O241" s="23">
        <v>82</v>
      </c>
      <c r="P241" s="23">
        <v>88</v>
      </c>
    </row>
    <row r="242" spans="1:16">
      <c r="A242" s="23">
        <v>851</v>
      </c>
      <c r="B242" s="24">
        <v>40581</v>
      </c>
      <c r="C242" s="23">
        <v>1</v>
      </c>
      <c r="D242" s="23">
        <v>0</v>
      </c>
      <c r="E242" s="23">
        <v>2</v>
      </c>
      <c r="F242" s="23">
        <v>21</v>
      </c>
      <c r="G242" s="23" t="b">
        <v>0</v>
      </c>
      <c r="H242" s="23">
        <v>1</v>
      </c>
      <c r="I242" s="23">
        <v>1</v>
      </c>
      <c r="J242" s="23">
        <v>0.32</v>
      </c>
      <c r="K242" s="23">
        <v>0.34849999999999998</v>
      </c>
      <c r="L242" s="23">
        <v>0.7</v>
      </c>
      <c r="M242" s="23">
        <v>0</v>
      </c>
      <c r="N242" s="23">
        <v>3</v>
      </c>
      <c r="O242" s="23">
        <v>75</v>
      </c>
      <c r="P242" s="23">
        <v>78</v>
      </c>
    </row>
    <row r="243" spans="1:16">
      <c r="A243" s="23">
        <v>852</v>
      </c>
      <c r="B243" s="24">
        <v>40581</v>
      </c>
      <c r="C243" s="23">
        <v>1</v>
      </c>
      <c r="D243" s="23">
        <v>0</v>
      </c>
      <c r="E243" s="23">
        <v>2</v>
      </c>
      <c r="F243" s="23">
        <v>22</v>
      </c>
      <c r="G243" s="23" t="b">
        <v>0</v>
      </c>
      <c r="H243" s="23">
        <v>1</v>
      </c>
      <c r="I243" s="23">
        <v>1</v>
      </c>
      <c r="J243" s="23">
        <v>0.28000000000000003</v>
      </c>
      <c r="K243" s="23">
        <v>0.30299999999999999</v>
      </c>
      <c r="L243" s="23">
        <v>0.81</v>
      </c>
      <c r="M243" s="23">
        <v>8.9599999999999999E-2</v>
      </c>
      <c r="N243" s="23">
        <v>3</v>
      </c>
      <c r="O243" s="23">
        <v>34</v>
      </c>
      <c r="P243" s="23">
        <v>37</v>
      </c>
    </row>
    <row r="244" spans="1:16">
      <c r="A244" s="23">
        <v>853</v>
      </c>
      <c r="B244" s="24">
        <v>40581</v>
      </c>
      <c r="C244" s="23">
        <v>1</v>
      </c>
      <c r="D244" s="23">
        <v>0</v>
      </c>
      <c r="E244" s="23">
        <v>2</v>
      </c>
      <c r="F244" s="23">
        <v>23</v>
      </c>
      <c r="G244" s="23" t="b">
        <v>0</v>
      </c>
      <c r="H244" s="23">
        <v>1</v>
      </c>
      <c r="I244" s="23">
        <v>2</v>
      </c>
      <c r="J244" s="23">
        <v>0.3</v>
      </c>
      <c r="K244" s="23">
        <v>0.33329999999999999</v>
      </c>
      <c r="L244" s="23">
        <v>0.81</v>
      </c>
      <c r="M244" s="23">
        <v>0</v>
      </c>
      <c r="N244" s="23">
        <v>6</v>
      </c>
      <c r="O244" s="23">
        <v>19</v>
      </c>
      <c r="P244" s="23">
        <v>25</v>
      </c>
    </row>
    <row r="245" spans="1:16">
      <c r="A245" s="23">
        <v>854</v>
      </c>
      <c r="B245" s="24">
        <v>40582</v>
      </c>
      <c r="C245" s="23">
        <v>1</v>
      </c>
      <c r="D245" s="23">
        <v>0</v>
      </c>
      <c r="E245" s="23">
        <v>2</v>
      </c>
      <c r="F245" s="23">
        <v>0</v>
      </c>
      <c r="G245" s="23" t="b">
        <v>0</v>
      </c>
      <c r="H245" s="23">
        <v>2</v>
      </c>
      <c r="I245" s="23">
        <v>2</v>
      </c>
      <c r="J245" s="23">
        <v>0.28000000000000003</v>
      </c>
      <c r="K245" s="23">
        <v>0.31819999999999998</v>
      </c>
      <c r="L245" s="23">
        <v>0.87</v>
      </c>
      <c r="M245" s="23">
        <v>0</v>
      </c>
      <c r="N245" s="23">
        <v>4</v>
      </c>
      <c r="O245" s="23">
        <v>6</v>
      </c>
      <c r="P245" s="23">
        <v>10</v>
      </c>
    </row>
    <row r="246" spans="1:16">
      <c r="A246" s="23">
        <v>855</v>
      </c>
      <c r="B246" s="24">
        <v>40582</v>
      </c>
      <c r="C246" s="23">
        <v>1</v>
      </c>
      <c r="D246" s="23">
        <v>0</v>
      </c>
      <c r="E246" s="23">
        <v>2</v>
      </c>
      <c r="F246" s="23">
        <v>1</v>
      </c>
      <c r="G246" s="23" t="b">
        <v>0</v>
      </c>
      <c r="H246" s="23">
        <v>2</v>
      </c>
      <c r="I246" s="23">
        <v>2</v>
      </c>
      <c r="J246" s="23">
        <v>0.28000000000000003</v>
      </c>
      <c r="K246" s="23">
        <v>0.31819999999999998</v>
      </c>
      <c r="L246" s="23">
        <v>0.87</v>
      </c>
      <c r="M246" s="23">
        <v>0</v>
      </c>
      <c r="N246" s="23">
        <v>0</v>
      </c>
      <c r="O246" s="23">
        <v>4</v>
      </c>
      <c r="P246" s="23">
        <v>4</v>
      </c>
    </row>
    <row r="247" spans="1:16">
      <c r="A247" s="23">
        <v>856</v>
      </c>
      <c r="B247" s="24">
        <v>40582</v>
      </c>
      <c r="C247" s="23">
        <v>1</v>
      </c>
      <c r="D247" s="23">
        <v>0</v>
      </c>
      <c r="E247" s="23">
        <v>2</v>
      </c>
      <c r="F247" s="23">
        <v>2</v>
      </c>
      <c r="G247" s="23" t="b">
        <v>0</v>
      </c>
      <c r="H247" s="23">
        <v>2</v>
      </c>
      <c r="I247" s="23">
        <v>2</v>
      </c>
      <c r="J247" s="23">
        <v>0.26</v>
      </c>
      <c r="K247" s="23">
        <v>0.2727</v>
      </c>
      <c r="L247" s="23">
        <v>0.93</v>
      </c>
      <c r="M247" s="23">
        <v>0.1045</v>
      </c>
      <c r="N247" s="23">
        <v>1</v>
      </c>
      <c r="O247" s="23">
        <v>1</v>
      </c>
      <c r="P247" s="23">
        <v>2</v>
      </c>
    </row>
    <row r="248" spans="1:16">
      <c r="A248" s="23">
        <v>857</v>
      </c>
      <c r="B248" s="24">
        <v>40582</v>
      </c>
      <c r="C248" s="23">
        <v>1</v>
      </c>
      <c r="D248" s="23">
        <v>0</v>
      </c>
      <c r="E248" s="23">
        <v>2</v>
      </c>
      <c r="F248" s="23">
        <v>3</v>
      </c>
      <c r="G248" s="23" t="b">
        <v>0</v>
      </c>
      <c r="H248" s="23">
        <v>2</v>
      </c>
      <c r="I248" s="23">
        <v>3</v>
      </c>
      <c r="J248" s="23">
        <v>0.28000000000000003</v>
      </c>
      <c r="K248" s="23">
        <v>0.2727</v>
      </c>
      <c r="L248" s="23">
        <v>0.93</v>
      </c>
      <c r="M248" s="23">
        <v>0.16420000000000001</v>
      </c>
      <c r="N248" s="23">
        <v>0</v>
      </c>
      <c r="O248" s="23">
        <v>1</v>
      </c>
      <c r="P248" s="23">
        <v>1</v>
      </c>
    </row>
    <row r="249" spans="1:16">
      <c r="A249" s="23">
        <v>858</v>
      </c>
      <c r="B249" s="24">
        <v>40582</v>
      </c>
      <c r="C249" s="23">
        <v>1</v>
      </c>
      <c r="D249" s="23">
        <v>0</v>
      </c>
      <c r="E249" s="23">
        <v>2</v>
      </c>
      <c r="F249" s="23">
        <v>4</v>
      </c>
      <c r="G249" s="23" t="b">
        <v>0</v>
      </c>
      <c r="H249" s="23">
        <v>2</v>
      </c>
      <c r="I249" s="23">
        <v>1</v>
      </c>
      <c r="J249" s="23">
        <v>0.26</v>
      </c>
      <c r="K249" s="23">
        <v>0.2576</v>
      </c>
      <c r="L249" s="23">
        <v>0.93</v>
      </c>
      <c r="M249" s="23">
        <v>0.16420000000000001</v>
      </c>
      <c r="N249" s="23">
        <v>0</v>
      </c>
      <c r="O249" s="23">
        <v>3</v>
      </c>
      <c r="P249" s="23">
        <v>3</v>
      </c>
    </row>
    <row r="250" spans="1:16">
      <c r="A250" s="23">
        <v>859</v>
      </c>
      <c r="B250" s="24">
        <v>40582</v>
      </c>
      <c r="C250" s="23">
        <v>1</v>
      </c>
      <c r="D250" s="23">
        <v>0</v>
      </c>
      <c r="E250" s="23">
        <v>2</v>
      </c>
      <c r="F250" s="23">
        <v>5</v>
      </c>
      <c r="G250" s="23" t="b">
        <v>0</v>
      </c>
      <c r="H250" s="23">
        <v>2</v>
      </c>
      <c r="I250" s="23">
        <v>1</v>
      </c>
      <c r="J250" s="23">
        <v>0.26</v>
      </c>
      <c r="K250" s="23">
        <v>0.2273</v>
      </c>
      <c r="L250" s="23">
        <v>0.81</v>
      </c>
      <c r="M250" s="23">
        <v>0.32840000000000003</v>
      </c>
      <c r="N250" s="23">
        <v>0</v>
      </c>
      <c r="O250" s="23">
        <v>2</v>
      </c>
      <c r="P250" s="23">
        <v>2</v>
      </c>
    </row>
    <row r="251" spans="1:16">
      <c r="A251" s="23">
        <v>860</v>
      </c>
      <c r="B251" s="24">
        <v>40582</v>
      </c>
      <c r="C251" s="23">
        <v>1</v>
      </c>
      <c r="D251" s="23">
        <v>0</v>
      </c>
      <c r="E251" s="23">
        <v>2</v>
      </c>
      <c r="F251" s="23">
        <v>6</v>
      </c>
      <c r="G251" s="23" t="b">
        <v>0</v>
      </c>
      <c r="H251" s="23">
        <v>2</v>
      </c>
      <c r="I251" s="23">
        <v>1</v>
      </c>
      <c r="J251" s="23">
        <v>0.26</v>
      </c>
      <c r="K251" s="23">
        <v>0.2273</v>
      </c>
      <c r="L251" s="23">
        <v>0.7</v>
      </c>
      <c r="M251" s="23">
        <v>0.32840000000000003</v>
      </c>
      <c r="N251" s="23">
        <v>0</v>
      </c>
      <c r="O251" s="23">
        <v>39</v>
      </c>
      <c r="P251" s="23">
        <v>39</v>
      </c>
    </row>
    <row r="252" spans="1:16">
      <c r="A252" s="23">
        <v>861</v>
      </c>
      <c r="B252" s="24">
        <v>40582</v>
      </c>
      <c r="C252" s="23">
        <v>1</v>
      </c>
      <c r="D252" s="23">
        <v>0</v>
      </c>
      <c r="E252" s="23">
        <v>2</v>
      </c>
      <c r="F252" s="23">
        <v>7</v>
      </c>
      <c r="G252" s="23" t="b">
        <v>0</v>
      </c>
      <c r="H252" s="23">
        <v>2</v>
      </c>
      <c r="I252" s="23">
        <v>1</v>
      </c>
      <c r="J252" s="23">
        <v>0.24</v>
      </c>
      <c r="K252" s="23">
        <v>0.19700000000000001</v>
      </c>
      <c r="L252" s="23">
        <v>0.65</v>
      </c>
      <c r="M252" s="23">
        <v>0.41789999999999999</v>
      </c>
      <c r="N252" s="23">
        <v>3</v>
      </c>
      <c r="O252" s="23">
        <v>97</v>
      </c>
      <c r="P252" s="23">
        <v>100</v>
      </c>
    </row>
    <row r="253" spans="1:16">
      <c r="A253" s="23">
        <v>862</v>
      </c>
      <c r="B253" s="24">
        <v>40582</v>
      </c>
      <c r="C253" s="23">
        <v>1</v>
      </c>
      <c r="D253" s="23">
        <v>0</v>
      </c>
      <c r="E253" s="23">
        <v>2</v>
      </c>
      <c r="F253" s="23">
        <v>8</v>
      </c>
      <c r="G253" s="23" t="b">
        <v>0</v>
      </c>
      <c r="H253" s="23">
        <v>2</v>
      </c>
      <c r="I253" s="23">
        <v>1</v>
      </c>
      <c r="J253" s="23">
        <v>0.24</v>
      </c>
      <c r="K253" s="23">
        <v>0.19700000000000001</v>
      </c>
      <c r="L253" s="23">
        <v>0.56000000000000005</v>
      </c>
      <c r="M253" s="23">
        <v>0.49249999999999999</v>
      </c>
      <c r="N253" s="23">
        <v>7</v>
      </c>
      <c r="O253" s="23">
        <v>236</v>
      </c>
      <c r="P253" s="23">
        <v>243</v>
      </c>
    </row>
    <row r="254" spans="1:16">
      <c r="A254" s="23">
        <v>863</v>
      </c>
      <c r="B254" s="24">
        <v>40582</v>
      </c>
      <c r="C254" s="23">
        <v>1</v>
      </c>
      <c r="D254" s="23">
        <v>0</v>
      </c>
      <c r="E254" s="23">
        <v>2</v>
      </c>
      <c r="F254" s="23">
        <v>9</v>
      </c>
      <c r="G254" s="23" t="b">
        <v>0</v>
      </c>
      <c r="H254" s="23">
        <v>2</v>
      </c>
      <c r="I254" s="23">
        <v>1</v>
      </c>
      <c r="J254" s="23">
        <v>0.24</v>
      </c>
      <c r="K254" s="23">
        <v>0.19700000000000001</v>
      </c>
      <c r="L254" s="23">
        <v>0.52</v>
      </c>
      <c r="M254" s="23">
        <v>0.49249999999999999</v>
      </c>
      <c r="N254" s="23">
        <v>7</v>
      </c>
      <c r="O254" s="23">
        <v>128</v>
      </c>
      <c r="P254" s="23">
        <v>135</v>
      </c>
    </row>
    <row r="255" spans="1:16">
      <c r="A255" s="23">
        <v>864</v>
      </c>
      <c r="B255" s="24">
        <v>40582</v>
      </c>
      <c r="C255" s="23">
        <v>1</v>
      </c>
      <c r="D255" s="23">
        <v>0</v>
      </c>
      <c r="E255" s="23">
        <v>2</v>
      </c>
      <c r="F255" s="23">
        <v>10</v>
      </c>
      <c r="G255" s="23" t="b">
        <v>0</v>
      </c>
      <c r="H255" s="23">
        <v>2</v>
      </c>
      <c r="I255" s="23">
        <v>1</v>
      </c>
      <c r="J255" s="23">
        <v>0.22</v>
      </c>
      <c r="K255" s="23">
        <v>0.18179999999999999</v>
      </c>
      <c r="L255" s="23">
        <v>0.47</v>
      </c>
      <c r="M255" s="23">
        <v>0.55220000000000002</v>
      </c>
      <c r="N255" s="23">
        <v>4</v>
      </c>
      <c r="O255" s="23">
        <v>44</v>
      </c>
      <c r="P255" s="23">
        <v>48</v>
      </c>
    </row>
    <row r="256" spans="1:16">
      <c r="A256" s="23">
        <v>865</v>
      </c>
      <c r="B256" s="24">
        <v>40582</v>
      </c>
      <c r="C256" s="23">
        <v>1</v>
      </c>
      <c r="D256" s="23">
        <v>0</v>
      </c>
      <c r="E256" s="23">
        <v>2</v>
      </c>
      <c r="F256" s="23">
        <v>11</v>
      </c>
      <c r="G256" s="23" t="b">
        <v>0</v>
      </c>
      <c r="H256" s="23">
        <v>2</v>
      </c>
      <c r="I256" s="23">
        <v>1</v>
      </c>
      <c r="J256" s="23">
        <v>0.22</v>
      </c>
      <c r="K256" s="23">
        <v>0.18179999999999999</v>
      </c>
      <c r="L256" s="23">
        <v>0.47</v>
      </c>
      <c r="M256" s="23">
        <v>0.4627</v>
      </c>
      <c r="N256" s="23">
        <v>1</v>
      </c>
      <c r="O256" s="23">
        <v>49</v>
      </c>
      <c r="P256" s="23">
        <v>50</v>
      </c>
    </row>
    <row r="257" spans="1:16">
      <c r="A257" s="23">
        <v>866</v>
      </c>
      <c r="B257" s="24">
        <v>40582</v>
      </c>
      <c r="C257" s="23">
        <v>1</v>
      </c>
      <c r="D257" s="23">
        <v>0</v>
      </c>
      <c r="E257" s="23">
        <v>2</v>
      </c>
      <c r="F257" s="23">
        <v>12</v>
      </c>
      <c r="G257" s="23" t="b">
        <v>0</v>
      </c>
      <c r="H257" s="23">
        <v>2</v>
      </c>
      <c r="I257" s="23">
        <v>1</v>
      </c>
      <c r="J257" s="23">
        <v>0.24</v>
      </c>
      <c r="K257" s="23">
        <v>0.19700000000000001</v>
      </c>
      <c r="L257" s="23">
        <v>0.38</v>
      </c>
      <c r="M257" s="23">
        <v>0.49249999999999999</v>
      </c>
      <c r="N257" s="23">
        <v>2</v>
      </c>
      <c r="O257" s="23">
        <v>63</v>
      </c>
      <c r="P257" s="23">
        <v>65</v>
      </c>
    </row>
    <row r="258" spans="1:16">
      <c r="A258" s="23">
        <v>867</v>
      </c>
      <c r="B258" s="24">
        <v>40582</v>
      </c>
      <c r="C258" s="23">
        <v>1</v>
      </c>
      <c r="D258" s="23">
        <v>0</v>
      </c>
      <c r="E258" s="23">
        <v>2</v>
      </c>
      <c r="F258" s="23">
        <v>13</v>
      </c>
      <c r="G258" s="23" t="b">
        <v>0</v>
      </c>
      <c r="H258" s="23">
        <v>2</v>
      </c>
      <c r="I258" s="23">
        <v>2</v>
      </c>
      <c r="J258" s="23">
        <v>0.24</v>
      </c>
      <c r="K258" s="23">
        <v>0.19700000000000001</v>
      </c>
      <c r="L258" s="23">
        <v>0.32</v>
      </c>
      <c r="M258" s="23">
        <v>0.44779999999999998</v>
      </c>
      <c r="N258" s="23">
        <v>2</v>
      </c>
      <c r="O258" s="23">
        <v>48</v>
      </c>
      <c r="P258" s="23">
        <v>50</v>
      </c>
    </row>
    <row r="259" spans="1:16">
      <c r="A259" s="23">
        <v>868</v>
      </c>
      <c r="B259" s="24">
        <v>40582</v>
      </c>
      <c r="C259" s="23">
        <v>1</v>
      </c>
      <c r="D259" s="23">
        <v>0</v>
      </c>
      <c r="E259" s="23">
        <v>2</v>
      </c>
      <c r="F259" s="23">
        <v>14</v>
      </c>
      <c r="G259" s="23" t="b">
        <v>0</v>
      </c>
      <c r="H259" s="23">
        <v>2</v>
      </c>
      <c r="I259" s="23">
        <v>1</v>
      </c>
      <c r="J259" s="23">
        <v>0.22</v>
      </c>
      <c r="K259" s="23">
        <v>0.19700000000000001</v>
      </c>
      <c r="L259" s="23">
        <v>0.37</v>
      </c>
      <c r="M259" s="23">
        <v>0.41789999999999999</v>
      </c>
      <c r="N259" s="23">
        <v>3</v>
      </c>
      <c r="O259" s="23">
        <v>61</v>
      </c>
      <c r="P259" s="23">
        <v>64</v>
      </c>
    </row>
    <row r="260" spans="1:16">
      <c r="A260" s="23">
        <v>869</v>
      </c>
      <c r="B260" s="24">
        <v>40582</v>
      </c>
      <c r="C260" s="23">
        <v>1</v>
      </c>
      <c r="D260" s="23">
        <v>0</v>
      </c>
      <c r="E260" s="23">
        <v>2</v>
      </c>
      <c r="F260" s="23">
        <v>15</v>
      </c>
      <c r="G260" s="23" t="b">
        <v>0</v>
      </c>
      <c r="H260" s="23">
        <v>2</v>
      </c>
      <c r="I260" s="23">
        <v>1</v>
      </c>
      <c r="J260" s="23">
        <v>0.22</v>
      </c>
      <c r="K260" s="23">
        <v>0.19700000000000001</v>
      </c>
      <c r="L260" s="23">
        <v>0.35</v>
      </c>
      <c r="M260" s="23">
        <v>0.3881</v>
      </c>
      <c r="N260" s="23">
        <v>6</v>
      </c>
      <c r="O260" s="23">
        <v>45</v>
      </c>
      <c r="P260" s="23">
        <v>51</v>
      </c>
    </row>
    <row r="261" spans="1:16">
      <c r="A261" s="23">
        <v>870</v>
      </c>
      <c r="B261" s="24">
        <v>40582</v>
      </c>
      <c r="C261" s="23">
        <v>1</v>
      </c>
      <c r="D261" s="23">
        <v>0</v>
      </c>
      <c r="E261" s="23">
        <v>2</v>
      </c>
      <c r="F261" s="23">
        <v>16</v>
      </c>
      <c r="G261" s="23" t="b">
        <v>0</v>
      </c>
      <c r="H261" s="23">
        <v>2</v>
      </c>
      <c r="I261" s="23">
        <v>1</v>
      </c>
      <c r="J261" s="23">
        <v>0.22</v>
      </c>
      <c r="K261" s="23">
        <v>0.18179999999999999</v>
      </c>
      <c r="L261" s="23">
        <v>0.35</v>
      </c>
      <c r="M261" s="23">
        <v>0.52239999999999998</v>
      </c>
      <c r="N261" s="23">
        <v>4</v>
      </c>
      <c r="O261" s="23">
        <v>79</v>
      </c>
      <c r="P261" s="23">
        <v>83</v>
      </c>
    </row>
    <row r="262" spans="1:16">
      <c r="A262" s="23">
        <v>871</v>
      </c>
      <c r="B262" s="24">
        <v>40582</v>
      </c>
      <c r="C262" s="23">
        <v>1</v>
      </c>
      <c r="D262" s="23">
        <v>0</v>
      </c>
      <c r="E262" s="23">
        <v>2</v>
      </c>
      <c r="F262" s="23">
        <v>17</v>
      </c>
      <c r="G262" s="23" t="b">
        <v>0</v>
      </c>
      <c r="H262" s="23">
        <v>2</v>
      </c>
      <c r="I262" s="23">
        <v>1</v>
      </c>
      <c r="J262" s="23">
        <v>0.22</v>
      </c>
      <c r="K262" s="23">
        <v>0.18179999999999999</v>
      </c>
      <c r="L262" s="23">
        <v>0.32</v>
      </c>
      <c r="M262" s="23">
        <v>0.58209999999999995</v>
      </c>
      <c r="N262" s="23">
        <v>4</v>
      </c>
      <c r="O262" s="23">
        <v>172</v>
      </c>
      <c r="P262" s="23">
        <v>176</v>
      </c>
    </row>
    <row r="263" spans="1:16">
      <c r="A263" s="23">
        <v>872</v>
      </c>
      <c r="B263" s="24">
        <v>40582</v>
      </c>
      <c r="C263" s="23">
        <v>1</v>
      </c>
      <c r="D263" s="23">
        <v>0</v>
      </c>
      <c r="E263" s="23">
        <v>2</v>
      </c>
      <c r="F263" s="23">
        <v>18</v>
      </c>
      <c r="G263" s="23" t="b">
        <v>0</v>
      </c>
      <c r="H263" s="23">
        <v>2</v>
      </c>
      <c r="I263" s="23">
        <v>1</v>
      </c>
      <c r="J263" s="23">
        <v>0.2</v>
      </c>
      <c r="K263" s="23">
        <v>0.18179999999999999</v>
      </c>
      <c r="L263" s="23">
        <v>0.32</v>
      </c>
      <c r="M263" s="23">
        <v>0.3881</v>
      </c>
      <c r="N263" s="23">
        <v>1</v>
      </c>
      <c r="O263" s="23">
        <v>151</v>
      </c>
      <c r="P263" s="23">
        <v>152</v>
      </c>
    </row>
    <row r="264" spans="1:16">
      <c r="A264" s="23">
        <v>873</v>
      </c>
      <c r="B264" s="24">
        <v>40582</v>
      </c>
      <c r="C264" s="23">
        <v>1</v>
      </c>
      <c r="D264" s="23">
        <v>0</v>
      </c>
      <c r="E264" s="23">
        <v>2</v>
      </c>
      <c r="F264" s="23">
        <v>19</v>
      </c>
      <c r="G264" s="23" t="b">
        <v>0</v>
      </c>
      <c r="H264" s="23">
        <v>2</v>
      </c>
      <c r="I264" s="23">
        <v>1</v>
      </c>
      <c r="J264" s="23">
        <v>0.16</v>
      </c>
      <c r="K264" s="23">
        <v>0.1212</v>
      </c>
      <c r="L264" s="23">
        <v>0.4</v>
      </c>
      <c r="M264" s="23">
        <v>0.4627</v>
      </c>
      <c r="N264" s="23">
        <v>1</v>
      </c>
      <c r="O264" s="23">
        <v>100</v>
      </c>
      <c r="P264" s="23">
        <v>101</v>
      </c>
    </row>
    <row r="265" spans="1:16">
      <c r="A265" s="23">
        <v>874</v>
      </c>
      <c r="B265" s="24">
        <v>40582</v>
      </c>
      <c r="C265" s="23">
        <v>1</v>
      </c>
      <c r="D265" s="23">
        <v>0</v>
      </c>
      <c r="E265" s="23">
        <v>2</v>
      </c>
      <c r="F265" s="23">
        <v>20</v>
      </c>
      <c r="G265" s="23" t="b">
        <v>0</v>
      </c>
      <c r="H265" s="23">
        <v>2</v>
      </c>
      <c r="I265" s="23">
        <v>1</v>
      </c>
      <c r="J265" s="23">
        <v>0.16</v>
      </c>
      <c r="K265" s="23">
        <v>0.13639999999999999</v>
      </c>
      <c r="L265" s="23">
        <v>0.4</v>
      </c>
      <c r="M265" s="23">
        <v>0.32840000000000003</v>
      </c>
      <c r="N265" s="23">
        <v>3</v>
      </c>
      <c r="O265" s="23">
        <v>53</v>
      </c>
      <c r="P265" s="23">
        <v>56</v>
      </c>
    </row>
    <row r="266" spans="1:16">
      <c r="A266" s="23">
        <v>875</v>
      </c>
      <c r="B266" s="24">
        <v>40582</v>
      </c>
      <c r="C266" s="23">
        <v>1</v>
      </c>
      <c r="D266" s="23">
        <v>0</v>
      </c>
      <c r="E266" s="23">
        <v>2</v>
      </c>
      <c r="F266" s="23">
        <v>21</v>
      </c>
      <c r="G266" s="23" t="b">
        <v>0</v>
      </c>
      <c r="H266" s="23">
        <v>2</v>
      </c>
      <c r="I266" s="23">
        <v>1</v>
      </c>
      <c r="J266" s="23">
        <v>0.14000000000000001</v>
      </c>
      <c r="K266" s="23">
        <v>0.1061</v>
      </c>
      <c r="L266" s="23">
        <v>0.33</v>
      </c>
      <c r="M266" s="23">
        <v>0.4627</v>
      </c>
      <c r="N266" s="23">
        <v>8</v>
      </c>
      <c r="O266" s="23">
        <v>46</v>
      </c>
      <c r="P266" s="23">
        <v>54</v>
      </c>
    </row>
    <row r="267" spans="1:16">
      <c r="A267" s="23">
        <v>876</v>
      </c>
      <c r="B267" s="24">
        <v>40582</v>
      </c>
      <c r="C267" s="23">
        <v>1</v>
      </c>
      <c r="D267" s="23">
        <v>0</v>
      </c>
      <c r="E267" s="23">
        <v>2</v>
      </c>
      <c r="F267" s="23">
        <v>22</v>
      </c>
      <c r="G267" s="23" t="b">
        <v>0</v>
      </c>
      <c r="H267" s="23">
        <v>2</v>
      </c>
      <c r="I267" s="23">
        <v>1</v>
      </c>
      <c r="J267" s="23">
        <v>0.12</v>
      </c>
      <c r="K267" s="23">
        <v>0.1061</v>
      </c>
      <c r="L267" s="23">
        <v>0.33</v>
      </c>
      <c r="M267" s="23">
        <v>0.35820000000000002</v>
      </c>
      <c r="N267" s="23">
        <v>0</v>
      </c>
      <c r="O267" s="23">
        <v>29</v>
      </c>
      <c r="P267" s="23">
        <v>29</v>
      </c>
    </row>
    <row r="268" spans="1:16">
      <c r="A268" s="23">
        <v>877</v>
      </c>
      <c r="B268" s="24">
        <v>40582</v>
      </c>
      <c r="C268" s="23">
        <v>1</v>
      </c>
      <c r="D268" s="23">
        <v>0</v>
      </c>
      <c r="E268" s="23">
        <v>2</v>
      </c>
      <c r="F268" s="23">
        <v>23</v>
      </c>
      <c r="G268" s="23" t="b">
        <v>0</v>
      </c>
      <c r="H268" s="23">
        <v>2</v>
      </c>
      <c r="I268" s="23">
        <v>1</v>
      </c>
      <c r="J268" s="23">
        <v>0.12</v>
      </c>
      <c r="K268" s="23">
        <v>0.1061</v>
      </c>
      <c r="L268" s="23">
        <v>0.33</v>
      </c>
      <c r="M268" s="23">
        <v>0.32840000000000003</v>
      </c>
      <c r="N268" s="23">
        <v>3</v>
      </c>
      <c r="O268" s="23">
        <v>9</v>
      </c>
      <c r="P268" s="23">
        <v>12</v>
      </c>
    </row>
    <row r="269" spans="1:16">
      <c r="A269" s="23">
        <v>878</v>
      </c>
      <c r="B269" s="24">
        <v>40583</v>
      </c>
      <c r="C269" s="23">
        <v>1</v>
      </c>
      <c r="D269" s="23">
        <v>0</v>
      </c>
      <c r="E269" s="23">
        <v>2</v>
      </c>
      <c r="F269" s="23">
        <v>0</v>
      </c>
      <c r="G269" s="23" t="b">
        <v>0</v>
      </c>
      <c r="H269" s="23">
        <v>3</v>
      </c>
      <c r="I269" s="23">
        <v>1</v>
      </c>
      <c r="J269" s="23">
        <v>0.1</v>
      </c>
      <c r="K269" s="23">
        <v>7.5800000000000006E-2</v>
      </c>
      <c r="L269" s="23">
        <v>0.36</v>
      </c>
      <c r="M269" s="23">
        <v>0.35820000000000002</v>
      </c>
      <c r="N269" s="23">
        <v>0</v>
      </c>
      <c r="O269" s="23">
        <v>17</v>
      </c>
      <c r="P269" s="23">
        <v>17</v>
      </c>
    </row>
    <row r="270" spans="1:16">
      <c r="A270" s="23">
        <v>879</v>
      </c>
      <c r="B270" s="24">
        <v>40583</v>
      </c>
      <c r="C270" s="23">
        <v>1</v>
      </c>
      <c r="D270" s="23">
        <v>0</v>
      </c>
      <c r="E270" s="23">
        <v>2</v>
      </c>
      <c r="F270" s="23">
        <v>1</v>
      </c>
      <c r="G270" s="23" t="b">
        <v>0</v>
      </c>
      <c r="H270" s="23">
        <v>3</v>
      </c>
      <c r="I270" s="23">
        <v>1</v>
      </c>
      <c r="J270" s="23">
        <v>0.1</v>
      </c>
      <c r="K270" s="23">
        <v>0.1061</v>
      </c>
      <c r="L270" s="23">
        <v>0.36</v>
      </c>
      <c r="M270" s="23">
        <v>0.22389999999999999</v>
      </c>
      <c r="N270" s="23">
        <v>0</v>
      </c>
      <c r="O270" s="23">
        <v>7</v>
      </c>
      <c r="P270" s="23">
        <v>7</v>
      </c>
    </row>
    <row r="271" spans="1:16">
      <c r="A271" s="23">
        <v>880</v>
      </c>
      <c r="B271" s="24">
        <v>40583</v>
      </c>
      <c r="C271" s="23">
        <v>1</v>
      </c>
      <c r="D271" s="23">
        <v>0</v>
      </c>
      <c r="E271" s="23">
        <v>2</v>
      </c>
      <c r="F271" s="23">
        <v>2</v>
      </c>
      <c r="G271" s="23" t="b">
        <v>0</v>
      </c>
      <c r="H271" s="23">
        <v>3</v>
      </c>
      <c r="I271" s="23">
        <v>1</v>
      </c>
      <c r="J271" s="23">
        <v>0.08</v>
      </c>
      <c r="K271" s="23">
        <v>7.5800000000000006E-2</v>
      </c>
      <c r="L271" s="23">
        <v>0.38</v>
      </c>
      <c r="M271" s="23">
        <v>0.28360000000000002</v>
      </c>
      <c r="N271" s="23">
        <v>1</v>
      </c>
      <c r="O271" s="23">
        <v>2</v>
      </c>
      <c r="P271" s="23">
        <v>3</v>
      </c>
    </row>
    <row r="272" spans="1:16">
      <c r="A272" s="23">
        <v>881</v>
      </c>
      <c r="B272" s="24">
        <v>40583</v>
      </c>
      <c r="C272" s="23">
        <v>1</v>
      </c>
      <c r="D272" s="23">
        <v>0</v>
      </c>
      <c r="E272" s="23">
        <v>2</v>
      </c>
      <c r="F272" s="23">
        <v>3</v>
      </c>
      <c r="G272" s="23" t="b">
        <v>0</v>
      </c>
      <c r="H272" s="23">
        <v>3</v>
      </c>
      <c r="I272" s="23">
        <v>1</v>
      </c>
      <c r="J272" s="23">
        <v>0.06</v>
      </c>
      <c r="K272" s="23">
        <v>7.5800000000000006E-2</v>
      </c>
      <c r="L272" s="23">
        <v>0.45</v>
      </c>
      <c r="M272" s="23">
        <v>0.1343</v>
      </c>
      <c r="N272" s="23">
        <v>0</v>
      </c>
      <c r="O272" s="23">
        <v>2</v>
      </c>
      <c r="P272" s="23">
        <v>2</v>
      </c>
    </row>
    <row r="273" spans="1:16">
      <c r="A273" s="23">
        <v>882</v>
      </c>
      <c r="B273" s="24">
        <v>40583</v>
      </c>
      <c r="C273" s="23">
        <v>1</v>
      </c>
      <c r="D273" s="23">
        <v>0</v>
      </c>
      <c r="E273" s="23">
        <v>2</v>
      </c>
      <c r="F273" s="23">
        <v>5</v>
      </c>
      <c r="G273" s="23" t="b">
        <v>0</v>
      </c>
      <c r="H273" s="23">
        <v>3</v>
      </c>
      <c r="I273" s="23">
        <v>1</v>
      </c>
      <c r="J273" s="23">
        <v>0.06</v>
      </c>
      <c r="K273" s="23">
        <v>0.1061</v>
      </c>
      <c r="L273" s="23">
        <v>0.45</v>
      </c>
      <c r="M273" s="23">
        <v>0.1045</v>
      </c>
      <c r="N273" s="23">
        <v>0</v>
      </c>
      <c r="O273" s="23">
        <v>7</v>
      </c>
      <c r="P273" s="23">
        <v>7</v>
      </c>
    </row>
    <row r="274" spans="1:16">
      <c r="A274" s="23">
        <v>883</v>
      </c>
      <c r="B274" s="24">
        <v>40583</v>
      </c>
      <c r="C274" s="23">
        <v>1</v>
      </c>
      <c r="D274" s="23">
        <v>0</v>
      </c>
      <c r="E274" s="23">
        <v>2</v>
      </c>
      <c r="F274" s="23">
        <v>6</v>
      </c>
      <c r="G274" s="23" t="b">
        <v>0</v>
      </c>
      <c r="H274" s="23">
        <v>3</v>
      </c>
      <c r="I274" s="23">
        <v>1</v>
      </c>
      <c r="J274" s="23">
        <v>0.06</v>
      </c>
      <c r="K274" s="23">
        <v>0.1515</v>
      </c>
      <c r="L274" s="23">
        <v>0.45</v>
      </c>
      <c r="M274" s="23">
        <v>0</v>
      </c>
      <c r="N274" s="23">
        <v>0</v>
      </c>
      <c r="O274" s="23">
        <v>43</v>
      </c>
      <c r="P274" s="23">
        <v>43</v>
      </c>
    </row>
    <row r="275" spans="1:16">
      <c r="A275" s="23">
        <v>884</v>
      </c>
      <c r="B275" s="24">
        <v>40583</v>
      </c>
      <c r="C275" s="23">
        <v>1</v>
      </c>
      <c r="D275" s="23">
        <v>0</v>
      </c>
      <c r="E275" s="23">
        <v>2</v>
      </c>
      <c r="F275" s="23">
        <v>7</v>
      </c>
      <c r="G275" s="23" t="b">
        <v>0</v>
      </c>
      <c r="H275" s="23">
        <v>3</v>
      </c>
      <c r="I275" s="23">
        <v>1</v>
      </c>
      <c r="J275" s="23">
        <v>0.06</v>
      </c>
      <c r="K275" s="23">
        <v>0.1061</v>
      </c>
      <c r="L275" s="23">
        <v>0.49</v>
      </c>
      <c r="M275" s="23">
        <v>0.1045</v>
      </c>
      <c r="N275" s="23">
        <v>4</v>
      </c>
      <c r="O275" s="23">
        <v>95</v>
      </c>
      <c r="P275" s="23">
        <v>99</v>
      </c>
    </row>
    <row r="276" spans="1:16">
      <c r="A276" s="23">
        <v>885</v>
      </c>
      <c r="B276" s="24">
        <v>40583</v>
      </c>
      <c r="C276" s="23">
        <v>1</v>
      </c>
      <c r="D276" s="23">
        <v>0</v>
      </c>
      <c r="E276" s="23">
        <v>2</v>
      </c>
      <c r="F276" s="23">
        <v>8</v>
      </c>
      <c r="G276" s="23" t="b">
        <v>0</v>
      </c>
      <c r="H276" s="23">
        <v>3</v>
      </c>
      <c r="I276" s="23">
        <v>1</v>
      </c>
      <c r="J276" s="23">
        <v>0.1</v>
      </c>
      <c r="K276" s="23">
        <v>0.13639999999999999</v>
      </c>
      <c r="L276" s="23">
        <v>0.42</v>
      </c>
      <c r="M276" s="23">
        <v>0</v>
      </c>
      <c r="N276" s="23">
        <v>1</v>
      </c>
      <c r="O276" s="23">
        <v>198</v>
      </c>
      <c r="P276" s="23">
        <v>199</v>
      </c>
    </row>
    <row r="277" spans="1:16">
      <c r="A277" s="23">
        <v>886</v>
      </c>
      <c r="B277" s="24">
        <v>40583</v>
      </c>
      <c r="C277" s="23">
        <v>1</v>
      </c>
      <c r="D277" s="23">
        <v>0</v>
      </c>
      <c r="E277" s="23">
        <v>2</v>
      </c>
      <c r="F277" s="23">
        <v>9</v>
      </c>
      <c r="G277" s="23" t="b">
        <v>0</v>
      </c>
      <c r="H277" s="23">
        <v>3</v>
      </c>
      <c r="I277" s="23">
        <v>1</v>
      </c>
      <c r="J277" s="23">
        <v>0.12</v>
      </c>
      <c r="K277" s="23">
        <v>0.13639999999999999</v>
      </c>
      <c r="L277" s="23">
        <v>0.39</v>
      </c>
      <c r="M277" s="23">
        <v>0.16420000000000001</v>
      </c>
      <c r="N277" s="23">
        <v>4</v>
      </c>
      <c r="O277" s="23">
        <v>119</v>
      </c>
      <c r="P277" s="23">
        <v>123</v>
      </c>
    </row>
    <row r="278" spans="1:16">
      <c r="A278" s="23">
        <v>887</v>
      </c>
      <c r="B278" s="24">
        <v>40583</v>
      </c>
      <c r="C278" s="23">
        <v>1</v>
      </c>
      <c r="D278" s="23">
        <v>0</v>
      </c>
      <c r="E278" s="23">
        <v>2</v>
      </c>
      <c r="F278" s="23">
        <v>10</v>
      </c>
      <c r="G278" s="23" t="b">
        <v>0</v>
      </c>
      <c r="H278" s="23">
        <v>3</v>
      </c>
      <c r="I278" s="23">
        <v>1</v>
      </c>
      <c r="J278" s="23">
        <v>0.14000000000000001</v>
      </c>
      <c r="K278" s="23">
        <v>0.18179999999999999</v>
      </c>
      <c r="L278" s="23">
        <v>0.36</v>
      </c>
      <c r="M278" s="23">
        <v>0</v>
      </c>
      <c r="N278" s="23">
        <v>8</v>
      </c>
      <c r="O278" s="23">
        <v>51</v>
      </c>
      <c r="P278" s="23">
        <v>59</v>
      </c>
    </row>
    <row r="279" spans="1:16">
      <c r="A279" s="23">
        <v>888</v>
      </c>
      <c r="B279" s="24">
        <v>40583</v>
      </c>
      <c r="C279" s="23">
        <v>1</v>
      </c>
      <c r="D279" s="23">
        <v>0</v>
      </c>
      <c r="E279" s="23">
        <v>2</v>
      </c>
      <c r="F279" s="23">
        <v>11</v>
      </c>
      <c r="G279" s="23" t="b">
        <v>0</v>
      </c>
      <c r="H279" s="23">
        <v>3</v>
      </c>
      <c r="I279" s="23">
        <v>2</v>
      </c>
      <c r="J279" s="23">
        <v>0.14000000000000001</v>
      </c>
      <c r="K279" s="23">
        <v>0.1515</v>
      </c>
      <c r="L279" s="23">
        <v>0.43</v>
      </c>
      <c r="M279" s="23">
        <v>0.16420000000000001</v>
      </c>
      <c r="N279" s="23">
        <v>1</v>
      </c>
      <c r="O279" s="23">
        <v>40</v>
      </c>
      <c r="P279" s="23">
        <v>41</v>
      </c>
    </row>
    <row r="280" spans="1:16">
      <c r="A280" s="23">
        <v>889</v>
      </c>
      <c r="B280" s="24">
        <v>40583</v>
      </c>
      <c r="C280" s="23">
        <v>1</v>
      </c>
      <c r="D280" s="23">
        <v>0</v>
      </c>
      <c r="E280" s="23">
        <v>2</v>
      </c>
      <c r="F280" s="23">
        <v>12</v>
      </c>
      <c r="G280" s="23" t="b">
        <v>0</v>
      </c>
      <c r="H280" s="23">
        <v>3</v>
      </c>
      <c r="I280" s="23">
        <v>2</v>
      </c>
      <c r="J280" s="23">
        <v>0.18</v>
      </c>
      <c r="K280" s="23">
        <v>0.18179999999999999</v>
      </c>
      <c r="L280" s="23">
        <v>0.4</v>
      </c>
      <c r="M280" s="23">
        <v>0.22389999999999999</v>
      </c>
      <c r="N280" s="23">
        <v>4</v>
      </c>
      <c r="O280" s="23">
        <v>57</v>
      </c>
      <c r="P280" s="23">
        <v>61</v>
      </c>
    </row>
    <row r="281" spans="1:16">
      <c r="A281" s="23">
        <v>890</v>
      </c>
      <c r="B281" s="24">
        <v>40583</v>
      </c>
      <c r="C281" s="23">
        <v>1</v>
      </c>
      <c r="D281" s="23">
        <v>0</v>
      </c>
      <c r="E281" s="23">
        <v>2</v>
      </c>
      <c r="F281" s="23">
        <v>13</v>
      </c>
      <c r="G281" s="23" t="b">
        <v>0</v>
      </c>
      <c r="H281" s="23">
        <v>3</v>
      </c>
      <c r="I281" s="23">
        <v>1</v>
      </c>
      <c r="J281" s="23">
        <v>0.18</v>
      </c>
      <c r="K281" s="23">
        <v>0.16669999999999999</v>
      </c>
      <c r="L281" s="23">
        <v>0.4</v>
      </c>
      <c r="M281" s="23">
        <v>0.25369999999999998</v>
      </c>
      <c r="N281" s="23">
        <v>2</v>
      </c>
      <c r="O281" s="23">
        <v>67</v>
      </c>
      <c r="P281" s="23">
        <v>69</v>
      </c>
    </row>
    <row r="282" spans="1:16">
      <c r="A282" s="23">
        <v>891</v>
      </c>
      <c r="B282" s="24">
        <v>40583</v>
      </c>
      <c r="C282" s="23">
        <v>1</v>
      </c>
      <c r="D282" s="23">
        <v>0</v>
      </c>
      <c r="E282" s="23">
        <v>2</v>
      </c>
      <c r="F282" s="23">
        <v>14</v>
      </c>
      <c r="G282" s="23" t="b">
        <v>0</v>
      </c>
      <c r="H282" s="23">
        <v>3</v>
      </c>
      <c r="I282" s="23">
        <v>1</v>
      </c>
      <c r="J282" s="23">
        <v>0.2</v>
      </c>
      <c r="K282" s="23">
        <v>0.18179999999999999</v>
      </c>
      <c r="L282" s="23">
        <v>0.34</v>
      </c>
      <c r="M282" s="23">
        <v>0.29849999999999999</v>
      </c>
      <c r="N282" s="23">
        <v>2</v>
      </c>
      <c r="O282" s="23">
        <v>56</v>
      </c>
      <c r="P282" s="23">
        <v>58</v>
      </c>
    </row>
    <row r="283" spans="1:16">
      <c r="A283" s="23">
        <v>892</v>
      </c>
      <c r="B283" s="24">
        <v>40583</v>
      </c>
      <c r="C283" s="23">
        <v>1</v>
      </c>
      <c r="D283" s="23">
        <v>0</v>
      </c>
      <c r="E283" s="23">
        <v>2</v>
      </c>
      <c r="F283" s="23">
        <v>15</v>
      </c>
      <c r="G283" s="23" t="b">
        <v>0</v>
      </c>
      <c r="H283" s="23">
        <v>3</v>
      </c>
      <c r="I283" s="23">
        <v>2</v>
      </c>
      <c r="J283" s="23">
        <v>0.2</v>
      </c>
      <c r="K283" s="23">
        <v>0.18179999999999999</v>
      </c>
      <c r="L283" s="23">
        <v>0.34</v>
      </c>
      <c r="M283" s="23">
        <v>0.28360000000000002</v>
      </c>
      <c r="N283" s="23">
        <v>3</v>
      </c>
      <c r="O283" s="23">
        <v>61</v>
      </c>
      <c r="P283" s="23">
        <v>64</v>
      </c>
    </row>
    <row r="284" spans="1:16">
      <c r="A284" s="23">
        <v>893</v>
      </c>
      <c r="B284" s="24">
        <v>40583</v>
      </c>
      <c r="C284" s="23">
        <v>1</v>
      </c>
      <c r="D284" s="23">
        <v>0</v>
      </c>
      <c r="E284" s="23">
        <v>2</v>
      </c>
      <c r="F284" s="23">
        <v>16</v>
      </c>
      <c r="G284" s="23" t="b">
        <v>0</v>
      </c>
      <c r="H284" s="23">
        <v>3</v>
      </c>
      <c r="I284" s="23">
        <v>2</v>
      </c>
      <c r="J284" s="23">
        <v>0.2</v>
      </c>
      <c r="K284" s="23">
        <v>0.19700000000000001</v>
      </c>
      <c r="L284" s="23">
        <v>0.37</v>
      </c>
      <c r="M284" s="23">
        <v>0.25369999999999998</v>
      </c>
      <c r="N284" s="23">
        <v>7</v>
      </c>
      <c r="O284" s="23">
        <v>72</v>
      </c>
      <c r="P284" s="23">
        <v>79</v>
      </c>
    </row>
    <row r="285" spans="1:16">
      <c r="A285" s="23">
        <v>894</v>
      </c>
      <c r="B285" s="24">
        <v>40583</v>
      </c>
      <c r="C285" s="23">
        <v>1</v>
      </c>
      <c r="D285" s="23">
        <v>0</v>
      </c>
      <c r="E285" s="23">
        <v>2</v>
      </c>
      <c r="F285" s="23">
        <v>17</v>
      </c>
      <c r="G285" s="23" t="b">
        <v>0</v>
      </c>
      <c r="H285" s="23">
        <v>3</v>
      </c>
      <c r="I285" s="23">
        <v>2</v>
      </c>
      <c r="J285" s="23">
        <v>0.2</v>
      </c>
      <c r="K285" s="23">
        <v>0.19700000000000001</v>
      </c>
      <c r="L285" s="23">
        <v>0.34</v>
      </c>
      <c r="M285" s="23">
        <v>0.25369999999999998</v>
      </c>
      <c r="N285" s="23">
        <v>9</v>
      </c>
      <c r="O285" s="23">
        <v>157</v>
      </c>
      <c r="P285" s="23">
        <v>166</v>
      </c>
    </row>
    <row r="286" spans="1:16">
      <c r="A286" s="23">
        <v>895</v>
      </c>
      <c r="B286" s="24">
        <v>40583</v>
      </c>
      <c r="C286" s="23">
        <v>1</v>
      </c>
      <c r="D286" s="23">
        <v>0</v>
      </c>
      <c r="E286" s="23">
        <v>2</v>
      </c>
      <c r="F286" s="23">
        <v>18</v>
      </c>
      <c r="G286" s="23" t="b">
        <v>0</v>
      </c>
      <c r="H286" s="23">
        <v>3</v>
      </c>
      <c r="I286" s="23">
        <v>2</v>
      </c>
      <c r="J286" s="23">
        <v>0.18</v>
      </c>
      <c r="K286" s="23">
        <v>0.16669999999999999</v>
      </c>
      <c r="L286" s="23">
        <v>0.47</v>
      </c>
      <c r="M286" s="23">
        <v>0.29849999999999999</v>
      </c>
      <c r="N286" s="23">
        <v>2</v>
      </c>
      <c r="O286" s="23">
        <v>168</v>
      </c>
      <c r="P286" s="23">
        <v>170</v>
      </c>
    </row>
    <row r="287" spans="1:16">
      <c r="A287" s="23">
        <v>896</v>
      </c>
      <c r="B287" s="24">
        <v>40583</v>
      </c>
      <c r="C287" s="23">
        <v>1</v>
      </c>
      <c r="D287" s="23">
        <v>0</v>
      </c>
      <c r="E287" s="23">
        <v>2</v>
      </c>
      <c r="F287" s="23">
        <v>19</v>
      </c>
      <c r="G287" s="23" t="b">
        <v>0</v>
      </c>
      <c r="H287" s="23">
        <v>3</v>
      </c>
      <c r="I287" s="23">
        <v>3</v>
      </c>
      <c r="J287" s="23">
        <v>0.14000000000000001</v>
      </c>
      <c r="K287" s="23">
        <v>0.1212</v>
      </c>
      <c r="L287" s="23">
        <v>0.86</v>
      </c>
      <c r="M287" s="23">
        <v>0.25369999999999998</v>
      </c>
      <c r="N287" s="23">
        <v>1</v>
      </c>
      <c r="O287" s="23">
        <v>87</v>
      </c>
      <c r="P287" s="23">
        <v>88</v>
      </c>
    </row>
    <row r="288" spans="1:16">
      <c r="A288" s="23">
        <v>897</v>
      </c>
      <c r="B288" s="24">
        <v>40583</v>
      </c>
      <c r="C288" s="23">
        <v>1</v>
      </c>
      <c r="D288" s="23">
        <v>0</v>
      </c>
      <c r="E288" s="23">
        <v>2</v>
      </c>
      <c r="F288" s="23">
        <v>20</v>
      </c>
      <c r="G288" s="23" t="b">
        <v>0</v>
      </c>
      <c r="H288" s="23">
        <v>3</v>
      </c>
      <c r="I288" s="23">
        <v>3</v>
      </c>
      <c r="J288" s="23">
        <v>0.14000000000000001</v>
      </c>
      <c r="K288" s="23">
        <v>0.1515</v>
      </c>
      <c r="L288" s="23">
        <v>0.86</v>
      </c>
      <c r="M288" s="23">
        <v>0.16420000000000001</v>
      </c>
      <c r="N288" s="23">
        <v>0</v>
      </c>
      <c r="O288" s="23">
        <v>84</v>
      </c>
      <c r="P288" s="23">
        <v>84</v>
      </c>
    </row>
    <row r="289" spans="1:16">
      <c r="A289" s="23">
        <v>898</v>
      </c>
      <c r="B289" s="24">
        <v>40583</v>
      </c>
      <c r="C289" s="23">
        <v>1</v>
      </c>
      <c r="D289" s="23">
        <v>0</v>
      </c>
      <c r="E289" s="23">
        <v>2</v>
      </c>
      <c r="F289" s="23">
        <v>21</v>
      </c>
      <c r="G289" s="23" t="b">
        <v>0</v>
      </c>
      <c r="H289" s="23">
        <v>3</v>
      </c>
      <c r="I289" s="23">
        <v>2</v>
      </c>
      <c r="J289" s="23">
        <v>0.14000000000000001</v>
      </c>
      <c r="K289" s="23">
        <v>0.1515</v>
      </c>
      <c r="L289" s="23">
        <v>0.86</v>
      </c>
      <c r="M289" s="23">
        <v>0.16420000000000001</v>
      </c>
      <c r="N289" s="23">
        <v>0</v>
      </c>
      <c r="O289" s="23">
        <v>83</v>
      </c>
      <c r="P289" s="23">
        <v>83</v>
      </c>
    </row>
    <row r="290" spans="1:16">
      <c r="A290" s="23">
        <v>899</v>
      </c>
      <c r="B290" s="24">
        <v>40583</v>
      </c>
      <c r="C290" s="23">
        <v>1</v>
      </c>
      <c r="D290" s="23">
        <v>0</v>
      </c>
      <c r="E290" s="23">
        <v>2</v>
      </c>
      <c r="F290" s="23">
        <v>22</v>
      </c>
      <c r="G290" s="23" t="b">
        <v>0</v>
      </c>
      <c r="H290" s="23">
        <v>3</v>
      </c>
      <c r="I290" s="23">
        <v>3</v>
      </c>
      <c r="J290" s="23">
        <v>0.16</v>
      </c>
      <c r="K290" s="23">
        <v>0.16669999999999999</v>
      </c>
      <c r="L290" s="23">
        <v>0.8</v>
      </c>
      <c r="M290" s="23">
        <v>0.16420000000000001</v>
      </c>
      <c r="N290" s="23">
        <v>4</v>
      </c>
      <c r="O290" s="23">
        <v>42</v>
      </c>
      <c r="P290" s="23">
        <v>46</v>
      </c>
    </row>
    <row r="291" spans="1:16">
      <c r="A291" s="23">
        <v>900</v>
      </c>
      <c r="B291" s="24">
        <v>40583</v>
      </c>
      <c r="C291" s="23">
        <v>1</v>
      </c>
      <c r="D291" s="23">
        <v>0</v>
      </c>
      <c r="E291" s="23">
        <v>2</v>
      </c>
      <c r="F291" s="23">
        <v>23</v>
      </c>
      <c r="G291" s="23" t="b">
        <v>0</v>
      </c>
      <c r="H291" s="23">
        <v>3</v>
      </c>
      <c r="I291" s="23">
        <v>3</v>
      </c>
      <c r="J291" s="23">
        <v>0.16</v>
      </c>
      <c r="K291" s="23">
        <v>0.1515</v>
      </c>
      <c r="L291" s="23">
        <v>0.8</v>
      </c>
      <c r="M291" s="23">
        <v>0.19400000000000001</v>
      </c>
      <c r="N291" s="23">
        <v>0</v>
      </c>
      <c r="O291" s="23">
        <v>37</v>
      </c>
      <c r="P291" s="23">
        <v>37</v>
      </c>
    </row>
    <row r="292" spans="1:16">
      <c r="A292" s="23">
        <v>901</v>
      </c>
      <c r="B292" s="24">
        <v>40584</v>
      </c>
      <c r="C292" s="23">
        <v>1</v>
      </c>
      <c r="D292" s="23">
        <v>0</v>
      </c>
      <c r="E292" s="23">
        <v>2</v>
      </c>
      <c r="F292" s="23">
        <v>0</v>
      </c>
      <c r="G292" s="23" t="b">
        <v>0</v>
      </c>
      <c r="H292" s="23">
        <v>4</v>
      </c>
      <c r="I292" s="23">
        <v>3</v>
      </c>
      <c r="J292" s="23">
        <v>0.14000000000000001</v>
      </c>
      <c r="K292" s="23">
        <v>0.13639999999999999</v>
      </c>
      <c r="L292" s="23">
        <v>0.86</v>
      </c>
      <c r="M292" s="23">
        <v>0.19400000000000001</v>
      </c>
      <c r="N292" s="23">
        <v>0</v>
      </c>
      <c r="O292" s="23">
        <v>16</v>
      </c>
      <c r="P292" s="23">
        <v>16</v>
      </c>
    </row>
    <row r="293" spans="1:16">
      <c r="A293" s="23">
        <v>902</v>
      </c>
      <c r="B293" s="24">
        <v>40584</v>
      </c>
      <c r="C293" s="23">
        <v>1</v>
      </c>
      <c r="D293" s="23">
        <v>0</v>
      </c>
      <c r="E293" s="23">
        <v>2</v>
      </c>
      <c r="F293" s="23">
        <v>1</v>
      </c>
      <c r="G293" s="23" t="b">
        <v>0</v>
      </c>
      <c r="H293" s="23">
        <v>4</v>
      </c>
      <c r="I293" s="23">
        <v>3</v>
      </c>
      <c r="J293" s="23">
        <v>0.14000000000000001</v>
      </c>
      <c r="K293" s="23">
        <v>0.1515</v>
      </c>
      <c r="L293" s="23">
        <v>0.8</v>
      </c>
      <c r="M293" s="23">
        <v>0.1343</v>
      </c>
      <c r="N293" s="23">
        <v>0</v>
      </c>
      <c r="O293" s="23">
        <v>7</v>
      </c>
      <c r="P293" s="23">
        <v>7</v>
      </c>
    </row>
    <row r="294" spans="1:16">
      <c r="A294" s="23">
        <v>903</v>
      </c>
      <c r="B294" s="24">
        <v>40584</v>
      </c>
      <c r="C294" s="23">
        <v>1</v>
      </c>
      <c r="D294" s="23">
        <v>0</v>
      </c>
      <c r="E294" s="23">
        <v>2</v>
      </c>
      <c r="F294" s="23">
        <v>2</v>
      </c>
      <c r="G294" s="23" t="b">
        <v>0</v>
      </c>
      <c r="H294" s="23">
        <v>4</v>
      </c>
      <c r="I294" s="23">
        <v>3</v>
      </c>
      <c r="J294" s="23">
        <v>0.14000000000000001</v>
      </c>
      <c r="K294" s="23">
        <v>0.1515</v>
      </c>
      <c r="L294" s="23">
        <v>0.8</v>
      </c>
      <c r="M294" s="23">
        <v>0.1343</v>
      </c>
      <c r="N294" s="23">
        <v>0</v>
      </c>
      <c r="O294" s="23">
        <v>3</v>
      </c>
      <c r="P294" s="23">
        <v>3</v>
      </c>
    </row>
    <row r="295" spans="1:16">
      <c r="A295" s="23">
        <v>904</v>
      </c>
      <c r="B295" s="24">
        <v>40584</v>
      </c>
      <c r="C295" s="23">
        <v>1</v>
      </c>
      <c r="D295" s="23">
        <v>0</v>
      </c>
      <c r="E295" s="23">
        <v>2</v>
      </c>
      <c r="F295" s="23">
        <v>4</v>
      </c>
      <c r="G295" s="23" t="b">
        <v>0</v>
      </c>
      <c r="H295" s="23">
        <v>4</v>
      </c>
      <c r="I295" s="23">
        <v>2</v>
      </c>
      <c r="J295" s="23">
        <v>0.14000000000000001</v>
      </c>
      <c r="K295" s="23">
        <v>0.13639999999999999</v>
      </c>
      <c r="L295" s="23">
        <v>0.59</v>
      </c>
      <c r="M295" s="23">
        <v>0.22389999999999999</v>
      </c>
      <c r="N295" s="23">
        <v>0</v>
      </c>
      <c r="O295" s="23">
        <v>1</v>
      </c>
      <c r="P295" s="23">
        <v>1</v>
      </c>
    </row>
    <row r="296" spans="1:16">
      <c r="A296" s="23">
        <v>905</v>
      </c>
      <c r="B296" s="24">
        <v>40584</v>
      </c>
      <c r="C296" s="23">
        <v>1</v>
      </c>
      <c r="D296" s="23">
        <v>0</v>
      </c>
      <c r="E296" s="23">
        <v>2</v>
      </c>
      <c r="F296" s="23">
        <v>5</v>
      </c>
      <c r="G296" s="23" t="b">
        <v>0</v>
      </c>
      <c r="H296" s="23">
        <v>4</v>
      </c>
      <c r="I296" s="23">
        <v>2</v>
      </c>
      <c r="J296" s="23">
        <v>0.12</v>
      </c>
      <c r="K296" s="23">
        <v>0.1212</v>
      </c>
      <c r="L296" s="23">
        <v>0.5</v>
      </c>
      <c r="M296" s="23">
        <v>0.22389999999999999</v>
      </c>
      <c r="N296" s="23">
        <v>0</v>
      </c>
      <c r="O296" s="23">
        <v>6</v>
      </c>
      <c r="P296" s="23">
        <v>6</v>
      </c>
    </row>
    <row r="297" spans="1:16">
      <c r="A297" s="23">
        <v>906</v>
      </c>
      <c r="B297" s="24">
        <v>40584</v>
      </c>
      <c r="C297" s="23">
        <v>1</v>
      </c>
      <c r="D297" s="23">
        <v>0</v>
      </c>
      <c r="E297" s="23">
        <v>2</v>
      </c>
      <c r="F297" s="23">
        <v>6</v>
      </c>
      <c r="G297" s="23" t="b">
        <v>0</v>
      </c>
      <c r="H297" s="23">
        <v>4</v>
      </c>
      <c r="I297" s="23">
        <v>2</v>
      </c>
      <c r="J297" s="23">
        <v>0.12</v>
      </c>
      <c r="K297" s="23">
        <v>0.1212</v>
      </c>
      <c r="L297" s="23">
        <v>0.54</v>
      </c>
      <c r="M297" s="23">
        <v>0.28360000000000002</v>
      </c>
      <c r="N297" s="23">
        <v>0</v>
      </c>
      <c r="O297" s="23">
        <v>26</v>
      </c>
      <c r="P297" s="23">
        <v>26</v>
      </c>
    </row>
    <row r="298" spans="1:16">
      <c r="A298" s="23">
        <v>907</v>
      </c>
      <c r="B298" s="24">
        <v>40584</v>
      </c>
      <c r="C298" s="23">
        <v>1</v>
      </c>
      <c r="D298" s="23">
        <v>0</v>
      </c>
      <c r="E298" s="23">
        <v>2</v>
      </c>
      <c r="F298" s="23">
        <v>7</v>
      </c>
      <c r="G298" s="23" t="b">
        <v>0</v>
      </c>
      <c r="H298" s="23">
        <v>4</v>
      </c>
      <c r="I298" s="23">
        <v>1</v>
      </c>
      <c r="J298" s="23">
        <v>0.1</v>
      </c>
      <c r="K298" s="23">
        <v>7.5800000000000006E-2</v>
      </c>
      <c r="L298" s="23">
        <v>0.5</v>
      </c>
      <c r="M298" s="23">
        <v>0.41789999999999999</v>
      </c>
      <c r="N298" s="23">
        <v>0</v>
      </c>
      <c r="O298" s="23">
        <v>99</v>
      </c>
      <c r="P298" s="23">
        <v>99</v>
      </c>
    </row>
    <row r="299" spans="1:16">
      <c r="A299" s="23">
        <v>908</v>
      </c>
      <c r="B299" s="24">
        <v>40584</v>
      </c>
      <c r="C299" s="23">
        <v>1</v>
      </c>
      <c r="D299" s="23">
        <v>0</v>
      </c>
      <c r="E299" s="23">
        <v>2</v>
      </c>
      <c r="F299" s="23">
        <v>8</v>
      </c>
      <c r="G299" s="23" t="b">
        <v>0</v>
      </c>
      <c r="H299" s="23">
        <v>4</v>
      </c>
      <c r="I299" s="23">
        <v>1</v>
      </c>
      <c r="J299" s="23">
        <v>0.1</v>
      </c>
      <c r="K299" s="23">
        <v>7.5800000000000006E-2</v>
      </c>
      <c r="L299" s="23">
        <v>0.49</v>
      </c>
      <c r="M299" s="23">
        <v>0.32840000000000003</v>
      </c>
      <c r="N299" s="23">
        <v>5</v>
      </c>
      <c r="O299" s="23">
        <v>173</v>
      </c>
      <c r="P299" s="23">
        <v>178</v>
      </c>
    </row>
    <row r="300" spans="1:16">
      <c r="A300" s="23">
        <v>909</v>
      </c>
      <c r="B300" s="24">
        <v>40584</v>
      </c>
      <c r="C300" s="23">
        <v>1</v>
      </c>
      <c r="D300" s="23">
        <v>0</v>
      </c>
      <c r="E300" s="23">
        <v>2</v>
      </c>
      <c r="F300" s="23">
        <v>9</v>
      </c>
      <c r="G300" s="23" t="b">
        <v>0</v>
      </c>
      <c r="H300" s="23">
        <v>4</v>
      </c>
      <c r="I300" s="23">
        <v>1</v>
      </c>
      <c r="J300" s="23">
        <v>0.12</v>
      </c>
      <c r="K300" s="23">
        <v>0.1061</v>
      </c>
      <c r="L300" s="23">
        <v>0.42</v>
      </c>
      <c r="M300" s="23">
        <v>0.35820000000000002</v>
      </c>
      <c r="N300" s="23">
        <v>1</v>
      </c>
      <c r="O300" s="23">
        <v>121</v>
      </c>
      <c r="P300" s="23">
        <v>122</v>
      </c>
    </row>
    <row r="301" spans="1:16">
      <c r="A301" s="23">
        <v>910</v>
      </c>
      <c r="B301" s="24">
        <v>40584</v>
      </c>
      <c r="C301" s="23">
        <v>1</v>
      </c>
      <c r="D301" s="23">
        <v>0</v>
      </c>
      <c r="E301" s="23">
        <v>2</v>
      </c>
      <c r="F301" s="23">
        <v>10</v>
      </c>
      <c r="G301" s="23" t="b">
        <v>0</v>
      </c>
      <c r="H301" s="23">
        <v>4</v>
      </c>
      <c r="I301" s="23">
        <v>1</v>
      </c>
      <c r="J301" s="23">
        <v>0.12</v>
      </c>
      <c r="K301" s="23">
        <v>0.1061</v>
      </c>
      <c r="L301" s="23">
        <v>0.42</v>
      </c>
      <c r="M301" s="23">
        <v>0.29849999999999999</v>
      </c>
      <c r="N301" s="23">
        <v>1</v>
      </c>
      <c r="O301" s="23">
        <v>34</v>
      </c>
      <c r="P301" s="23">
        <v>35</v>
      </c>
    </row>
    <row r="302" spans="1:16">
      <c r="A302" s="23">
        <v>911</v>
      </c>
      <c r="B302" s="24">
        <v>40584</v>
      </c>
      <c r="C302" s="23">
        <v>1</v>
      </c>
      <c r="D302" s="23">
        <v>0</v>
      </c>
      <c r="E302" s="23">
        <v>2</v>
      </c>
      <c r="F302" s="23">
        <v>11</v>
      </c>
      <c r="G302" s="23" t="b">
        <v>0</v>
      </c>
      <c r="H302" s="23">
        <v>4</v>
      </c>
      <c r="I302" s="23">
        <v>1</v>
      </c>
      <c r="J302" s="23">
        <v>0.14000000000000001</v>
      </c>
      <c r="K302" s="23">
        <v>0.1212</v>
      </c>
      <c r="L302" s="23">
        <v>0.39</v>
      </c>
      <c r="M302" s="23">
        <v>0.35820000000000002</v>
      </c>
      <c r="N302" s="23">
        <v>1</v>
      </c>
      <c r="O302" s="23">
        <v>44</v>
      </c>
      <c r="P302" s="23">
        <v>45</v>
      </c>
    </row>
    <row r="303" spans="1:16">
      <c r="A303" s="23">
        <v>912</v>
      </c>
      <c r="B303" s="24">
        <v>40584</v>
      </c>
      <c r="C303" s="23">
        <v>1</v>
      </c>
      <c r="D303" s="23">
        <v>0</v>
      </c>
      <c r="E303" s="23">
        <v>2</v>
      </c>
      <c r="F303" s="23">
        <v>12</v>
      </c>
      <c r="G303" s="23" t="b">
        <v>0</v>
      </c>
      <c r="H303" s="23">
        <v>4</v>
      </c>
      <c r="I303" s="23">
        <v>1</v>
      </c>
      <c r="J303" s="23">
        <v>0.16</v>
      </c>
      <c r="K303" s="23">
        <v>0.13639999999999999</v>
      </c>
      <c r="L303" s="23">
        <v>0.34</v>
      </c>
      <c r="M303" s="23">
        <v>0.3881</v>
      </c>
      <c r="N303" s="23">
        <v>4</v>
      </c>
      <c r="O303" s="23">
        <v>65</v>
      </c>
      <c r="P303" s="23">
        <v>69</v>
      </c>
    </row>
    <row r="304" spans="1:16">
      <c r="A304" s="23">
        <v>913</v>
      </c>
      <c r="B304" s="24">
        <v>40584</v>
      </c>
      <c r="C304" s="23">
        <v>1</v>
      </c>
      <c r="D304" s="23">
        <v>0</v>
      </c>
      <c r="E304" s="23">
        <v>2</v>
      </c>
      <c r="F304" s="23">
        <v>13</v>
      </c>
      <c r="G304" s="23" t="b">
        <v>0</v>
      </c>
      <c r="H304" s="23">
        <v>4</v>
      </c>
      <c r="I304" s="23">
        <v>1</v>
      </c>
      <c r="J304" s="23">
        <v>0.18</v>
      </c>
      <c r="K304" s="23">
        <v>0.16669999999999999</v>
      </c>
      <c r="L304" s="23">
        <v>0.28999999999999998</v>
      </c>
      <c r="M304" s="23">
        <v>0.29849999999999999</v>
      </c>
      <c r="N304" s="23">
        <v>3</v>
      </c>
      <c r="O304" s="23">
        <v>59</v>
      </c>
      <c r="P304" s="23">
        <v>62</v>
      </c>
    </row>
    <row r="305" spans="1:16">
      <c r="A305" s="23">
        <v>914</v>
      </c>
      <c r="B305" s="24">
        <v>40584</v>
      </c>
      <c r="C305" s="23">
        <v>1</v>
      </c>
      <c r="D305" s="23">
        <v>0</v>
      </c>
      <c r="E305" s="23">
        <v>2</v>
      </c>
      <c r="F305" s="23">
        <v>14</v>
      </c>
      <c r="G305" s="23" t="b">
        <v>0</v>
      </c>
      <c r="H305" s="23">
        <v>4</v>
      </c>
      <c r="I305" s="23">
        <v>1</v>
      </c>
      <c r="J305" s="23">
        <v>0.2</v>
      </c>
      <c r="K305" s="23">
        <v>0.18179999999999999</v>
      </c>
      <c r="L305" s="23">
        <v>0.27</v>
      </c>
      <c r="M305" s="23">
        <v>0.28360000000000002</v>
      </c>
      <c r="N305" s="23">
        <v>6</v>
      </c>
      <c r="O305" s="23">
        <v>42</v>
      </c>
      <c r="P305" s="23">
        <v>48</v>
      </c>
    </row>
    <row r="306" spans="1:16">
      <c r="A306" s="23">
        <v>915</v>
      </c>
      <c r="B306" s="24">
        <v>40584</v>
      </c>
      <c r="C306" s="23">
        <v>1</v>
      </c>
      <c r="D306" s="23">
        <v>0</v>
      </c>
      <c r="E306" s="23">
        <v>2</v>
      </c>
      <c r="F306" s="23">
        <v>15</v>
      </c>
      <c r="G306" s="23" t="b">
        <v>0</v>
      </c>
      <c r="H306" s="23">
        <v>4</v>
      </c>
      <c r="I306" s="23">
        <v>1</v>
      </c>
      <c r="J306" s="23">
        <v>0.2</v>
      </c>
      <c r="K306" s="23">
        <v>0.19700000000000001</v>
      </c>
      <c r="L306" s="23">
        <v>0.25</v>
      </c>
      <c r="M306" s="23">
        <v>0.25369999999999998</v>
      </c>
      <c r="N306" s="23">
        <v>0</v>
      </c>
      <c r="O306" s="23">
        <v>50</v>
      </c>
      <c r="P306" s="23">
        <v>50</v>
      </c>
    </row>
    <row r="307" spans="1:16">
      <c r="A307" s="23">
        <v>916</v>
      </c>
      <c r="B307" s="24">
        <v>40584</v>
      </c>
      <c r="C307" s="23">
        <v>1</v>
      </c>
      <c r="D307" s="23">
        <v>0</v>
      </c>
      <c r="E307" s="23">
        <v>2</v>
      </c>
      <c r="F307" s="23">
        <v>16</v>
      </c>
      <c r="G307" s="23" t="b">
        <v>0</v>
      </c>
      <c r="H307" s="23">
        <v>4</v>
      </c>
      <c r="I307" s="23">
        <v>1</v>
      </c>
      <c r="J307" s="23">
        <v>0.2</v>
      </c>
      <c r="K307" s="23">
        <v>0.18179999999999999</v>
      </c>
      <c r="L307" s="23">
        <v>0.27</v>
      </c>
      <c r="M307" s="23">
        <v>0.29849999999999999</v>
      </c>
      <c r="N307" s="23">
        <v>4</v>
      </c>
      <c r="O307" s="23">
        <v>76</v>
      </c>
      <c r="P307" s="23">
        <v>80</v>
      </c>
    </row>
    <row r="308" spans="1:16">
      <c r="A308" s="23">
        <v>917</v>
      </c>
      <c r="B308" s="24">
        <v>40584</v>
      </c>
      <c r="C308" s="23">
        <v>1</v>
      </c>
      <c r="D308" s="23">
        <v>0</v>
      </c>
      <c r="E308" s="23">
        <v>2</v>
      </c>
      <c r="F308" s="23">
        <v>17</v>
      </c>
      <c r="G308" s="23" t="b">
        <v>0</v>
      </c>
      <c r="H308" s="23">
        <v>4</v>
      </c>
      <c r="I308" s="23">
        <v>1</v>
      </c>
      <c r="J308" s="23">
        <v>0.18</v>
      </c>
      <c r="K308" s="23">
        <v>0.18179999999999999</v>
      </c>
      <c r="L308" s="23">
        <v>0.26</v>
      </c>
      <c r="M308" s="23">
        <v>0.19400000000000001</v>
      </c>
      <c r="N308" s="23">
        <v>6</v>
      </c>
      <c r="O308" s="23">
        <v>159</v>
      </c>
      <c r="P308" s="23">
        <v>165</v>
      </c>
    </row>
    <row r="309" spans="1:16">
      <c r="A309" s="23">
        <v>918</v>
      </c>
      <c r="B309" s="24">
        <v>40584</v>
      </c>
      <c r="C309" s="23">
        <v>1</v>
      </c>
      <c r="D309" s="23">
        <v>0</v>
      </c>
      <c r="E309" s="23">
        <v>2</v>
      </c>
      <c r="F309" s="23">
        <v>18</v>
      </c>
      <c r="G309" s="23" t="b">
        <v>0</v>
      </c>
      <c r="H309" s="23">
        <v>4</v>
      </c>
      <c r="I309" s="23">
        <v>1</v>
      </c>
      <c r="J309" s="23">
        <v>0.16</v>
      </c>
      <c r="K309" s="23">
        <v>0.18179999999999999</v>
      </c>
      <c r="L309" s="23">
        <v>0.28000000000000003</v>
      </c>
      <c r="M309" s="23">
        <v>0.1343</v>
      </c>
      <c r="N309" s="23">
        <v>3</v>
      </c>
      <c r="O309" s="23">
        <v>157</v>
      </c>
      <c r="P309" s="23">
        <v>160</v>
      </c>
    </row>
    <row r="310" spans="1:16">
      <c r="A310" s="23">
        <v>919</v>
      </c>
      <c r="B310" s="24">
        <v>40584</v>
      </c>
      <c r="C310" s="23">
        <v>1</v>
      </c>
      <c r="D310" s="23">
        <v>0</v>
      </c>
      <c r="E310" s="23">
        <v>2</v>
      </c>
      <c r="F310" s="23">
        <v>19</v>
      </c>
      <c r="G310" s="23" t="b">
        <v>0</v>
      </c>
      <c r="H310" s="23">
        <v>4</v>
      </c>
      <c r="I310" s="23">
        <v>1</v>
      </c>
      <c r="J310" s="23">
        <v>0.14000000000000001</v>
      </c>
      <c r="K310" s="23">
        <v>0.16669999999999999</v>
      </c>
      <c r="L310" s="23">
        <v>0.28000000000000003</v>
      </c>
      <c r="M310" s="23">
        <v>0.1045</v>
      </c>
      <c r="N310" s="23">
        <v>2</v>
      </c>
      <c r="O310" s="23">
        <v>110</v>
      </c>
      <c r="P310" s="23">
        <v>112</v>
      </c>
    </row>
    <row r="311" spans="1:16">
      <c r="A311" s="23">
        <v>920</v>
      </c>
      <c r="B311" s="24">
        <v>40584</v>
      </c>
      <c r="C311" s="23">
        <v>1</v>
      </c>
      <c r="D311" s="23">
        <v>0</v>
      </c>
      <c r="E311" s="23">
        <v>2</v>
      </c>
      <c r="F311" s="23">
        <v>20</v>
      </c>
      <c r="G311" s="23" t="b">
        <v>0</v>
      </c>
      <c r="H311" s="23">
        <v>4</v>
      </c>
      <c r="I311" s="23">
        <v>1</v>
      </c>
      <c r="J311" s="23">
        <v>0.14000000000000001</v>
      </c>
      <c r="K311" s="23">
        <v>0.18179999999999999</v>
      </c>
      <c r="L311" s="23">
        <v>0.31</v>
      </c>
      <c r="M311" s="23">
        <v>8.9599999999999999E-2</v>
      </c>
      <c r="N311" s="23">
        <v>4</v>
      </c>
      <c r="O311" s="23">
        <v>93</v>
      </c>
      <c r="P311" s="23">
        <v>97</v>
      </c>
    </row>
    <row r="312" spans="1:16">
      <c r="A312" s="23">
        <v>921</v>
      </c>
      <c r="B312" s="24">
        <v>40584</v>
      </c>
      <c r="C312" s="23">
        <v>1</v>
      </c>
      <c r="D312" s="23">
        <v>0</v>
      </c>
      <c r="E312" s="23">
        <v>2</v>
      </c>
      <c r="F312" s="23">
        <v>21</v>
      </c>
      <c r="G312" s="23" t="b">
        <v>0</v>
      </c>
      <c r="H312" s="23">
        <v>4</v>
      </c>
      <c r="I312" s="23">
        <v>1</v>
      </c>
      <c r="J312" s="23">
        <v>0.14000000000000001</v>
      </c>
      <c r="K312" s="23">
        <v>0.21210000000000001</v>
      </c>
      <c r="L312" s="23">
        <v>0.39</v>
      </c>
      <c r="M312" s="23">
        <v>0</v>
      </c>
      <c r="N312" s="23">
        <v>2</v>
      </c>
      <c r="O312" s="23">
        <v>70</v>
      </c>
      <c r="P312" s="23">
        <v>72</v>
      </c>
    </row>
    <row r="313" spans="1:16">
      <c r="A313" s="23">
        <v>922</v>
      </c>
      <c r="B313" s="24">
        <v>40584</v>
      </c>
      <c r="C313" s="23">
        <v>1</v>
      </c>
      <c r="D313" s="23">
        <v>0</v>
      </c>
      <c r="E313" s="23">
        <v>2</v>
      </c>
      <c r="F313" s="23">
        <v>22</v>
      </c>
      <c r="G313" s="23" t="b">
        <v>0</v>
      </c>
      <c r="H313" s="23">
        <v>4</v>
      </c>
      <c r="I313" s="23">
        <v>1</v>
      </c>
      <c r="J313" s="23">
        <v>0.12</v>
      </c>
      <c r="K313" s="23">
        <v>0.19700000000000001</v>
      </c>
      <c r="L313" s="23">
        <v>0.39</v>
      </c>
      <c r="M313" s="23">
        <v>0</v>
      </c>
      <c r="N313" s="23">
        <v>4</v>
      </c>
      <c r="O313" s="23">
        <v>47</v>
      </c>
      <c r="P313" s="23">
        <v>51</v>
      </c>
    </row>
    <row r="314" spans="1:16">
      <c r="A314" s="23">
        <v>923</v>
      </c>
      <c r="B314" s="24">
        <v>40584</v>
      </c>
      <c r="C314" s="23">
        <v>1</v>
      </c>
      <c r="D314" s="23">
        <v>0</v>
      </c>
      <c r="E314" s="23">
        <v>2</v>
      </c>
      <c r="F314" s="23">
        <v>23</v>
      </c>
      <c r="G314" s="23" t="b">
        <v>0</v>
      </c>
      <c r="H314" s="23">
        <v>4</v>
      </c>
      <c r="I314" s="23">
        <v>1</v>
      </c>
      <c r="J314" s="23">
        <v>0.12</v>
      </c>
      <c r="K314" s="23">
        <v>0.1515</v>
      </c>
      <c r="L314" s="23">
        <v>0.42</v>
      </c>
      <c r="M314" s="23">
        <v>0.1045</v>
      </c>
      <c r="N314" s="23">
        <v>1</v>
      </c>
      <c r="O314" s="23">
        <v>33</v>
      </c>
      <c r="P314" s="23">
        <v>34</v>
      </c>
    </row>
    <row r="315" spans="1:16">
      <c r="A315" s="23">
        <v>924</v>
      </c>
      <c r="B315" s="24">
        <v>40585</v>
      </c>
      <c r="C315" s="23">
        <v>1</v>
      </c>
      <c r="D315" s="23">
        <v>0</v>
      </c>
      <c r="E315" s="23">
        <v>2</v>
      </c>
      <c r="F315" s="23">
        <v>0</v>
      </c>
      <c r="G315" s="23" t="b">
        <v>0</v>
      </c>
      <c r="H315" s="23">
        <v>5</v>
      </c>
      <c r="I315" s="23">
        <v>1</v>
      </c>
      <c r="J315" s="23">
        <v>0.1</v>
      </c>
      <c r="K315" s="23">
        <v>0.13639999999999999</v>
      </c>
      <c r="L315" s="23">
        <v>0.49</v>
      </c>
      <c r="M315" s="23">
        <v>0.1045</v>
      </c>
      <c r="N315" s="23">
        <v>2</v>
      </c>
      <c r="O315" s="23">
        <v>12</v>
      </c>
      <c r="P315" s="23">
        <v>14</v>
      </c>
    </row>
    <row r="316" spans="1:16">
      <c r="A316" s="23">
        <v>925</v>
      </c>
      <c r="B316" s="24">
        <v>40585</v>
      </c>
      <c r="C316" s="23">
        <v>1</v>
      </c>
      <c r="D316" s="23">
        <v>0</v>
      </c>
      <c r="E316" s="23">
        <v>2</v>
      </c>
      <c r="F316" s="23">
        <v>1</v>
      </c>
      <c r="G316" s="23" t="b">
        <v>0</v>
      </c>
      <c r="H316" s="23">
        <v>5</v>
      </c>
      <c r="I316" s="23">
        <v>1</v>
      </c>
      <c r="J316" s="23">
        <v>0.1</v>
      </c>
      <c r="K316" s="23">
        <v>0.13639999999999999</v>
      </c>
      <c r="L316" s="23">
        <v>0.54</v>
      </c>
      <c r="M316" s="23">
        <v>8.9599999999999999E-2</v>
      </c>
      <c r="N316" s="23">
        <v>1</v>
      </c>
      <c r="O316" s="23">
        <v>6</v>
      </c>
      <c r="P316" s="23">
        <v>7</v>
      </c>
    </row>
    <row r="317" spans="1:16">
      <c r="A317" s="23">
        <v>926</v>
      </c>
      <c r="B317" s="24">
        <v>40585</v>
      </c>
      <c r="C317" s="23">
        <v>1</v>
      </c>
      <c r="D317" s="23">
        <v>0</v>
      </c>
      <c r="E317" s="23">
        <v>2</v>
      </c>
      <c r="F317" s="23">
        <v>2</v>
      </c>
      <c r="G317" s="23" t="b">
        <v>0</v>
      </c>
      <c r="H317" s="23">
        <v>5</v>
      </c>
      <c r="I317" s="23">
        <v>1</v>
      </c>
      <c r="J317" s="23">
        <v>0.1</v>
      </c>
      <c r="K317" s="23">
        <v>0.13639999999999999</v>
      </c>
      <c r="L317" s="23">
        <v>0.54</v>
      </c>
      <c r="M317" s="23">
        <v>8.9599999999999999E-2</v>
      </c>
      <c r="N317" s="23">
        <v>0</v>
      </c>
      <c r="O317" s="23">
        <v>3</v>
      </c>
      <c r="P317" s="23">
        <v>3</v>
      </c>
    </row>
    <row r="318" spans="1:16">
      <c r="A318" s="23">
        <v>927</v>
      </c>
      <c r="B318" s="24">
        <v>40585</v>
      </c>
      <c r="C318" s="23">
        <v>1</v>
      </c>
      <c r="D318" s="23">
        <v>0</v>
      </c>
      <c r="E318" s="23">
        <v>2</v>
      </c>
      <c r="F318" s="23">
        <v>5</v>
      </c>
      <c r="G318" s="23" t="b">
        <v>0</v>
      </c>
      <c r="H318" s="23">
        <v>5</v>
      </c>
      <c r="I318" s="23">
        <v>1</v>
      </c>
      <c r="J318" s="23">
        <v>0.08</v>
      </c>
      <c r="K318" s="23">
        <v>0.1212</v>
      </c>
      <c r="L318" s="23">
        <v>0.63</v>
      </c>
      <c r="M318" s="23">
        <v>8.9599999999999999E-2</v>
      </c>
      <c r="N318" s="23">
        <v>0</v>
      </c>
      <c r="O318" s="23">
        <v>4</v>
      </c>
      <c r="P318" s="23">
        <v>4</v>
      </c>
    </row>
    <row r="319" spans="1:16">
      <c r="A319" s="23">
        <v>928</v>
      </c>
      <c r="B319" s="24">
        <v>40585</v>
      </c>
      <c r="C319" s="23">
        <v>1</v>
      </c>
      <c r="D319" s="23">
        <v>0</v>
      </c>
      <c r="E319" s="23">
        <v>2</v>
      </c>
      <c r="F319" s="23">
        <v>6</v>
      </c>
      <c r="G319" s="23" t="b">
        <v>0</v>
      </c>
      <c r="H319" s="23">
        <v>5</v>
      </c>
      <c r="I319" s="23">
        <v>1</v>
      </c>
      <c r="J319" s="23">
        <v>0.1</v>
      </c>
      <c r="K319" s="23">
        <v>0.18179999999999999</v>
      </c>
      <c r="L319" s="23">
        <v>0.68</v>
      </c>
      <c r="M319" s="23">
        <v>0</v>
      </c>
      <c r="N319" s="23">
        <v>1</v>
      </c>
      <c r="O319" s="23">
        <v>23</v>
      </c>
      <c r="P319" s="23">
        <v>24</v>
      </c>
    </row>
    <row r="320" spans="1:16">
      <c r="A320" s="23">
        <v>929</v>
      </c>
      <c r="B320" s="24">
        <v>40585</v>
      </c>
      <c r="C320" s="23">
        <v>1</v>
      </c>
      <c r="D320" s="23">
        <v>0</v>
      </c>
      <c r="E320" s="23">
        <v>2</v>
      </c>
      <c r="F320" s="23">
        <v>7</v>
      </c>
      <c r="G320" s="23" t="b">
        <v>0</v>
      </c>
      <c r="H320" s="23">
        <v>5</v>
      </c>
      <c r="I320" s="23">
        <v>1</v>
      </c>
      <c r="J320" s="23">
        <v>0.08</v>
      </c>
      <c r="K320" s="23">
        <v>0.16669999999999999</v>
      </c>
      <c r="L320" s="23">
        <v>0.73</v>
      </c>
      <c r="M320" s="23">
        <v>0</v>
      </c>
      <c r="N320" s="23">
        <v>1</v>
      </c>
      <c r="O320" s="23">
        <v>73</v>
      </c>
      <c r="P320" s="23">
        <v>74</v>
      </c>
    </row>
    <row r="321" spans="1:16">
      <c r="A321" s="23">
        <v>930</v>
      </c>
      <c r="B321" s="24">
        <v>40585</v>
      </c>
      <c r="C321" s="23">
        <v>1</v>
      </c>
      <c r="D321" s="23">
        <v>0</v>
      </c>
      <c r="E321" s="23">
        <v>2</v>
      </c>
      <c r="F321" s="23">
        <v>8</v>
      </c>
      <c r="G321" s="23" t="b">
        <v>0</v>
      </c>
      <c r="H321" s="23">
        <v>5</v>
      </c>
      <c r="I321" s="23">
        <v>1</v>
      </c>
      <c r="J321" s="23">
        <v>0.1</v>
      </c>
      <c r="K321" s="23">
        <v>0.1212</v>
      </c>
      <c r="L321" s="23">
        <v>0.74</v>
      </c>
      <c r="M321" s="23">
        <v>0.16420000000000001</v>
      </c>
      <c r="N321" s="23">
        <v>4</v>
      </c>
      <c r="O321" s="23">
        <v>212</v>
      </c>
      <c r="P321" s="23">
        <v>216</v>
      </c>
    </row>
    <row r="322" spans="1:16">
      <c r="A322" s="23">
        <v>931</v>
      </c>
      <c r="B322" s="24">
        <v>40585</v>
      </c>
      <c r="C322" s="23">
        <v>1</v>
      </c>
      <c r="D322" s="23">
        <v>0</v>
      </c>
      <c r="E322" s="23">
        <v>2</v>
      </c>
      <c r="F322" s="23">
        <v>9</v>
      </c>
      <c r="G322" s="23" t="b">
        <v>0</v>
      </c>
      <c r="H322" s="23">
        <v>5</v>
      </c>
      <c r="I322" s="23">
        <v>1</v>
      </c>
      <c r="J322" s="23">
        <v>0.12</v>
      </c>
      <c r="K322" s="23">
        <v>0.1212</v>
      </c>
      <c r="L322" s="23">
        <v>0.74</v>
      </c>
      <c r="M322" s="23">
        <v>0.22389999999999999</v>
      </c>
      <c r="N322" s="23">
        <v>8</v>
      </c>
      <c r="O322" s="23">
        <v>132</v>
      </c>
      <c r="P322" s="23">
        <v>140</v>
      </c>
    </row>
    <row r="323" spans="1:16">
      <c r="A323" s="23">
        <v>932</v>
      </c>
      <c r="B323" s="24">
        <v>40585</v>
      </c>
      <c r="C323" s="23">
        <v>1</v>
      </c>
      <c r="D323" s="23">
        <v>0</v>
      </c>
      <c r="E323" s="23">
        <v>2</v>
      </c>
      <c r="F323" s="23">
        <v>10</v>
      </c>
      <c r="G323" s="23" t="b">
        <v>0</v>
      </c>
      <c r="H323" s="23">
        <v>5</v>
      </c>
      <c r="I323" s="23">
        <v>1</v>
      </c>
      <c r="J323" s="23">
        <v>0.14000000000000001</v>
      </c>
      <c r="K323" s="23">
        <v>0.13639999999999999</v>
      </c>
      <c r="L323" s="23">
        <v>0.69</v>
      </c>
      <c r="M323" s="23">
        <v>0.19400000000000001</v>
      </c>
      <c r="N323" s="23">
        <v>5</v>
      </c>
      <c r="O323" s="23">
        <v>39</v>
      </c>
      <c r="P323" s="23">
        <v>44</v>
      </c>
    </row>
    <row r="324" spans="1:16">
      <c r="A324" s="23">
        <v>933</v>
      </c>
      <c r="B324" s="24">
        <v>40585</v>
      </c>
      <c r="C324" s="23">
        <v>1</v>
      </c>
      <c r="D324" s="23">
        <v>0</v>
      </c>
      <c r="E324" s="23">
        <v>2</v>
      </c>
      <c r="F324" s="23">
        <v>11</v>
      </c>
      <c r="G324" s="23" t="b">
        <v>0</v>
      </c>
      <c r="H324" s="23">
        <v>5</v>
      </c>
      <c r="I324" s="23">
        <v>1</v>
      </c>
      <c r="J324" s="23">
        <v>0.22</v>
      </c>
      <c r="K324" s="23">
        <v>0.2273</v>
      </c>
      <c r="L324" s="23">
        <v>0.47</v>
      </c>
      <c r="M324" s="23">
        <v>0.1343</v>
      </c>
      <c r="N324" s="23">
        <v>12</v>
      </c>
      <c r="O324" s="23">
        <v>52</v>
      </c>
      <c r="P324" s="23">
        <v>64</v>
      </c>
    </row>
    <row r="325" spans="1:16">
      <c r="A325" s="23">
        <v>934</v>
      </c>
      <c r="B325" s="24">
        <v>40585</v>
      </c>
      <c r="C325" s="23">
        <v>1</v>
      </c>
      <c r="D325" s="23">
        <v>0</v>
      </c>
      <c r="E325" s="23">
        <v>2</v>
      </c>
      <c r="F325" s="23">
        <v>12</v>
      </c>
      <c r="G325" s="23" t="b">
        <v>0</v>
      </c>
      <c r="H325" s="23">
        <v>5</v>
      </c>
      <c r="I325" s="23">
        <v>1</v>
      </c>
      <c r="J325" s="23">
        <v>0.22</v>
      </c>
      <c r="K325" s="23">
        <v>0.2273</v>
      </c>
      <c r="L325" s="23">
        <v>0.47</v>
      </c>
      <c r="M325" s="23">
        <v>0.1343</v>
      </c>
      <c r="N325" s="23">
        <v>7</v>
      </c>
      <c r="O325" s="23">
        <v>64</v>
      </c>
      <c r="P325" s="23">
        <v>71</v>
      </c>
    </row>
    <row r="326" spans="1:16">
      <c r="A326" s="23">
        <v>935</v>
      </c>
      <c r="B326" s="24">
        <v>40585</v>
      </c>
      <c r="C326" s="23">
        <v>1</v>
      </c>
      <c r="D326" s="23">
        <v>0</v>
      </c>
      <c r="E326" s="23">
        <v>2</v>
      </c>
      <c r="F326" s="23">
        <v>13</v>
      </c>
      <c r="G326" s="23" t="b">
        <v>0</v>
      </c>
      <c r="H326" s="23">
        <v>5</v>
      </c>
      <c r="I326" s="23">
        <v>1</v>
      </c>
      <c r="J326" s="23">
        <v>0.24</v>
      </c>
      <c r="K326" s="23">
        <v>0.2273</v>
      </c>
      <c r="L326" s="23">
        <v>0.35</v>
      </c>
      <c r="M326" s="23">
        <v>0.19400000000000001</v>
      </c>
      <c r="N326" s="23">
        <v>21</v>
      </c>
      <c r="O326" s="23">
        <v>89</v>
      </c>
      <c r="P326" s="23">
        <v>110</v>
      </c>
    </row>
    <row r="327" spans="1:16">
      <c r="A327" s="23">
        <v>936</v>
      </c>
      <c r="B327" s="24">
        <v>40585</v>
      </c>
      <c r="C327" s="23">
        <v>1</v>
      </c>
      <c r="D327" s="23">
        <v>0</v>
      </c>
      <c r="E327" s="23">
        <v>2</v>
      </c>
      <c r="F327" s="23">
        <v>14</v>
      </c>
      <c r="G327" s="23" t="b">
        <v>0</v>
      </c>
      <c r="H327" s="23">
        <v>5</v>
      </c>
      <c r="I327" s="23">
        <v>1</v>
      </c>
      <c r="J327" s="23">
        <v>0.3</v>
      </c>
      <c r="K327" s="23">
        <v>0.28789999999999999</v>
      </c>
      <c r="L327" s="23">
        <v>0.26</v>
      </c>
      <c r="M327" s="23">
        <v>0.25369999999999998</v>
      </c>
      <c r="N327" s="23">
        <v>17</v>
      </c>
      <c r="O327" s="23">
        <v>67</v>
      </c>
      <c r="P327" s="23">
        <v>84</v>
      </c>
    </row>
    <row r="328" spans="1:16">
      <c r="A328" s="23">
        <v>937</v>
      </c>
      <c r="B328" s="24">
        <v>40585</v>
      </c>
      <c r="C328" s="23">
        <v>1</v>
      </c>
      <c r="D328" s="23">
        <v>0</v>
      </c>
      <c r="E328" s="23">
        <v>2</v>
      </c>
      <c r="F328" s="23">
        <v>15</v>
      </c>
      <c r="G328" s="23" t="b">
        <v>0</v>
      </c>
      <c r="H328" s="23">
        <v>5</v>
      </c>
      <c r="I328" s="23">
        <v>1</v>
      </c>
      <c r="J328" s="23">
        <v>0.32</v>
      </c>
      <c r="K328" s="23">
        <v>0.31819999999999998</v>
      </c>
      <c r="L328" s="23">
        <v>0.21</v>
      </c>
      <c r="M328" s="23">
        <v>0.16420000000000001</v>
      </c>
      <c r="N328" s="23">
        <v>12</v>
      </c>
      <c r="O328" s="23">
        <v>62</v>
      </c>
      <c r="P328" s="23">
        <v>74</v>
      </c>
    </row>
    <row r="329" spans="1:16">
      <c r="A329" s="23">
        <v>938</v>
      </c>
      <c r="B329" s="24">
        <v>40585</v>
      </c>
      <c r="C329" s="23">
        <v>1</v>
      </c>
      <c r="D329" s="23">
        <v>0</v>
      </c>
      <c r="E329" s="23">
        <v>2</v>
      </c>
      <c r="F329" s="23">
        <v>16</v>
      </c>
      <c r="G329" s="23" t="b">
        <v>0</v>
      </c>
      <c r="H329" s="23">
        <v>5</v>
      </c>
      <c r="I329" s="23">
        <v>1</v>
      </c>
      <c r="J329" s="23">
        <v>0.3</v>
      </c>
      <c r="K329" s="23">
        <v>0.28789999999999999</v>
      </c>
      <c r="L329" s="23">
        <v>0.28000000000000003</v>
      </c>
      <c r="M329" s="23">
        <v>0.19400000000000001</v>
      </c>
      <c r="N329" s="23">
        <v>14</v>
      </c>
      <c r="O329" s="23">
        <v>111</v>
      </c>
      <c r="P329" s="23">
        <v>125</v>
      </c>
    </row>
    <row r="330" spans="1:16">
      <c r="A330" s="23">
        <v>939</v>
      </c>
      <c r="B330" s="24">
        <v>40585</v>
      </c>
      <c r="C330" s="23">
        <v>1</v>
      </c>
      <c r="D330" s="23">
        <v>0</v>
      </c>
      <c r="E330" s="23">
        <v>2</v>
      </c>
      <c r="F330" s="23">
        <v>17</v>
      </c>
      <c r="G330" s="23" t="b">
        <v>0</v>
      </c>
      <c r="H330" s="23">
        <v>5</v>
      </c>
      <c r="I330" s="23">
        <v>1</v>
      </c>
      <c r="J330" s="23">
        <v>0.3</v>
      </c>
      <c r="K330" s="23">
        <v>0.33329999999999999</v>
      </c>
      <c r="L330" s="23">
        <v>0.24</v>
      </c>
      <c r="M330" s="23">
        <v>0</v>
      </c>
      <c r="N330" s="23">
        <v>18</v>
      </c>
      <c r="O330" s="23">
        <v>193</v>
      </c>
      <c r="P330" s="23">
        <v>211</v>
      </c>
    </row>
    <row r="331" spans="1:16">
      <c r="A331" s="23">
        <v>940</v>
      </c>
      <c r="B331" s="24">
        <v>40585</v>
      </c>
      <c r="C331" s="23">
        <v>1</v>
      </c>
      <c r="D331" s="23">
        <v>0</v>
      </c>
      <c r="E331" s="23">
        <v>2</v>
      </c>
      <c r="F331" s="23">
        <v>18</v>
      </c>
      <c r="G331" s="23" t="b">
        <v>0</v>
      </c>
      <c r="H331" s="23">
        <v>5</v>
      </c>
      <c r="I331" s="23">
        <v>1</v>
      </c>
      <c r="J331" s="23">
        <v>0.28000000000000003</v>
      </c>
      <c r="K331" s="23">
        <v>0.31819999999999998</v>
      </c>
      <c r="L331" s="23">
        <v>0.28000000000000003</v>
      </c>
      <c r="M331" s="23">
        <v>0</v>
      </c>
      <c r="N331" s="23">
        <v>9</v>
      </c>
      <c r="O331" s="23">
        <v>165</v>
      </c>
      <c r="P331" s="23">
        <v>174</v>
      </c>
    </row>
    <row r="332" spans="1:16">
      <c r="A332" s="23">
        <v>941</v>
      </c>
      <c r="B332" s="24">
        <v>40585</v>
      </c>
      <c r="C332" s="23">
        <v>1</v>
      </c>
      <c r="D332" s="23">
        <v>0</v>
      </c>
      <c r="E332" s="23">
        <v>2</v>
      </c>
      <c r="F332" s="23">
        <v>19</v>
      </c>
      <c r="G332" s="23" t="b">
        <v>0</v>
      </c>
      <c r="H332" s="23">
        <v>5</v>
      </c>
      <c r="I332" s="23">
        <v>1</v>
      </c>
      <c r="J332" s="23">
        <v>0.26</v>
      </c>
      <c r="K332" s="23">
        <v>0.30299999999999999</v>
      </c>
      <c r="L332" s="23">
        <v>0.33</v>
      </c>
      <c r="M332" s="23">
        <v>0</v>
      </c>
      <c r="N332" s="23">
        <v>7</v>
      </c>
      <c r="O332" s="23">
        <v>94</v>
      </c>
      <c r="P332" s="23">
        <v>101</v>
      </c>
    </row>
    <row r="333" spans="1:16">
      <c r="A333" s="23">
        <v>942</v>
      </c>
      <c r="B333" s="24">
        <v>40585</v>
      </c>
      <c r="C333" s="23">
        <v>1</v>
      </c>
      <c r="D333" s="23">
        <v>0</v>
      </c>
      <c r="E333" s="23">
        <v>2</v>
      </c>
      <c r="F333" s="23">
        <v>20</v>
      </c>
      <c r="G333" s="23" t="b">
        <v>0</v>
      </c>
      <c r="H333" s="23">
        <v>5</v>
      </c>
      <c r="I333" s="23">
        <v>1</v>
      </c>
      <c r="J333" s="23">
        <v>0.22</v>
      </c>
      <c r="K333" s="23">
        <v>0.2273</v>
      </c>
      <c r="L333" s="23">
        <v>0.55000000000000004</v>
      </c>
      <c r="M333" s="23">
        <v>0.1343</v>
      </c>
      <c r="N333" s="23">
        <v>2</v>
      </c>
      <c r="O333" s="23">
        <v>61</v>
      </c>
      <c r="P333" s="23">
        <v>63</v>
      </c>
    </row>
    <row r="334" spans="1:16">
      <c r="A334" s="23">
        <v>943</v>
      </c>
      <c r="B334" s="24">
        <v>40585</v>
      </c>
      <c r="C334" s="23">
        <v>1</v>
      </c>
      <c r="D334" s="23">
        <v>0</v>
      </c>
      <c r="E334" s="23">
        <v>2</v>
      </c>
      <c r="F334" s="23">
        <v>21</v>
      </c>
      <c r="G334" s="23" t="b">
        <v>0</v>
      </c>
      <c r="H334" s="23">
        <v>5</v>
      </c>
      <c r="I334" s="23">
        <v>1</v>
      </c>
      <c r="J334" s="23">
        <v>0.2</v>
      </c>
      <c r="K334" s="23">
        <v>0.21210000000000001</v>
      </c>
      <c r="L334" s="23">
        <v>0.59</v>
      </c>
      <c r="M334" s="23">
        <v>0.1343</v>
      </c>
      <c r="N334" s="23">
        <v>1</v>
      </c>
      <c r="O334" s="23">
        <v>46</v>
      </c>
      <c r="P334" s="23">
        <v>47</v>
      </c>
    </row>
    <row r="335" spans="1:16">
      <c r="A335" s="23">
        <v>944</v>
      </c>
      <c r="B335" s="24">
        <v>40585</v>
      </c>
      <c r="C335" s="23">
        <v>1</v>
      </c>
      <c r="D335" s="23">
        <v>0</v>
      </c>
      <c r="E335" s="23">
        <v>2</v>
      </c>
      <c r="F335" s="23">
        <v>22</v>
      </c>
      <c r="G335" s="23" t="b">
        <v>0</v>
      </c>
      <c r="H335" s="23">
        <v>5</v>
      </c>
      <c r="I335" s="23">
        <v>1</v>
      </c>
      <c r="J335" s="23">
        <v>0.2</v>
      </c>
      <c r="K335" s="23">
        <v>0.2273</v>
      </c>
      <c r="L335" s="23">
        <v>0.64</v>
      </c>
      <c r="M335" s="23">
        <v>8.9599999999999999E-2</v>
      </c>
      <c r="N335" s="23">
        <v>2</v>
      </c>
      <c r="O335" s="23">
        <v>41</v>
      </c>
      <c r="P335" s="23">
        <v>43</v>
      </c>
    </row>
    <row r="336" spans="1:16">
      <c r="A336" s="23">
        <v>945</v>
      </c>
      <c r="B336" s="24">
        <v>40585</v>
      </c>
      <c r="C336" s="23">
        <v>1</v>
      </c>
      <c r="D336" s="23">
        <v>0</v>
      </c>
      <c r="E336" s="23">
        <v>2</v>
      </c>
      <c r="F336" s="23">
        <v>23</v>
      </c>
      <c r="G336" s="23" t="b">
        <v>0</v>
      </c>
      <c r="H336" s="23">
        <v>5</v>
      </c>
      <c r="I336" s="23">
        <v>1</v>
      </c>
      <c r="J336" s="23">
        <v>0.18</v>
      </c>
      <c r="K336" s="23">
        <v>0.2424</v>
      </c>
      <c r="L336" s="23">
        <v>0.69</v>
      </c>
      <c r="M336" s="23">
        <v>0</v>
      </c>
      <c r="N336" s="23">
        <v>5</v>
      </c>
      <c r="O336" s="23">
        <v>48</v>
      </c>
      <c r="P336" s="23">
        <v>53</v>
      </c>
    </row>
    <row r="337" spans="1:16">
      <c r="A337" s="23">
        <v>946</v>
      </c>
      <c r="B337" s="24">
        <v>40586</v>
      </c>
      <c r="C337" s="23">
        <v>1</v>
      </c>
      <c r="D337" s="23">
        <v>0</v>
      </c>
      <c r="E337" s="23">
        <v>2</v>
      </c>
      <c r="F337" s="23">
        <v>0</v>
      </c>
      <c r="G337" s="23" t="b">
        <v>0</v>
      </c>
      <c r="H337" s="23">
        <v>6</v>
      </c>
      <c r="I337" s="23">
        <v>1</v>
      </c>
      <c r="J337" s="23">
        <v>0.16</v>
      </c>
      <c r="K337" s="23">
        <v>0.19700000000000001</v>
      </c>
      <c r="L337" s="23">
        <v>0.69</v>
      </c>
      <c r="M337" s="23">
        <v>8.9599999999999999E-2</v>
      </c>
      <c r="N337" s="23">
        <v>3</v>
      </c>
      <c r="O337" s="23">
        <v>27</v>
      </c>
      <c r="P337" s="23">
        <v>30</v>
      </c>
    </row>
    <row r="338" spans="1:16">
      <c r="A338" s="23">
        <v>947</v>
      </c>
      <c r="B338" s="24">
        <v>40586</v>
      </c>
      <c r="C338" s="23">
        <v>1</v>
      </c>
      <c r="D338" s="23">
        <v>0</v>
      </c>
      <c r="E338" s="23">
        <v>2</v>
      </c>
      <c r="F338" s="23">
        <v>1</v>
      </c>
      <c r="G338" s="23" t="b">
        <v>0</v>
      </c>
      <c r="H338" s="23">
        <v>6</v>
      </c>
      <c r="I338" s="23">
        <v>1</v>
      </c>
      <c r="J338" s="23">
        <v>0.14000000000000001</v>
      </c>
      <c r="K338" s="23">
        <v>0.21210000000000001</v>
      </c>
      <c r="L338" s="23">
        <v>0.86</v>
      </c>
      <c r="M338" s="23">
        <v>0</v>
      </c>
      <c r="N338" s="23">
        <v>2</v>
      </c>
      <c r="O338" s="23">
        <v>22</v>
      </c>
      <c r="P338" s="23">
        <v>24</v>
      </c>
    </row>
    <row r="339" spans="1:16">
      <c r="A339" s="23">
        <v>948</v>
      </c>
      <c r="B339" s="24">
        <v>40586</v>
      </c>
      <c r="C339" s="23">
        <v>1</v>
      </c>
      <c r="D339" s="23">
        <v>0</v>
      </c>
      <c r="E339" s="23">
        <v>2</v>
      </c>
      <c r="F339" s="23">
        <v>2</v>
      </c>
      <c r="G339" s="23" t="b">
        <v>0</v>
      </c>
      <c r="H339" s="23">
        <v>6</v>
      </c>
      <c r="I339" s="23">
        <v>1</v>
      </c>
      <c r="J339" s="23">
        <v>0.14000000000000001</v>
      </c>
      <c r="K339" s="23">
        <v>0.21210000000000001</v>
      </c>
      <c r="L339" s="23">
        <v>0.8</v>
      </c>
      <c r="M339" s="23">
        <v>0</v>
      </c>
      <c r="N339" s="23">
        <v>2</v>
      </c>
      <c r="O339" s="23">
        <v>13</v>
      </c>
      <c r="P339" s="23">
        <v>15</v>
      </c>
    </row>
    <row r="340" spans="1:16">
      <c r="A340" s="23">
        <v>949</v>
      </c>
      <c r="B340" s="24">
        <v>40586</v>
      </c>
      <c r="C340" s="23">
        <v>1</v>
      </c>
      <c r="D340" s="23">
        <v>0</v>
      </c>
      <c r="E340" s="23">
        <v>2</v>
      </c>
      <c r="F340" s="23">
        <v>3</v>
      </c>
      <c r="G340" s="23" t="b">
        <v>0</v>
      </c>
      <c r="H340" s="23">
        <v>6</v>
      </c>
      <c r="I340" s="23">
        <v>1</v>
      </c>
      <c r="J340" s="23">
        <v>0.12</v>
      </c>
      <c r="K340" s="23">
        <v>0.19700000000000001</v>
      </c>
      <c r="L340" s="23">
        <v>0.8</v>
      </c>
      <c r="M340" s="23">
        <v>0</v>
      </c>
      <c r="N340" s="23">
        <v>3</v>
      </c>
      <c r="O340" s="23">
        <v>7</v>
      </c>
      <c r="P340" s="23">
        <v>10</v>
      </c>
    </row>
    <row r="341" spans="1:16">
      <c r="A341" s="23">
        <v>950</v>
      </c>
      <c r="B341" s="24">
        <v>40586</v>
      </c>
      <c r="C341" s="23">
        <v>1</v>
      </c>
      <c r="D341" s="23">
        <v>0</v>
      </c>
      <c r="E341" s="23">
        <v>2</v>
      </c>
      <c r="F341" s="23">
        <v>4</v>
      </c>
      <c r="G341" s="23" t="b">
        <v>0</v>
      </c>
      <c r="H341" s="23">
        <v>6</v>
      </c>
      <c r="I341" s="23">
        <v>1</v>
      </c>
      <c r="J341" s="23">
        <v>0.12</v>
      </c>
      <c r="K341" s="23">
        <v>0.16669999999999999</v>
      </c>
      <c r="L341" s="23">
        <v>0.74</v>
      </c>
      <c r="M341" s="23">
        <v>8.9599999999999999E-2</v>
      </c>
      <c r="N341" s="23">
        <v>0</v>
      </c>
      <c r="O341" s="23">
        <v>4</v>
      </c>
      <c r="P341" s="23">
        <v>4</v>
      </c>
    </row>
    <row r="342" spans="1:16">
      <c r="A342" s="23">
        <v>951</v>
      </c>
      <c r="B342" s="24">
        <v>40586</v>
      </c>
      <c r="C342" s="23">
        <v>1</v>
      </c>
      <c r="D342" s="23">
        <v>0</v>
      </c>
      <c r="E342" s="23">
        <v>2</v>
      </c>
      <c r="F342" s="23">
        <v>5</v>
      </c>
      <c r="G342" s="23" t="b">
        <v>0</v>
      </c>
      <c r="H342" s="23">
        <v>6</v>
      </c>
      <c r="I342" s="23">
        <v>1</v>
      </c>
      <c r="J342" s="23">
        <v>0.12</v>
      </c>
      <c r="K342" s="23">
        <v>0.16669999999999999</v>
      </c>
      <c r="L342" s="23">
        <v>0.74</v>
      </c>
      <c r="M342" s="23">
        <v>8.9599999999999999E-2</v>
      </c>
      <c r="N342" s="23">
        <v>0</v>
      </c>
      <c r="O342" s="23">
        <v>1</v>
      </c>
      <c r="P342" s="23">
        <v>1</v>
      </c>
    </row>
    <row r="343" spans="1:16">
      <c r="A343" s="23">
        <v>952</v>
      </c>
      <c r="B343" s="24">
        <v>40586</v>
      </c>
      <c r="C343" s="23">
        <v>1</v>
      </c>
      <c r="D343" s="23">
        <v>0</v>
      </c>
      <c r="E343" s="23">
        <v>2</v>
      </c>
      <c r="F343" s="23">
        <v>6</v>
      </c>
      <c r="G343" s="23" t="b">
        <v>0</v>
      </c>
      <c r="H343" s="23">
        <v>6</v>
      </c>
      <c r="I343" s="23">
        <v>1</v>
      </c>
      <c r="J343" s="23">
        <v>0.12</v>
      </c>
      <c r="K343" s="23">
        <v>0.13639999999999999</v>
      </c>
      <c r="L343" s="23">
        <v>0.93</v>
      </c>
      <c r="M343" s="23">
        <v>0.19400000000000001</v>
      </c>
      <c r="N343" s="23">
        <v>1</v>
      </c>
      <c r="O343" s="23">
        <v>1</v>
      </c>
      <c r="P343" s="23">
        <v>2</v>
      </c>
    </row>
    <row r="344" spans="1:16">
      <c r="A344" s="23">
        <v>953</v>
      </c>
      <c r="B344" s="24">
        <v>40586</v>
      </c>
      <c r="C344" s="23">
        <v>1</v>
      </c>
      <c r="D344" s="23">
        <v>0</v>
      </c>
      <c r="E344" s="23">
        <v>2</v>
      </c>
      <c r="F344" s="23">
        <v>7</v>
      </c>
      <c r="G344" s="23" t="b">
        <v>0</v>
      </c>
      <c r="H344" s="23">
        <v>6</v>
      </c>
      <c r="I344" s="23">
        <v>1</v>
      </c>
      <c r="J344" s="23">
        <v>0.12</v>
      </c>
      <c r="K344" s="23">
        <v>0.1515</v>
      </c>
      <c r="L344" s="23">
        <v>0.8</v>
      </c>
      <c r="M344" s="23">
        <v>0.1045</v>
      </c>
      <c r="N344" s="23">
        <v>2</v>
      </c>
      <c r="O344" s="23">
        <v>9</v>
      </c>
      <c r="P344" s="23">
        <v>11</v>
      </c>
    </row>
    <row r="345" spans="1:16">
      <c r="A345" s="23">
        <v>954</v>
      </c>
      <c r="B345" s="24">
        <v>40586</v>
      </c>
      <c r="C345" s="23">
        <v>1</v>
      </c>
      <c r="D345" s="23">
        <v>0</v>
      </c>
      <c r="E345" s="23">
        <v>2</v>
      </c>
      <c r="F345" s="23">
        <v>8</v>
      </c>
      <c r="G345" s="23" t="b">
        <v>0</v>
      </c>
      <c r="H345" s="23">
        <v>6</v>
      </c>
      <c r="I345" s="23">
        <v>1</v>
      </c>
      <c r="J345" s="23">
        <v>0.14000000000000001</v>
      </c>
      <c r="K345" s="23">
        <v>0.1515</v>
      </c>
      <c r="L345" s="23">
        <v>0.86</v>
      </c>
      <c r="M345" s="23">
        <v>0.1343</v>
      </c>
      <c r="N345" s="23">
        <v>2</v>
      </c>
      <c r="O345" s="23">
        <v>28</v>
      </c>
      <c r="P345" s="23">
        <v>30</v>
      </c>
    </row>
    <row r="346" spans="1:16">
      <c r="A346" s="23">
        <v>955</v>
      </c>
      <c r="B346" s="24">
        <v>40586</v>
      </c>
      <c r="C346" s="23">
        <v>1</v>
      </c>
      <c r="D346" s="23">
        <v>0</v>
      </c>
      <c r="E346" s="23">
        <v>2</v>
      </c>
      <c r="F346" s="23">
        <v>9</v>
      </c>
      <c r="G346" s="23" t="b">
        <v>0</v>
      </c>
      <c r="H346" s="23">
        <v>6</v>
      </c>
      <c r="I346" s="23">
        <v>1</v>
      </c>
      <c r="J346" s="23">
        <v>0.16</v>
      </c>
      <c r="K346" s="23">
        <v>0.18179999999999999</v>
      </c>
      <c r="L346" s="23">
        <v>0.64</v>
      </c>
      <c r="M346" s="23">
        <v>0.1343</v>
      </c>
      <c r="N346" s="23">
        <v>5</v>
      </c>
      <c r="O346" s="23">
        <v>38</v>
      </c>
      <c r="P346" s="23">
        <v>43</v>
      </c>
    </row>
    <row r="347" spans="1:16">
      <c r="A347" s="23">
        <v>956</v>
      </c>
      <c r="B347" s="24">
        <v>40586</v>
      </c>
      <c r="C347" s="23">
        <v>1</v>
      </c>
      <c r="D347" s="23">
        <v>0</v>
      </c>
      <c r="E347" s="23">
        <v>2</v>
      </c>
      <c r="F347" s="23">
        <v>10</v>
      </c>
      <c r="G347" s="23" t="b">
        <v>0</v>
      </c>
      <c r="H347" s="23">
        <v>6</v>
      </c>
      <c r="I347" s="23">
        <v>1</v>
      </c>
      <c r="J347" s="23">
        <v>0.22</v>
      </c>
      <c r="K347" s="23">
        <v>0.21210000000000001</v>
      </c>
      <c r="L347" s="23">
        <v>0.41</v>
      </c>
      <c r="M347" s="23">
        <v>0.25369999999999998</v>
      </c>
      <c r="N347" s="23">
        <v>13</v>
      </c>
      <c r="O347" s="23">
        <v>71</v>
      </c>
      <c r="P347" s="23">
        <v>84</v>
      </c>
    </row>
    <row r="348" spans="1:16">
      <c r="A348" s="23">
        <v>957</v>
      </c>
      <c r="B348" s="24">
        <v>40586</v>
      </c>
      <c r="C348" s="23">
        <v>1</v>
      </c>
      <c r="D348" s="23">
        <v>0</v>
      </c>
      <c r="E348" s="23">
        <v>2</v>
      </c>
      <c r="F348" s="23">
        <v>11</v>
      </c>
      <c r="G348" s="23" t="b">
        <v>0</v>
      </c>
      <c r="H348" s="23">
        <v>6</v>
      </c>
      <c r="I348" s="23">
        <v>1</v>
      </c>
      <c r="J348" s="23">
        <v>0.3</v>
      </c>
      <c r="K348" s="23">
        <v>0.2727</v>
      </c>
      <c r="L348" s="23">
        <v>0.28000000000000003</v>
      </c>
      <c r="M348" s="23">
        <v>0.32840000000000003</v>
      </c>
      <c r="N348" s="23">
        <v>30</v>
      </c>
      <c r="O348" s="23">
        <v>84</v>
      </c>
      <c r="P348" s="23">
        <v>114</v>
      </c>
    </row>
    <row r="349" spans="1:16">
      <c r="A349" s="23">
        <v>958</v>
      </c>
      <c r="B349" s="24">
        <v>40586</v>
      </c>
      <c r="C349" s="23">
        <v>1</v>
      </c>
      <c r="D349" s="23">
        <v>0</v>
      </c>
      <c r="E349" s="23">
        <v>2</v>
      </c>
      <c r="F349" s="23">
        <v>12</v>
      </c>
      <c r="G349" s="23" t="b">
        <v>0</v>
      </c>
      <c r="H349" s="23">
        <v>6</v>
      </c>
      <c r="I349" s="23">
        <v>1</v>
      </c>
      <c r="J349" s="23">
        <v>0.3</v>
      </c>
      <c r="K349" s="23">
        <v>0.2727</v>
      </c>
      <c r="L349" s="23">
        <v>0.39</v>
      </c>
      <c r="M349" s="23">
        <v>0.4627</v>
      </c>
      <c r="N349" s="23">
        <v>27</v>
      </c>
      <c r="O349" s="23">
        <v>93</v>
      </c>
      <c r="P349" s="23">
        <v>120</v>
      </c>
    </row>
    <row r="350" spans="1:16">
      <c r="A350" s="23">
        <v>959</v>
      </c>
      <c r="B350" s="24">
        <v>40586</v>
      </c>
      <c r="C350" s="23">
        <v>1</v>
      </c>
      <c r="D350" s="23">
        <v>0</v>
      </c>
      <c r="E350" s="23">
        <v>2</v>
      </c>
      <c r="F350" s="23">
        <v>13</v>
      </c>
      <c r="G350" s="23" t="b">
        <v>0</v>
      </c>
      <c r="H350" s="23">
        <v>6</v>
      </c>
      <c r="I350" s="23">
        <v>1</v>
      </c>
      <c r="J350" s="23">
        <v>0.3</v>
      </c>
      <c r="K350" s="23">
        <v>0.2727</v>
      </c>
      <c r="L350" s="23">
        <v>0.39</v>
      </c>
      <c r="M350" s="23">
        <v>0.41789999999999999</v>
      </c>
      <c r="N350" s="23">
        <v>32</v>
      </c>
      <c r="O350" s="23">
        <v>103</v>
      </c>
      <c r="P350" s="23">
        <v>135</v>
      </c>
    </row>
    <row r="351" spans="1:16">
      <c r="A351" s="23">
        <v>960</v>
      </c>
      <c r="B351" s="24">
        <v>40586</v>
      </c>
      <c r="C351" s="23">
        <v>1</v>
      </c>
      <c r="D351" s="23">
        <v>0</v>
      </c>
      <c r="E351" s="23">
        <v>2</v>
      </c>
      <c r="F351" s="23">
        <v>14</v>
      </c>
      <c r="G351" s="23" t="b">
        <v>0</v>
      </c>
      <c r="H351" s="23">
        <v>6</v>
      </c>
      <c r="I351" s="23">
        <v>1</v>
      </c>
      <c r="J351" s="23">
        <v>0.34</v>
      </c>
      <c r="K351" s="23">
        <v>0.31819999999999998</v>
      </c>
      <c r="L351" s="23">
        <v>0.31</v>
      </c>
      <c r="M351" s="23">
        <v>0.28360000000000002</v>
      </c>
      <c r="N351" s="23">
        <v>30</v>
      </c>
      <c r="O351" s="23">
        <v>90</v>
      </c>
      <c r="P351" s="23">
        <v>120</v>
      </c>
    </row>
    <row r="352" spans="1:16">
      <c r="A352" s="23">
        <v>961</v>
      </c>
      <c r="B352" s="24">
        <v>40586</v>
      </c>
      <c r="C352" s="23">
        <v>1</v>
      </c>
      <c r="D352" s="23">
        <v>0</v>
      </c>
      <c r="E352" s="23">
        <v>2</v>
      </c>
      <c r="F352" s="23">
        <v>15</v>
      </c>
      <c r="G352" s="23" t="b">
        <v>0</v>
      </c>
      <c r="H352" s="23">
        <v>6</v>
      </c>
      <c r="I352" s="23">
        <v>1</v>
      </c>
      <c r="J352" s="23">
        <v>0.34</v>
      </c>
      <c r="K352" s="23">
        <v>0.30299999999999999</v>
      </c>
      <c r="L352" s="23">
        <v>0.28999999999999998</v>
      </c>
      <c r="M352" s="23">
        <v>0.41789999999999999</v>
      </c>
      <c r="N352" s="23">
        <v>47</v>
      </c>
      <c r="O352" s="23">
        <v>127</v>
      </c>
      <c r="P352" s="23">
        <v>174</v>
      </c>
    </row>
    <row r="353" spans="1:16">
      <c r="A353" s="23">
        <v>962</v>
      </c>
      <c r="B353" s="24">
        <v>40586</v>
      </c>
      <c r="C353" s="23">
        <v>1</v>
      </c>
      <c r="D353" s="23">
        <v>0</v>
      </c>
      <c r="E353" s="23">
        <v>2</v>
      </c>
      <c r="F353" s="23">
        <v>16</v>
      </c>
      <c r="G353" s="23" t="b">
        <v>0</v>
      </c>
      <c r="H353" s="23">
        <v>6</v>
      </c>
      <c r="I353" s="23">
        <v>1</v>
      </c>
      <c r="J353" s="23">
        <v>0.34</v>
      </c>
      <c r="K353" s="23">
        <v>0.30299999999999999</v>
      </c>
      <c r="L353" s="23">
        <v>0.28999999999999998</v>
      </c>
      <c r="M353" s="23">
        <v>0.41789999999999999</v>
      </c>
      <c r="N353" s="23">
        <v>42</v>
      </c>
      <c r="O353" s="23">
        <v>103</v>
      </c>
      <c r="P353" s="23">
        <v>145</v>
      </c>
    </row>
    <row r="354" spans="1:16">
      <c r="A354" s="23">
        <v>963</v>
      </c>
      <c r="B354" s="24">
        <v>40586</v>
      </c>
      <c r="C354" s="23">
        <v>1</v>
      </c>
      <c r="D354" s="23">
        <v>0</v>
      </c>
      <c r="E354" s="23">
        <v>2</v>
      </c>
      <c r="F354" s="23">
        <v>17</v>
      </c>
      <c r="G354" s="23" t="b">
        <v>0</v>
      </c>
      <c r="H354" s="23">
        <v>6</v>
      </c>
      <c r="I354" s="23">
        <v>1</v>
      </c>
      <c r="J354" s="23">
        <v>0.32</v>
      </c>
      <c r="K354" s="23">
        <v>0.28789999999999999</v>
      </c>
      <c r="L354" s="23">
        <v>0.31</v>
      </c>
      <c r="M354" s="23">
        <v>0.52239999999999998</v>
      </c>
      <c r="N354" s="23">
        <v>24</v>
      </c>
      <c r="O354" s="23">
        <v>113</v>
      </c>
      <c r="P354" s="23">
        <v>137</v>
      </c>
    </row>
    <row r="355" spans="1:16">
      <c r="A355" s="23">
        <v>964</v>
      </c>
      <c r="B355" s="24">
        <v>40586</v>
      </c>
      <c r="C355" s="23">
        <v>1</v>
      </c>
      <c r="D355" s="23">
        <v>0</v>
      </c>
      <c r="E355" s="23">
        <v>2</v>
      </c>
      <c r="F355" s="23">
        <v>18</v>
      </c>
      <c r="G355" s="23" t="b">
        <v>0</v>
      </c>
      <c r="H355" s="23">
        <v>6</v>
      </c>
      <c r="I355" s="23">
        <v>1</v>
      </c>
      <c r="J355" s="23">
        <v>0.28000000000000003</v>
      </c>
      <c r="K355" s="23">
        <v>0.2576</v>
      </c>
      <c r="L355" s="23">
        <v>0.38</v>
      </c>
      <c r="M355" s="23">
        <v>0.32840000000000003</v>
      </c>
      <c r="N355" s="23">
        <v>4</v>
      </c>
      <c r="O355" s="23">
        <v>60</v>
      </c>
      <c r="P355" s="23">
        <v>64</v>
      </c>
    </row>
    <row r="356" spans="1:16">
      <c r="A356" s="23">
        <v>965</v>
      </c>
      <c r="B356" s="24">
        <v>40586</v>
      </c>
      <c r="C356" s="23">
        <v>1</v>
      </c>
      <c r="D356" s="23">
        <v>0</v>
      </c>
      <c r="E356" s="23">
        <v>2</v>
      </c>
      <c r="F356" s="23">
        <v>19</v>
      </c>
      <c r="G356" s="23" t="b">
        <v>0</v>
      </c>
      <c r="H356" s="23">
        <v>6</v>
      </c>
      <c r="I356" s="23">
        <v>1</v>
      </c>
      <c r="J356" s="23">
        <v>0.28000000000000003</v>
      </c>
      <c r="K356" s="23">
        <v>0.2727</v>
      </c>
      <c r="L356" s="23">
        <v>0.38</v>
      </c>
      <c r="M356" s="23">
        <v>0.16420000000000001</v>
      </c>
      <c r="N356" s="23">
        <v>2</v>
      </c>
      <c r="O356" s="23">
        <v>39</v>
      </c>
      <c r="P356" s="23">
        <v>41</v>
      </c>
    </row>
    <row r="357" spans="1:16">
      <c r="A357" s="23">
        <v>966</v>
      </c>
      <c r="B357" s="24">
        <v>40586</v>
      </c>
      <c r="C357" s="23">
        <v>1</v>
      </c>
      <c r="D357" s="23">
        <v>0</v>
      </c>
      <c r="E357" s="23">
        <v>2</v>
      </c>
      <c r="F357" s="23">
        <v>20</v>
      </c>
      <c r="G357" s="23" t="b">
        <v>0</v>
      </c>
      <c r="H357" s="23">
        <v>6</v>
      </c>
      <c r="I357" s="23">
        <v>1</v>
      </c>
      <c r="J357" s="23">
        <v>0.26</v>
      </c>
      <c r="K357" s="23">
        <v>0.2576</v>
      </c>
      <c r="L357" s="23">
        <v>0.41</v>
      </c>
      <c r="M357" s="23">
        <v>0.22389999999999999</v>
      </c>
      <c r="N357" s="23">
        <v>1</v>
      </c>
      <c r="O357" s="23">
        <v>39</v>
      </c>
      <c r="P357" s="23">
        <v>40</v>
      </c>
    </row>
    <row r="358" spans="1:16">
      <c r="A358" s="23">
        <v>967</v>
      </c>
      <c r="B358" s="24">
        <v>40586</v>
      </c>
      <c r="C358" s="23">
        <v>1</v>
      </c>
      <c r="D358" s="23">
        <v>0</v>
      </c>
      <c r="E358" s="23">
        <v>2</v>
      </c>
      <c r="F358" s="23">
        <v>21</v>
      </c>
      <c r="G358" s="23" t="b">
        <v>0</v>
      </c>
      <c r="H358" s="23">
        <v>6</v>
      </c>
      <c r="I358" s="23">
        <v>1</v>
      </c>
      <c r="J358" s="23">
        <v>0.26</v>
      </c>
      <c r="K358" s="23">
        <v>0.30299999999999999</v>
      </c>
      <c r="L358" s="23">
        <v>0.41</v>
      </c>
      <c r="M358" s="23">
        <v>0</v>
      </c>
      <c r="N358" s="23">
        <v>9</v>
      </c>
      <c r="O358" s="23">
        <v>42</v>
      </c>
      <c r="P358" s="23">
        <v>51</v>
      </c>
    </row>
    <row r="359" spans="1:16">
      <c r="A359" s="23">
        <v>968</v>
      </c>
      <c r="B359" s="24">
        <v>40586</v>
      </c>
      <c r="C359" s="23">
        <v>1</v>
      </c>
      <c r="D359" s="23">
        <v>0</v>
      </c>
      <c r="E359" s="23">
        <v>2</v>
      </c>
      <c r="F359" s="23">
        <v>22</v>
      </c>
      <c r="G359" s="23" t="b">
        <v>0</v>
      </c>
      <c r="H359" s="23">
        <v>6</v>
      </c>
      <c r="I359" s="23">
        <v>1</v>
      </c>
      <c r="J359" s="23">
        <v>0.24</v>
      </c>
      <c r="K359" s="23">
        <v>0.2576</v>
      </c>
      <c r="L359" s="23">
        <v>0.44</v>
      </c>
      <c r="M359" s="23">
        <v>8.9599999999999999E-2</v>
      </c>
      <c r="N359" s="23">
        <v>6</v>
      </c>
      <c r="O359" s="23">
        <v>39</v>
      </c>
      <c r="P359" s="23">
        <v>45</v>
      </c>
    </row>
    <row r="360" spans="1:16">
      <c r="A360" s="23">
        <v>969</v>
      </c>
      <c r="B360" s="24">
        <v>40586</v>
      </c>
      <c r="C360" s="23">
        <v>1</v>
      </c>
      <c r="D360" s="23">
        <v>0</v>
      </c>
      <c r="E360" s="23">
        <v>2</v>
      </c>
      <c r="F360" s="23">
        <v>23</v>
      </c>
      <c r="G360" s="23" t="b">
        <v>0</v>
      </c>
      <c r="H360" s="23">
        <v>6</v>
      </c>
      <c r="I360" s="23">
        <v>1</v>
      </c>
      <c r="J360" s="23">
        <v>0.22</v>
      </c>
      <c r="K360" s="23">
        <v>0.2273</v>
      </c>
      <c r="L360" s="23">
        <v>0.51</v>
      </c>
      <c r="M360" s="23">
        <v>0.1343</v>
      </c>
      <c r="N360" s="23">
        <v>1</v>
      </c>
      <c r="O360" s="23">
        <v>31</v>
      </c>
      <c r="P360" s="23">
        <v>32</v>
      </c>
    </row>
    <row r="361" spans="1:16">
      <c r="A361" s="23">
        <v>970</v>
      </c>
      <c r="B361" s="24">
        <v>40587</v>
      </c>
      <c r="C361" s="23">
        <v>1</v>
      </c>
      <c r="D361" s="23">
        <v>0</v>
      </c>
      <c r="E361" s="23">
        <v>2</v>
      </c>
      <c r="F361" s="23">
        <v>0</v>
      </c>
      <c r="G361" s="23" t="b">
        <v>0</v>
      </c>
      <c r="H361" s="23">
        <v>0</v>
      </c>
      <c r="I361" s="23">
        <v>1</v>
      </c>
      <c r="J361" s="23">
        <v>0.2</v>
      </c>
      <c r="K361" s="23">
        <v>0.2273</v>
      </c>
      <c r="L361" s="23">
        <v>0.64</v>
      </c>
      <c r="M361" s="23">
        <v>0.1045</v>
      </c>
      <c r="N361" s="23">
        <v>5</v>
      </c>
      <c r="O361" s="23">
        <v>34</v>
      </c>
      <c r="P361" s="23">
        <v>39</v>
      </c>
    </row>
    <row r="362" spans="1:16">
      <c r="A362" s="23">
        <v>971</v>
      </c>
      <c r="B362" s="24">
        <v>40587</v>
      </c>
      <c r="C362" s="23">
        <v>1</v>
      </c>
      <c r="D362" s="23">
        <v>0</v>
      </c>
      <c r="E362" s="23">
        <v>2</v>
      </c>
      <c r="F362" s="23">
        <v>1</v>
      </c>
      <c r="G362" s="23" t="b">
        <v>0</v>
      </c>
      <c r="H362" s="23">
        <v>0</v>
      </c>
      <c r="I362" s="23">
        <v>1</v>
      </c>
      <c r="J362" s="23">
        <v>0.2</v>
      </c>
      <c r="K362" s="23">
        <v>0.2273</v>
      </c>
      <c r="L362" s="23">
        <v>0.59</v>
      </c>
      <c r="M362" s="23">
        <v>8.9599999999999999E-2</v>
      </c>
      <c r="N362" s="23">
        <v>1</v>
      </c>
      <c r="O362" s="23">
        <v>23</v>
      </c>
      <c r="P362" s="23">
        <v>24</v>
      </c>
    </row>
    <row r="363" spans="1:16">
      <c r="A363" s="23">
        <v>972</v>
      </c>
      <c r="B363" s="24">
        <v>40587</v>
      </c>
      <c r="C363" s="23">
        <v>1</v>
      </c>
      <c r="D363" s="23">
        <v>0</v>
      </c>
      <c r="E363" s="23">
        <v>2</v>
      </c>
      <c r="F363" s="23">
        <v>2</v>
      </c>
      <c r="G363" s="23" t="b">
        <v>0</v>
      </c>
      <c r="H363" s="23">
        <v>0</v>
      </c>
      <c r="I363" s="23">
        <v>2</v>
      </c>
      <c r="J363" s="23">
        <v>0.2</v>
      </c>
      <c r="K363" s="23">
        <v>0.2273</v>
      </c>
      <c r="L363" s="23">
        <v>0.75</v>
      </c>
      <c r="M363" s="23">
        <v>8.9599999999999999E-2</v>
      </c>
      <c r="N363" s="23">
        <v>1</v>
      </c>
      <c r="O363" s="23">
        <v>19</v>
      </c>
      <c r="P363" s="23">
        <v>20</v>
      </c>
    </row>
    <row r="364" spans="1:16">
      <c r="A364" s="23">
        <v>973</v>
      </c>
      <c r="B364" s="24">
        <v>40587</v>
      </c>
      <c r="C364" s="23">
        <v>1</v>
      </c>
      <c r="D364" s="23">
        <v>0</v>
      </c>
      <c r="E364" s="23">
        <v>2</v>
      </c>
      <c r="F364" s="23">
        <v>3</v>
      </c>
      <c r="G364" s="23" t="b">
        <v>0</v>
      </c>
      <c r="H364" s="23">
        <v>0</v>
      </c>
      <c r="I364" s="23">
        <v>2</v>
      </c>
      <c r="J364" s="23">
        <v>0.2</v>
      </c>
      <c r="K364" s="23">
        <v>0.2273</v>
      </c>
      <c r="L364" s="23">
        <v>0.69</v>
      </c>
      <c r="M364" s="23">
        <v>0.1045</v>
      </c>
      <c r="N364" s="23">
        <v>4</v>
      </c>
      <c r="O364" s="23">
        <v>8</v>
      </c>
      <c r="P364" s="23">
        <v>12</v>
      </c>
    </row>
    <row r="365" spans="1:16">
      <c r="A365" s="23">
        <v>974</v>
      </c>
      <c r="B365" s="24">
        <v>40587</v>
      </c>
      <c r="C365" s="23">
        <v>1</v>
      </c>
      <c r="D365" s="23">
        <v>0</v>
      </c>
      <c r="E365" s="23">
        <v>2</v>
      </c>
      <c r="F365" s="23">
        <v>4</v>
      </c>
      <c r="G365" s="23" t="b">
        <v>0</v>
      </c>
      <c r="H365" s="23">
        <v>0</v>
      </c>
      <c r="I365" s="23">
        <v>2</v>
      </c>
      <c r="J365" s="23">
        <v>0.2</v>
      </c>
      <c r="K365" s="23">
        <v>0.21210000000000001</v>
      </c>
      <c r="L365" s="23">
        <v>0.69</v>
      </c>
      <c r="M365" s="23">
        <v>0.16420000000000001</v>
      </c>
      <c r="N365" s="23">
        <v>0</v>
      </c>
      <c r="O365" s="23">
        <v>2</v>
      </c>
      <c r="P365" s="23">
        <v>2</v>
      </c>
    </row>
    <row r="366" spans="1:16">
      <c r="A366" s="23">
        <v>975</v>
      </c>
      <c r="B366" s="24">
        <v>40587</v>
      </c>
      <c r="C366" s="23">
        <v>1</v>
      </c>
      <c r="D366" s="23">
        <v>0</v>
      </c>
      <c r="E366" s="23">
        <v>2</v>
      </c>
      <c r="F366" s="23">
        <v>6</v>
      </c>
      <c r="G366" s="23" t="b">
        <v>0</v>
      </c>
      <c r="H366" s="23">
        <v>0</v>
      </c>
      <c r="I366" s="23">
        <v>2</v>
      </c>
      <c r="J366" s="23">
        <v>0.2</v>
      </c>
      <c r="K366" s="23">
        <v>0.21210000000000001</v>
      </c>
      <c r="L366" s="23">
        <v>0.69</v>
      </c>
      <c r="M366" s="23">
        <v>0.1343</v>
      </c>
      <c r="N366" s="23">
        <v>2</v>
      </c>
      <c r="O366" s="23">
        <v>3</v>
      </c>
      <c r="P366" s="23">
        <v>5</v>
      </c>
    </row>
    <row r="367" spans="1:16">
      <c r="A367" s="23">
        <v>976</v>
      </c>
      <c r="B367" s="24">
        <v>40587</v>
      </c>
      <c r="C367" s="23">
        <v>1</v>
      </c>
      <c r="D367" s="23">
        <v>0</v>
      </c>
      <c r="E367" s="23">
        <v>2</v>
      </c>
      <c r="F367" s="23">
        <v>7</v>
      </c>
      <c r="G367" s="23" t="b">
        <v>0</v>
      </c>
      <c r="H367" s="23">
        <v>0</v>
      </c>
      <c r="I367" s="23">
        <v>2</v>
      </c>
      <c r="J367" s="23">
        <v>0.22</v>
      </c>
      <c r="K367" s="23">
        <v>0.2727</v>
      </c>
      <c r="L367" s="23">
        <v>0.55000000000000004</v>
      </c>
      <c r="M367" s="23">
        <v>0</v>
      </c>
      <c r="N367" s="23">
        <v>0</v>
      </c>
      <c r="O367" s="23">
        <v>3</v>
      </c>
      <c r="P367" s="23">
        <v>3</v>
      </c>
    </row>
    <row r="368" spans="1:16">
      <c r="A368" s="23">
        <v>977</v>
      </c>
      <c r="B368" s="24">
        <v>40587</v>
      </c>
      <c r="C368" s="23">
        <v>1</v>
      </c>
      <c r="D368" s="23">
        <v>0</v>
      </c>
      <c r="E368" s="23">
        <v>2</v>
      </c>
      <c r="F368" s="23">
        <v>8</v>
      </c>
      <c r="G368" s="23" t="b">
        <v>0</v>
      </c>
      <c r="H368" s="23">
        <v>0</v>
      </c>
      <c r="I368" s="23">
        <v>2</v>
      </c>
      <c r="J368" s="23">
        <v>0.22</v>
      </c>
      <c r="K368" s="23">
        <v>0.2273</v>
      </c>
      <c r="L368" s="23">
        <v>0.64</v>
      </c>
      <c r="M368" s="23">
        <v>0.19400000000000001</v>
      </c>
      <c r="N368" s="23">
        <v>1</v>
      </c>
      <c r="O368" s="23">
        <v>11</v>
      </c>
      <c r="P368" s="23">
        <v>12</v>
      </c>
    </row>
    <row r="369" spans="1:16">
      <c r="A369" s="23">
        <v>978</v>
      </c>
      <c r="B369" s="24">
        <v>40587</v>
      </c>
      <c r="C369" s="23">
        <v>1</v>
      </c>
      <c r="D369" s="23">
        <v>0</v>
      </c>
      <c r="E369" s="23">
        <v>2</v>
      </c>
      <c r="F369" s="23">
        <v>9</v>
      </c>
      <c r="G369" s="23" t="b">
        <v>0</v>
      </c>
      <c r="H369" s="23">
        <v>0</v>
      </c>
      <c r="I369" s="23">
        <v>2</v>
      </c>
      <c r="J369" s="23">
        <v>0.24</v>
      </c>
      <c r="K369" s="23">
        <v>0.2273</v>
      </c>
      <c r="L369" s="23">
        <v>0.6</v>
      </c>
      <c r="M369" s="23">
        <v>0.22389999999999999</v>
      </c>
      <c r="N369" s="23">
        <v>12</v>
      </c>
      <c r="O369" s="23">
        <v>35</v>
      </c>
      <c r="P369" s="23">
        <v>47</v>
      </c>
    </row>
    <row r="370" spans="1:16">
      <c r="A370" s="23">
        <v>979</v>
      </c>
      <c r="B370" s="24">
        <v>40587</v>
      </c>
      <c r="C370" s="23">
        <v>1</v>
      </c>
      <c r="D370" s="23">
        <v>0</v>
      </c>
      <c r="E370" s="23">
        <v>2</v>
      </c>
      <c r="F370" s="23">
        <v>10</v>
      </c>
      <c r="G370" s="23" t="b">
        <v>0</v>
      </c>
      <c r="H370" s="23">
        <v>0</v>
      </c>
      <c r="I370" s="23">
        <v>1</v>
      </c>
      <c r="J370" s="23">
        <v>0.3</v>
      </c>
      <c r="K370" s="23">
        <v>0.2727</v>
      </c>
      <c r="L370" s="23">
        <v>0.45</v>
      </c>
      <c r="M370" s="23">
        <v>0.32840000000000003</v>
      </c>
      <c r="N370" s="23">
        <v>19</v>
      </c>
      <c r="O370" s="23">
        <v>86</v>
      </c>
      <c r="P370" s="23">
        <v>105</v>
      </c>
    </row>
    <row r="371" spans="1:16">
      <c r="A371" s="23">
        <v>980</v>
      </c>
      <c r="B371" s="24">
        <v>40587</v>
      </c>
      <c r="C371" s="23">
        <v>1</v>
      </c>
      <c r="D371" s="23">
        <v>0</v>
      </c>
      <c r="E371" s="23">
        <v>2</v>
      </c>
      <c r="F371" s="23">
        <v>11</v>
      </c>
      <c r="G371" s="23" t="b">
        <v>0</v>
      </c>
      <c r="H371" s="23">
        <v>0</v>
      </c>
      <c r="I371" s="23">
        <v>1</v>
      </c>
      <c r="J371" s="23">
        <v>0.32</v>
      </c>
      <c r="K371" s="23">
        <v>0.28789999999999999</v>
      </c>
      <c r="L371" s="23">
        <v>0.39</v>
      </c>
      <c r="M371" s="23">
        <v>0.44779999999999998</v>
      </c>
      <c r="N371" s="23">
        <v>26</v>
      </c>
      <c r="O371" s="23">
        <v>86</v>
      </c>
      <c r="P371" s="23">
        <v>112</v>
      </c>
    </row>
    <row r="372" spans="1:16">
      <c r="A372" s="23">
        <v>981</v>
      </c>
      <c r="B372" s="24">
        <v>40587</v>
      </c>
      <c r="C372" s="23">
        <v>1</v>
      </c>
      <c r="D372" s="23">
        <v>0</v>
      </c>
      <c r="E372" s="23">
        <v>2</v>
      </c>
      <c r="F372" s="23">
        <v>12</v>
      </c>
      <c r="G372" s="23" t="b">
        <v>0</v>
      </c>
      <c r="H372" s="23">
        <v>0</v>
      </c>
      <c r="I372" s="23">
        <v>1</v>
      </c>
      <c r="J372" s="23">
        <v>0.36</v>
      </c>
      <c r="K372" s="23">
        <v>0.31819999999999998</v>
      </c>
      <c r="L372" s="23">
        <v>0.32</v>
      </c>
      <c r="M372" s="23">
        <v>0.4627</v>
      </c>
      <c r="N372" s="23">
        <v>58</v>
      </c>
      <c r="O372" s="23">
        <v>94</v>
      </c>
      <c r="P372" s="23">
        <v>152</v>
      </c>
    </row>
    <row r="373" spans="1:16">
      <c r="A373" s="23">
        <v>982</v>
      </c>
      <c r="B373" s="24">
        <v>40587</v>
      </c>
      <c r="C373" s="23">
        <v>1</v>
      </c>
      <c r="D373" s="23">
        <v>0</v>
      </c>
      <c r="E373" s="23">
        <v>2</v>
      </c>
      <c r="F373" s="23">
        <v>13</v>
      </c>
      <c r="G373" s="23" t="b">
        <v>0</v>
      </c>
      <c r="H373" s="23">
        <v>0</v>
      </c>
      <c r="I373" s="23">
        <v>1</v>
      </c>
      <c r="J373" s="23">
        <v>0.38</v>
      </c>
      <c r="K373" s="23">
        <v>0.39389999999999997</v>
      </c>
      <c r="L373" s="23">
        <v>0.28999999999999998</v>
      </c>
      <c r="M373" s="23">
        <v>0.35820000000000002</v>
      </c>
      <c r="N373" s="23">
        <v>62</v>
      </c>
      <c r="O373" s="23">
        <v>92</v>
      </c>
      <c r="P373" s="23">
        <v>154</v>
      </c>
    </row>
    <row r="374" spans="1:16">
      <c r="A374" s="23">
        <v>983</v>
      </c>
      <c r="B374" s="24">
        <v>40587</v>
      </c>
      <c r="C374" s="23">
        <v>1</v>
      </c>
      <c r="D374" s="23">
        <v>0</v>
      </c>
      <c r="E374" s="23">
        <v>2</v>
      </c>
      <c r="F374" s="23">
        <v>14</v>
      </c>
      <c r="G374" s="23" t="b">
        <v>0</v>
      </c>
      <c r="H374" s="23">
        <v>0</v>
      </c>
      <c r="I374" s="23">
        <v>2</v>
      </c>
      <c r="J374" s="23">
        <v>0.4</v>
      </c>
      <c r="K374" s="23">
        <v>0.40910000000000002</v>
      </c>
      <c r="L374" s="23">
        <v>0.3</v>
      </c>
      <c r="M374" s="23">
        <v>0.41789999999999999</v>
      </c>
      <c r="N374" s="23">
        <v>51</v>
      </c>
      <c r="O374" s="23">
        <v>110</v>
      </c>
      <c r="P374" s="23">
        <v>161</v>
      </c>
    </row>
    <row r="375" spans="1:16">
      <c r="A375" s="23">
        <v>984</v>
      </c>
      <c r="B375" s="24">
        <v>40587</v>
      </c>
      <c r="C375" s="23">
        <v>1</v>
      </c>
      <c r="D375" s="23">
        <v>0</v>
      </c>
      <c r="E375" s="23">
        <v>2</v>
      </c>
      <c r="F375" s="23">
        <v>15</v>
      </c>
      <c r="G375" s="23" t="b">
        <v>0</v>
      </c>
      <c r="H375" s="23">
        <v>0</v>
      </c>
      <c r="I375" s="23">
        <v>2</v>
      </c>
      <c r="J375" s="23">
        <v>0.4</v>
      </c>
      <c r="K375" s="23">
        <v>0.40910000000000002</v>
      </c>
      <c r="L375" s="23">
        <v>0.3</v>
      </c>
      <c r="M375" s="23">
        <v>0.29849999999999999</v>
      </c>
      <c r="N375" s="23">
        <v>40</v>
      </c>
      <c r="O375" s="23">
        <v>122</v>
      </c>
      <c r="P375" s="23">
        <v>162</v>
      </c>
    </row>
    <row r="376" spans="1:16">
      <c r="A376" s="23">
        <v>985</v>
      </c>
      <c r="B376" s="24">
        <v>40587</v>
      </c>
      <c r="C376" s="23">
        <v>1</v>
      </c>
      <c r="D376" s="23">
        <v>0</v>
      </c>
      <c r="E376" s="23">
        <v>2</v>
      </c>
      <c r="F376" s="23">
        <v>16</v>
      </c>
      <c r="G376" s="23" t="b">
        <v>0</v>
      </c>
      <c r="H376" s="23">
        <v>0</v>
      </c>
      <c r="I376" s="23">
        <v>2</v>
      </c>
      <c r="J376" s="23">
        <v>0.42</v>
      </c>
      <c r="K376" s="23">
        <v>0.42420000000000002</v>
      </c>
      <c r="L376" s="23">
        <v>0.28000000000000003</v>
      </c>
      <c r="M376" s="23">
        <v>0.32840000000000003</v>
      </c>
      <c r="N376" s="23">
        <v>28</v>
      </c>
      <c r="O376" s="23">
        <v>106</v>
      </c>
      <c r="P376" s="23">
        <v>134</v>
      </c>
    </row>
    <row r="377" spans="1:16">
      <c r="A377" s="23">
        <v>986</v>
      </c>
      <c r="B377" s="24">
        <v>40587</v>
      </c>
      <c r="C377" s="23">
        <v>1</v>
      </c>
      <c r="D377" s="23">
        <v>0</v>
      </c>
      <c r="E377" s="23">
        <v>2</v>
      </c>
      <c r="F377" s="23">
        <v>17</v>
      </c>
      <c r="G377" s="23" t="b">
        <v>0</v>
      </c>
      <c r="H377" s="23">
        <v>0</v>
      </c>
      <c r="I377" s="23">
        <v>1</v>
      </c>
      <c r="J377" s="23">
        <v>0.42</v>
      </c>
      <c r="K377" s="23">
        <v>0.42420000000000002</v>
      </c>
      <c r="L377" s="23">
        <v>0.28000000000000003</v>
      </c>
      <c r="M377" s="23">
        <v>0.32840000000000003</v>
      </c>
      <c r="N377" s="23">
        <v>30</v>
      </c>
      <c r="O377" s="23">
        <v>95</v>
      </c>
      <c r="P377" s="23">
        <v>125</v>
      </c>
    </row>
    <row r="378" spans="1:16">
      <c r="A378" s="23">
        <v>987</v>
      </c>
      <c r="B378" s="24">
        <v>40587</v>
      </c>
      <c r="C378" s="23">
        <v>1</v>
      </c>
      <c r="D378" s="23">
        <v>0</v>
      </c>
      <c r="E378" s="23">
        <v>2</v>
      </c>
      <c r="F378" s="23">
        <v>18</v>
      </c>
      <c r="G378" s="23" t="b">
        <v>0</v>
      </c>
      <c r="H378" s="23">
        <v>0</v>
      </c>
      <c r="I378" s="23">
        <v>1</v>
      </c>
      <c r="J378" s="23">
        <v>0.4</v>
      </c>
      <c r="K378" s="23">
        <v>0.40910000000000002</v>
      </c>
      <c r="L378" s="23">
        <v>0.32</v>
      </c>
      <c r="M378" s="23">
        <v>0.29849999999999999</v>
      </c>
      <c r="N378" s="23">
        <v>17</v>
      </c>
      <c r="O378" s="23">
        <v>78</v>
      </c>
      <c r="P378" s="23">
        <v>95</v>
      </c>
    </row>
    <row r="379" spans="1:16">
      <c r="A379" s="23">
        <v>988</v>
      </c>
      <c r="B379" s="24">
        <v>40587</v>
      </c>
      <c r="C379" s="23">
        <v>1</v>
      </c>
      <c r="D379" s="23">
        <v>0</v>
      </c>
      <c r="E379" s="23">
        <v>2</v>
      </c>
      <c r="F379" s="23">
        <v>19</v>
      </c>
      <c r="G379" s="23" t="b">
        <v>0</v>
      </c>
      <c r="H379" s="23">
        <v>0</v>
      </c>
      <c r="I379" s="23">
        <v>1</v>
      </c>
      <c r="J379" s="23">
        <v>0.4</v>
      </c>
      <c r="K379" s="23">
        <v>0.40910000000000002</v>
      </c>
      <c r="L379" s="23">
        <v>0.35</v>
      </c>
      <c r="M379" s="23">
        <v>0.28360000000000002</v>
      </c>
      <c r="N379" s="23">
        <v>11</v>
      </c>
      <c r="O379" s="23">
        <v>50</v>
      </c>
      <c r="P379" s="23">
        <v>61</v>
      </c>
    </row>
    <row r="380" spans="1:16">
      <c r="A380" s="23">
        <v>989</v>
      </c>
      <c r="B380" s="24">
        <v>40587</v>
      </c>
      <c r="C380" s="23">
        <v>1</v>
      </c>
      <c r="D380" s="23">
        <v>0</v>
      </c>
      <c r="E380" s="23">
        <v>2</v>
      </c>
      <c r="F380" s="23">
        <v>20</v>
      </c>
      <c r="G380" s="23" t="b">
        <v>0</v>
      </c>
      <c r="H380" s="23">
        <v>0</v>
      </c>
      <c r="I380" s="23">
        <v>1</v>
      </c>
      <c r="J380" s="23">
        <v>0.4</v>
      </c>
      <c r="K380" s="23">
        <v>0.40910000000000002</v>
      </c>
      <c r="L380" s="23">
        <v>0.35</v>
      </c>
      <c r="M380" s="23">
        <v>0.32840000000000003</v>
      </c>
      <c r="N380" s="23">
        <v>15</v>
      </c>
      <c r="O380" s="23">
        <v>32</v>
      </c>
      <c r="P380" s="23">
        <v>47</v>
      </c>
    </row>
    <row r="381" spans="1:16">
      <c r="A381" s="23">
        <v>990</v>
      </c>
      <c r="B381" s="24">
        <v>40587</v>
      </c>
      <c r="C381" s="23">
        <v>1</v>
      </c>
      <c r="D381" s="23">
        <v>0</v>
      </c>
      <c r="E381" s="23">
        <v>2</v>
      </c>
      <c r="F381" s="23">
        <v>21</v>
      </c>
      <c r="G381" s="23" t="b">
        <v>0</v>
      </c>
      <c r="H381" s="23">
        <v>0</v>
      </c>
      <c r="I381" s="23">
        <v>1</v>
      </c>
      <c r="J381" s="23">
        <v>0.4</v>
      </c>
      <c r="K381" s="23">
        <v>0.40910000000000002</v>
      </c>
      <c r="L381" s="23">
        <v>0.35</v>
      </c>
      <c r="M381" s="23">
        <v>0.35820000000000002</v>
      </c>
      <c r="N381" s="23">
        <v>6</v>
      </c>
      <c r="O381" s="23">
        <v>45</v>
      </c>
      <c r="P381" s="23">
        <v>51</v>
      </c>
    </row>
    <row r="382" spans="1:16">
      <c r="A382" s="23">
        <v>991</v>
      </c>
      <c r="B382" s="24">
        <v>40587</v>
      </c>
      <c r="C382" s="23">
        <v>1</v>
      </c>
      <c r="D382" s="23">
        <v>0</v>
      </c>
      <c r="E382" s="23">
        <v>2</v>
      </c>
      <c r="F382" s="23">
        <v>22</v>
      </c>
      <c r="G382" s="23" t="b">
        <v>0</v>
      </c>
      <c r="H382" s="23">
        <v>0</v>
      </c>
      <c r="I382" s="23">
        <v>1</v>
      </c>
      <c r="J382" s="23">
        <v>0.4</v>
      </c>
      <c r="K382" s="23">
        <v>0.40910000000000002</v>
      </c>
      <c r="L382" s="23">
        <v>0.35</v>
      </c>
      <c r="M382" s="23">
        <v>0.29849999999999999</v>
      </c>
      <c r="N382" s="23">
        <v>5</v>
      </c>
      <c r="O382" s="23">
        <v>31</v>
      </c>
      <c r="P382" s="23">
        <v>36</v>
      </c>
    </row>
    <row r="383" spans="1:16">
      <c r="A383" s="23">
        <v>992</v>
      </c>
      <c r="B383" s="24">
        <v>40587</v>
      </c>
      <c r="C383" s="23">
        <v>1</v>
      </c>
      <c r="D383" s="23">
        <v>0</v>
      </c>
      <c r="E383" s="23">
        <v>2</v>
      </c>
      <c r="F383" s="23">
        <v>23</v>
      </c>
      <c r="G383" s="23" t="b">
        <v>0</v>
      </c>
      <c r="H383" s="23">
        <v>0</v>
      </c>
      <c r="I383" s="23">
        <v>1</v>
      </c>
      <c r="J383" s="23">
        <v>0.4</v>
      </c>
      <c r="K383" s="23">
        <v>0.40910000000000002</v>
      </c>
      <c r="L383" s="23">
        <v>0.35</v>
      </c>
      <c r="M383" s="23">
        <v>0.35820000000000002</v>
      </c>
      <c r="N383" s="23">
        <v>3</v>
      </c>
      <c r="O383" s="23">
        <v>27</v>
      </c>
      <c r="P383" s="23">
        <v>30</v>
      </c>
    </row>
    <row r="384" spans="1:16">
      <c r="A384" s="23">
        <v>993</v>
      </c>
      <c r="B384" s="24">
        <v>40588</v>
      </c>
      <c r="C384" s="23">
        <v>1</v>
      </c>
      <c r="D384" s="23">
        <v>0</v>
      </c>
      <c r="E384" s="23">
        <v>2</v>
      </c>
      <c r="F384" s="23">
        <v>0</v>
      </c>
      <c r="G384" s="23" t="b">
        <v>0</v>
      </c>
      <c r="H384" s="23">
        <v>1</v>
      </c>
      <c r="I384" s="23">
        <v>1</v>
      </c>
      <c r="J384" s="23">
        <v>0.38</v>
      </c>
      <c r="K384" s="23">
        <v>0.39389999999999997</v>
      </c>
      <c r="L384" s="23">
        <v>0.37</v>
      </c>
      <c r="M384" s="23">
        <v>0.35820000000000002</v>
      </c>
      <c r="N384" s="23">
        <v>3</v>
      </c>
      <c r="O384" s="23">
        <v>8</v>
      </c>
      <c r="P384" s="23">
        <v>11</v>
      </c>
    </row>
    <row r="385" spans="1:16">
      <c r="A385" s="23">
        <v>994</v>
      </c>
      <c r="B385" s="24">
        <v>40588</v>
      </c>
      <c r="C385" s="23">
        <v>1</v>
      </c>
      <c r="D385" s="23">
        <v>0</v>
      </c>
      <c r="E385" s="23">
        <v>2</v>
      </c>
      <c r="F385" s="23">
        <v>1</v>
      </c>
      <c r="G385" s="23" t="b">
        <v>0</v>
      </c>
      <c r="H385" s="23">
        <v>1</v>
      </c>
      <c r="I385" s="23">
        <v>1</v>
      </c>
      <c r="J385" s="23">
        <v>0.38</v>
      </c>
      <c r="K385" s="23">
        <v>0.39389999999999997</v>
      </c>
      <c r="L385" s="23">
        <v>0.37</v>
      </c>
      <c r="M385" s="23">
        <v>0.35820000000000002</v>
      </c>
      <c r="N385" s="23">
        <v>1</v>
      </c>
      <c r="O385" s="23">
        <v>6</v>
      </c>
      <c r="P385" s="23">
        <v>7</v>
      </c>
    </row>
    <row r="386" spans="1:16">
      <c r="A386" s="23">
        <v>995</v>
      </c>
      <c r="B386" s="24">
        <v>40588</v>
      </c>
      <c r="C386" s="23">
        <v>1</v>
      </c>
      <c r="D386" s="23">
        <v>0</v>
      </c>
      <c r="E386" s="23">
        <v>2</v>
      </c>
      <c r="F386" s="23">
        <v>2</v>
      </c>
      <c r="G386" s="23" t="b">
        <v>0</v>
      </c>
      <c r="H386" s="23">
        <v>1</v>
      </c>
      <c r="I386" s="23">
        <v>1</v>
      </c>
      <c r="J386" s="23">
        <v>0.36</v>
      </c>
      <c r="K386" s="23">
        <v>0.33329999999999999</v>
      </c>
      <c r="L386" s="23">
        <v>0.4</v>
      </c>
      <c r="M386" s="23">
        <v>0.29849999999999999</v>
      </c>
      <c r="N386" s="23">
        <v>0</v>
      </c>
      <c r="O386" s="23">
        <v>2</v>
      </c>
      <c r="P386" s="23">
        <v>2</v>
      </c>
    </row>
    <row r="387" spans="1:16">
      <c r="A387" s="23">
        <v>996</v>
      </c>
      <c r="B387" s="24">
        <v>40588</v>
      </c>
      <c r="C387" s="23">
        <v>1</v>
      </c>
      <c r="D387" s="23">
        <v>0</v>
      </c>
      <c r="E387" s="23">
        <v>2</v>
      </c>
      <c r="F387" s="23">
        <v>3</v>
      </c>
      <c r="G387" s="23" t="b">
        <v>0</v>
      </c>
      <c r="H387" s="23">
        <v>1</v>
      </c>
      <c r="I387" s="23">
        <v>1</v>
      </c>
      <c r="J387" s="23">
        <v>0.34</v>
      </c>
      <c r="K387" s="23">
        <v>0.31819999999999998</v>
      </c>
      <c r="L387" s="23">
        <v>0.46</v>
      </c>
      <c r="M387" s="23">
        <v>0.22389999999999999</v>
      </c>
      <c r="N387" s="23">
        <v>1</v>
      </c>
      <c r="O387" s="23">
        <v>1</v>
      </c>
      <c r="P387" s="23">
        <v>2</v>
      </c>
    </row>
    <row r="388" spans="1:16">
      <c r="A388" s="23">
        <v>997</v>
      </c>
      <c r="B388" s="24">
        <v>40588</v>
      </c>
      <c r="C388" s="23">
        <v>1</v>
      </c>
      <c r="D388" s="23">
        <v>0</v>
      </c>
      <c r="E388" s="23">
        <v>2</v>
      </c>
      <c r="F388" s="23">
        <v>4</v>
      </c>
      <c r="G388" s="23" t="b">
        <v>0</v>
      </c>
      <c r="H388" s="23">
        <v>1</v>
      </c>
      <c r="I388" s="23">
        <v>1</v>
      </c>
      <c r="J388" s="23">
        <v>0.32</v>
      </c>
      <c r="K388" s="23">
        <v>0.30299999999999999</v>
      </c>
      <c r="L388" s="23">
        <v>0.53</v>
      </c>
      <c r="M388" s="23">
        <v>0.28360000000000002</v>
      </c>
      <c r="N388" s="23">
        <v>0</v>
      </c>
      <c r="O388" s="23">
        <v>2</v>
      </c>
      <c r="P388" s="23">
        <v>2</v>
      </c>
    </row>
    <row r="389" spans="1:16">
      <c r="A389" s="23">
        <v>998</v>
      </c>
      <c r="B389" s="24">
        <v>40588</v>
      </c>
      <c r="C389" s="23">
        <v>1</v>
      </c>
      <c r="D389" s="23">
        <v>0</v>
      </c>
      <c r="E389" s="23">
        <v>2</v>
      </c>
      <c r="F389" s="23">
        <v>5</v>
      </c>
      <c r="G389" s="23" t="b">
        <v>0</v>
      </c>
      <c r="H389" s="23">
        <v>1</v>
      </c>
      <c r="I389" s="23">
        <v>1</v>
      </c>
      <c r="J389" s="23">
        <v>0.32</v>
      </c>
      <c r="K389" s="23">
        <v>0.30299999999999999</v>
      </c>
      <c r="L389" s="23">
        <v>0.53</v>
      </c>
      <c r="M389" s="23">
        <v>0.28360000000000002</v>
      </c>
      <c r="N389" s="23">
        <v>0</v>
      </c>
      <c r="O389" s="23">
        <v>3</v>
      </c>
      <c r="P389" s="23">
        <v>3</v>
      </c>
    </row>
    <row r="390" spans="1:16">
      <c r="A390" s="23">
        <v>999</v>
      </c>
      <c r="B390" s="24">
        <v>40588</v>
      </c>
      <c r="C390" s="23">
        <v>1</v>
      </c>
      <c r="D390" s="23">
        <v>0</v>
      </c>
      <c r="E390" s="23">
        <v>2</v>
      </c>
      <c r="F390" s="23">
        <v>6</v>
      </c>
      <c r="G390" s="23" t="b">
        <v>0</v>
      </c>
      <c r="H390" s="23">
        <v>1</v>
      </c>
      <c r="I390" s="23">
        <v>1</v>
      </c>
      <c r="J390" s="23">
        <v>0.34</v>
      </c>
      <c r="K390" s="23">
        <v>0.30299999999999999</v>
      </c>
      <c r="L390" s="23">
        <v>0.46</v>
      </c>
      <c r="M390" s="23">
        <v>0.29849999999999999</v>
      </c>
      <c r="N390" s="23">
        <v>1</v>
      </c>
      <c r="O390" s="23">
        <v>25</v>
      </c>
      <c r="P390" s="23">
        <v>26</v>
      </c>
    </row>
    <row r="391" spans="1:16">
      <c r="A391" s="23">
        <v>1000</v>
      </c>
      <c r="B391" s="24">
        <v>40588</v>
      </c>
      <c r="C391" s="23">
        <v>1</v>
      </c>
      <c r="D391" s="23">
        <v>0</v>
      </c>
      <c r="E391" s="23">
        <v>2</v>
      </c>
      <c r="F391" s="23">
        <v>7</v>
      </c>
      <c r="G391" s="23" t="b">
        <v>0</v>
      </c>
      <c r="H391" s="23">
        <v>1</v>
      </c>
      <c r="I391" s="23">
        <v>1</v>
      </c>
      <c r="J391" s="23">
        <v>0.34</v>
      </c>
      <c r="K391" s="23">
        <v>0.30299999999999999</v>
      </c>
      <c r="L391" s="23">
        <v>0.46</v>
      </c>
      <c r="M391" s="23">
        <v>0.29849999999999999</v>
      </c>
      <c r="N391" s="23">
        <v>2</v>
      </c>
      <c r="O391" s="23">
        <v>96</v>
      </c>
      <c r="P391" s="23">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34DA-14FB-4533-A987-248FA7607DDA}">
  <dimension ref="A3:C7"/>
  <sheetViews>
    <sheetView workbookViewId="0">
      <selection activeCell="A3" sqref="A3:C7"/>
    </sheetView>
  </sheetViews>
  <sheetFormatPr defaultRowHeight="14.4"/>
  <cols>
    <col min="1" max="1" width="15.109375" bestFit="1" customWidth="1"/>
    <col min="2" max="2" width="11.6640625" bestFit="1" customWidth="1"/>
    <col min="3" max="3" width="14.44140625" bestFit="1" customWidth="1"/>
  </cols>
  <sheetData>
    <row r="3" spans="1:3">
      <c r="A3" s="33" t="s">
        <v>164</v>
      </c>
      <c r="B3" t="s">
        <v>212</v>
      </c>
      <c r="C3" t="s">
        <v>213</v>
      </c>
    </row>
    <row r="4" spans="1:3">
      <c r="A4" s="34" t="s">
        <v>211</v>
      </c>
      <c r="B4" s="52">
        <v>53383</v>
      </c>
      <c r="C4" s="52">
        <v>53.383000000000003</v>
      </c>
    </row>
    <row r="5" spans="1:3">
      <c r="A5" s="34" t="s">
        <v>208</v>
      </c>
      <c r="B5" s="52">
        <v>4921</v>
      </c>
      <c r="C5" s="52">
        <v>4.9210000000000003</v>
      </c>
    </row>
    <row r="6" spans="1:3">
      <c r="A6" s="34" t="s">
        <v>105</v>
      </c>
      <c r="B6" s="52">
        <v>58304</v>
      </c>
      <c r="C6" s="52">
        <v>58.304000000000002</v>
      </c>
    </row>
    <row r="7" spans="1:3">
      <c r="A7" s="34" t="s">
        <v>148</v>
      </c>
      <c r="B7" s="52">
        <v>116608</v>
      </c>
      <c r="C7" s="52">
        <v>116.608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003"/>
  <sheetViews>
    <sheetView topLeftCell="A987" workbookViewId="0">
      <selection activeCell="U994" sqref="U994:W997"/>
    </sheetView>
  </sheetViews>
  <sheetFormatPr defaultRowHeight="14.4"/>
  <cols>
    <col min="1" max="1" width="8.33203125" customWidth="1"/>
    <col min="2" max="2" width="10.109375" bestFit="1" customWidth="1"/>
    <col min="3" max="3" width="8.33203125" customWidth="1"/>
    <col min="4" max="4" width="4.44140625" customWidth="1"/>
    <col min="5" max="5" width="7.109375" customWidth="1"/>
    <col min="6" max="6" width="4.5546875" customWidth="1"/>
    <col min="7" max="7" width="8.5546875" customWidth="1"/>
    <col min="8" max="8" width="10" customWidth="1"/>
    <col min="9" max="9" width="11.44140625" customWidth="1"/>
    <col min="10" max="10" width="7.109375" customWidth="1"/>
    <col min="11" max="11" width="8" customWidth="1"/>
    <col min="12" max="12" width="6.44140625" customWidth="1"/>
    <col min="13" max="13" width="11.5546875" customWidth="1"/>
    <col min="14" max="14" width="7.6640625" customWidth="1"/>
    <col min="15" max="15" width="11" customWidth="1"/>
    <col min="16" max="16" width="6" customWidth="1"/>
    <col min="21" max="21" width="19.44140625" bestFit="1" customWidth="1"/>
  </cols>
  <sheetData>
    <row r="1" spans="1:19">
      <c r="A1" s="46" t="s">
        <v>1</v>
      </c>
      <c r="B1" s="46" t="s">
        <v>40</v>
      </c>
      <c r="C1" s="46" t="s">
        <v>41</v>
      </c>
      <c r="D1" s="46" t="s">
        <v>42</v>
      </c>
      <c r="E1" s="46" t="s">
        <v>43</v>
      </c>
      <c r="F1" s="46" t="s">
        <v>44</v>
      </c>
      <c r="G1" s="46" t="s">
        <v>45</v>
      </c>
      <c r="H1" s="46" t="s">
        <v>46</v>
      </c>
      <c r="I1" s="46" t="s">
        <v>47</v>
      </c>
      <c r="J1" s="46" t="s">
        <v>48</v>
      </c>
      <c r="K1" s="46" t="s">
        <v>2</v>
      </c>
      <c r="L1" s="46" t="s">
        <v>3</v>
      </c>
      <c r="M1" s="46" t="s">
        <v>4</v>
      </c>
      <c r="N1" s="46" t="s">
        <v>5</v>
      </c>
      <c r="O1" s="46" t="s">
        <v>6</v>
      </c>
      <c r="P1" s="46" t="s">
        <v>7</v>
      </c>
      <c r="Q1" s="46" t="s">
        <v>207</v>
      </c>
      <c r="R1" s="46" t="s">
        <v>205</v>
      </c>
      <c r="S1" s="46" t="s">
        <v>206</v>
      </c>
    </row>
    <row r="2" spans="1:19">
      <c r="A2" s="4">
        <v>1</v>
      </c>
      <c r="B2" s="5">
        <v>40544</v>
      </c>
      <c r="C2" s="4">
        <v>1</v>
      </c>
      <c r="D2" s="4">
        <v>0</v>
      </c>
      <c r="E2" s="4">
        <v>1</v>
      </c>
      <c r="F2" s="4">
        <v>0</v>
      </c>
      <c r="G2" s="4" t="b">
        <v>0</v>
      </c>
      <c r="H2" s="4">
        <v>6</v>
      </c>
      <c r="I2" s="4">
        <v>1</v>
      </c>
      <c r="J2" s="4">
        <v>0.24</v>
      </c>
      <c r="K2" s="4">
        <v>0.28789999999999999</v>
      </c>
      <c r="L2" s="4">
        <v>0.81</v>
      </c>
      <c r="M2" s="4">
        <v>0</v>
      </c>
      <c r="N2" s="4">
        <v>3</v>
      </c>
      <c r="O2" s="4">
        <v>13</v>
      </c>
      <c r="P2" s="4">
        <v>16</v>
      </c>
      <c r="Q2" s="4">
        <f>SUBTOTAL(109,Table6[casual])</f>
        <v>4921</v>
      </c>
      <c r="R2" s="4">
        <f>SUBTOTAL(109,Table6[registered])</f>
        <v>53383</v>
      </c>
      <c r="S2" s="4">
        <f>SUBTOTAL(109,Table6[cnt])</f>
        <v>58304</v>
      </c>
    </row>
    <row r="3" spans="1:19">
      <c r="A3" s="4">
        <v>2</v>
      </c>
      <c r="B3" s="5">
        <v>40544</v>
      </c>
      <c r="C3" s="4">
        <v>1</v>
      </c>
      <c r="D3" s="4">
        <v>0</v>
      </c>
      <c r="E3" s="4">
        <v>1</v>
      </c>
      <c r="F3" s="4">
        <v>1</v>
      </c>
      <c r="G3" s="4" t="b">
        <v>0</v>
      </c>
      <c r="H3" s="4">
        <v>6</v>
      </c>
      <c r="I3" s="4">
        <v>1</v>
      </c>
      <c r="J3" s="4">
        <v>0.22</v>
      </c>
      <c r="K3" s="4">
        <v>0.2727</v>
      </c>
      <c r="L3" s="4">
        <v>0.8</v>
      </c>
      <c r="M3" s="4">
        <v>0</v>
      </c>
      <c r="N3" s="4">
        <v>8</v>
      </c>
      <c r="O3" s="4">
        <v>32</v>
      </c>
      <c r="P3" s="4">
        <v>40</v>
      </c>
      <c r="Q3" s="4">
        <f>SUBTOTAL(109,Table6[casual])</f>
        <v>4921</v>
      </c>
      <c r="R3" s="4">
        <f>SUBTOTAL(109,Table6[registered])</f>
        <v>53383</v>
      </c>
      <c r="S3" s="4">
        <f>SUBTOTAL(109,Table6[cnt])</f>
        <v>58304</v>
      </c>
    </row>
    <row r="4" spans="1:19">
      <c r="A4" s="4">
        <v>3</v>
      </c>
      <c r="B4" s="5">
        <v>40544</v>
      </c>
      <c r="C4" s="4">
        <v>1</v>
      </c>
      <c r="D4" s="4">
        <v>0</v>
      </c>
      <c r="E4" s="4">
        <v>1</v>
      </c>
      <c r="F4" s="4">
        <v>2</v>
      </c>
      <c r="G4" s="4" t="b">
        <v>0</v>
      </c>
      <c r="H4" s="4">
        <v>6</v>
      </c>
      <c r="I4" s="4">
        <v>1</v>
      </c>
      <c r="J4" s="4">
        <v>0.22</v>
      </c>
      <c r="K4" s="4">
        <v>0.2727</v>
      </c>
      <c r="L4" s="4">
        <v>0.8</v>
      </c>
      <c r="M4" s="4">
        <v>0</v>
      </c>
      <c r="N4" s="4">
        <v>5</v>
      </c>
      <c r="O4" s="4">
        <v>27</v>
      </c>
      <c r="P4" s="4">
        <v>32</v>
      </c>
      <c r="Q4" s="4">
        <f>SUBTOTAL(109,Table6[casual])</f>
        <v>4921</v>
      </c>
      <c r="R4" s="4">
        <f>SUBTOTAL(109,Table6[registered])</f>
        <v>53383</v>
      </c>
      <c r="S4" s="4">
        <f>SUBTOTAL(109,Table6[cnt])</f>
        <v>58304</v>
      </c>
    </row>
    <row r="5" spans="1:19">
      <c r="A5" s="4">
        <v>4</v>
      </c>
      <c r="B5" s="5">
        <v>40544</v>
      </c>
      <c r="C5" s="4">
        <v>1</v>
      </c>
      <c r="D5" s="4">
        <v>0</v>
      </c>
      <c r="E5" s="4">
        <v>1</v>
      </c>
      <c r="F5" s="4">
        <v>3</v>
      </c>
      <c r="G5" s="4" t="b">
        <v>0</v>
      </c>
      <c r="H5" s="4">
        <v>6</v>
      </c>
      <c r="I5" s="4">
        <v>1</v>
      </c>
      <c r="J5" s="4">
        <v>0.24</v>
      </c>
      <c r="K5" s="4">
        <v>0.28789999999999999</v>
      </c>
      <c r="L5" s="4">
        <v>0.75</v>
      </c>
      <c r="M5" s="4">
        <v>0</v>
      </c>
      <c r="N5" s="4">
        <v>3</v>
      </c>
      <c r="O5" s="4">
        <v>10</v>
      </c>
      <c r="P5" s="4">
        <v>13</v>
      </c>
      <c r="Q5" s="4">
        <f>SUBTOTAL(109,Table6[casual])</f>
        <v>4921</v>
      </c>
      <c r="R5" s="4">
        <f>SUBTOTAL(109,Table6[registered])</f>
        <v>53383</v>
      </c>
      <c r="S5" s="4">
        <f>SUBTOTAL(109,Table6[cnt])</f>
        <v>58304</v>
      </c>
    </row>
    <row r="6" spans="1:19">
      <c r="A6" s="4">
        <v>5</v>
      </c>
      <c r="B6" s="5">
        <v>40544</v>
      </c>
      <c r="C6" s="4">
        <v>1</v>
      </c>
      <c r="D6" s="4">
        <v>0</v>
      </c>
      <c r="E6" s="4">
        <v>1</v>
      </c>
      <c r="F6" s="4">
        <v>4</v>
      </c>
      <c r="G6" s="4" t="b">
        <v>0</v>
      </c>
      <c r="H6" s="4">
        <v>6</v>
      </c>
      <c r="I6" s="4">
        <v>1</v>
      </c>
      <c r="J6" s="4">
        <v>0.24</v>
      </c>
      <c r="K6" s="4">
        <v>0.28789999999999999</v>
      </c>
      <c r="L6" s="4">
        <v>0.75</v>
      </c>
      <c r="M6" s="4">
        <v>0</v>
      </c>
      <c r="N6" s="4">
        <v>0</v>
      </c>
      <c r="O6" s="4">
        <v>1</v>
      </c>
      <c r="P6" s="4">
        <v>1</v>
      </c>
      <c r="Q6" s="4">
        <f>SUBTOTAL(109,Table6[casual])</f>
        <v>4921</v>
      </c>
      <c r="R6" s="4">
        <f>SUBTOTAL(109,Table6[registered])</f>
        <v>53383</v>
      </c>
      <c r="S6" s="4">
        <f>SUBTOTAL(109,Table6[cnt])</f>
        <v>58304</v>
      </c>
    </row>
    <row r="7" spans="1:19">
      <c r="A7" s="4">
        <v>6</v>
      </c>
      <c r="B7" s="5">
        <v>40544</v>
      </c>
      <c r="C7" s="4">
        <v>1</v>
      </c>
      <c r="D7" s="4">
        <v>0</v>
      </c>
      <c r="E7" s="4">
        <v>1</v>
      </c>
      <c r="F7" s="4">
        <v>5</v>
      </c>
      <c r="G7" s="4" t="b">
        <v>0</v>
      </c>
      <c r="H7" s="4">
        <v>6</v>
      </c>
      <c r="I7" s="4">
        <v>2</v>
      </c>
      <c r="J7" s="4">
        <v>0.24</v>
      </c>
      <c r="K7" s="4">
        <v>0.2576</v>
      </c>
      <c r="L7" s="4">
        <v>0.75</v>
      </c>
      <c r="M7" s="4">
        <v>8.9599999999999999E-2</v>
      </c>
      <c r="N7" s="4">
        <v>0</v>
      </c>
      <c r="O7" s="4">
        <v>1</v>
      </c>
      <c r="P7" s="4">
        <v>1</v>
      </c>
      <c r="Q7" s="4">
        <f>SUBTOTAL(109,Table6[casual])</f>
        <v>4921</v>
      </c>
      <c r="R7" s="4">
        <f>SUBTOTAL(109,Table6[registered])</f>
        <v>53383</v>
      </c>
      <c r="S7" s="4">
        <f>SUBTOTAL(109,Table6[cnt])</f>
        <v>58304</v>
      </c>
    </row>
    <row r="8" spans="1:19">
      <c r="A8" s="4">
        <v>7</v>
      </c>
      <c r="B8" s="5">
        <v>40544</v>
      </c>
      <c r="C8" s="4">
        <v>1</v>
      </c>
      <c r="D8" s="4">
        <v>0</v>
      </c>
      <c r="E8" s="4">
        <v>1</v>
      </c>
      <c r="F8" s="4">
        <v>6</v>
      </c>
      <c r="G8" s="4" t="b">
        <v>0</v>
      </c>
      <c r="H8" s="4">
        <v>6</v>
      </c>
      <c r="I8" s="4">
        <v>1</v>
      </c>
      <c r="J8" s="4">
        <v>0.22</v>
      </c>
      <c r="K8" s="4">
        <v>0.2727</v>
      </c>
      <c r="L8" s="4">
        <v>0.8</v>
      </c>
      <c r="M8" s="4">
        <v>0</v>
      </c>
      <c r="N8" s="4">
        <v>2</v>
      </c>
      <c r="O8" s="4">
        <v>0</v>
      </c>
      <c r="P8" s="4">
        <v>2</v>
      </c>
      <c r="Q8" s="4">
        <f>SUBTOTAL(109,Table6[casual])</f>
        <v>4921</v>
      </c>
      <c r="R8" s="4">
        <f>SUBTOTAL(109,Table6[registered])</f>
        <v>53383</v>
      </c>
      <c r="S8" s="4">
        <f>SUBTOTAL(109,Table6[cnt])</f>
        <v>58304</v>
      </c>
    </row>
    <row r="9" spans="1:19">
      <c r="A9" s="4">
        <v>8</v>
      </c>
      <c r="B9" s="5">
        <v>40544</v>
      </c>
      <c r="C9" s="4">
        <v>1</v>
      </c>
      <c r="D9" s="4">
        <v>0</v>
      </c>
      <c r="E9" s="4">
        <v>1</v>
      </c>
      <c r="F9" s="4">
        <v>7</v>
      </c>
      <c r="G9" s="4" t="b">
        <v>0</v>
      </c>
      <c r="H9" s="4">
        <v>6</v>
      </c>
      <c r="I9" s="4">
        <v>1</v>
      </c>
      <c r="J9" s="4">
        <v>0.2</v>
      </c>
      <c r="K9" s="4">
        <v>0.2576</v>
      </c>
      <c r="L9" s="4">
        <v>0.86</v>
      </c>
      <c r="M9" s="4">
        <v>0</v>
      </c>
      <c r="N9" s="4">
        <v>1</v>
      </c>
      <c r="O9" s="4">
        <v>2</v>
      </c>
      <c r="P9" s="4">
        <v>3</v>
      </c>
      <c r="Q9" s="4">
        <f>SUBTOTAL(109,Table6[casual])</f>
        <v>4921</v>
      </c>
      <c r="R9" s="4">
        <f>SUBTOTAL(109,Table6[registered])</f>
        <v>53383</v>
      </c>
      <c r="S9" s="4">
        <f>SUBTOTAL(109,Table6[cnt])</f>
        <v>58304</v>
      </c>
    </row>
    <row r="10" spans="1:19">
      <c r="A10" s="4">
        <v>9</v>
      </c>
      <c r="B10" s="5">
        <v>40544</v>
      </c>
      <c r="C10" s="4">
        <v>1</v>
      </c>
      <c r="D10" s="4">
        <v>0</v>
      </c>
      <c r="E10" s="4">
        <v>1</v>
      </c>
      <c r="F10" s="4">
        <v>8</v>
      </c>
      <c r="G10" s="4" t="b">
        <v>0</v>
      </c>
      <c r="H10" s="4">
        <v>6</v>
      </c>
      <c r="I10" s="4">
        <v>1</v>
      </c>
      <c r="J10" s="4">
        <v>0.24</v>
      </c>
      <c r="K10" s="4"/>
      <c r="L10" s="4">
        <v>0.75</v>
      </c>
      <c r="M10" s="4">
        <v>0</v>
      </c>
      <c r="N10" s="4">
        <v>1</v>
      </c>
      <c r="O10" s="4">
        <v>7</v>
      </c>
      <c r="P10" s="4">
        <v>8</v>
      </c>
      <c r="Q10" s="4">
        <f>SUBTOTAL(109,Table6[casual])</f>
        <v>4921</v>
      </c>
      <c r="R10" s="4">
        <f>SUBTOTAL(109,Table6[registered])</f>
        <v>53383</v>
      </c>
      <c r="S10" s="4">
        <f>SUBTOTAL(109,Table6[cnt])</f>
        <v>58304</v>
      </c>
    </row>
    <row r="11" spans="1:19">
      <c r="A11" s="4">
        <v>10</v>
      </c>
      <c r="B11" s="5">
        <v>40544</v>
      </c>
      <c r="C11" s="4">
        <v>1</v>
      </c>
      <c r="D11" s="4">
        <v>0</v>
      </c>
      <c r="E11" s="4">
        <v>1</v>
      </c>
      <c r="F11" s="4">
        <v>9</v>
      </c>
      <c r="G11" s="4" t="b">
        <v>0</v>
      </c>
      <c r="H11" s="4">
        <v>6</v>
      </c>
      <c r="I11" s="4">
        <v>1</v>
      </c>
      <c r="J11" s="4">
        <v>0.32</v>
      </c>
      <c r="K11" s="4">
        <v>0.34849999999999998</v>
      </c>
      <c r="L11" s="4">
        <v>0.76</v>
      </c>
      <c r="M11" s="4">
        <v>0</v>
      </c>
      <c r="N11" s="4">
        <v>8</v>
      </c>
      <c r="O11" s="4">
        <v>6</v>
      </c>
      <c r="P11" s="4">
        <v>14</v>
      </c>
      <c r="Q11" s="4">
        <f>SUBTOTAL(109,Table6[casual])</f>
        <v>4921</v>
      </c>
      <c r="R11" s="4">
        <f>SUBTOTAL(109,Table6[registered])</f>
        <v>53383</v>
      </c>
      <c r="S11" s="4">
        <f>SUBTOTAL(109,Table6[cnt])</f>
        <v>58304</v>
      </c>
    </row>
    <row r="12" spans="1:19">
      <c r="A12" s="4">
        <v>11</v>
      </c>
      <c r="B12" s="5">
        <v>40544</v>
      </c>
      <c r="C12" s="4">
        <v>1</v>
      </c>
      <c r="D12" s="4">
        <v>0</v>
      </c>
      <c r="E12" s="4">
        <v>1</v>
      </c>
      <c r="F12" s="4">
        <v>10</v>
      </c>
      <c r="G12" s="4" t="b">
        <v>0</v>
      </c>
      <c r="H12" s="4">
        <v>6</v>
      </c>
      <c r="I12" s="4">
        <v>1</v>
      </c>
      <c r="J12" s="4">
        <v>0.38</v>
      </c>
      <c r="K12" s="4">
        <v>0.39389999999999997</v>
      </c>
      <c r="L12" s="4">
        <v>0.76</v>
      </c>
      <c r="M12" s="4">
        <v>0.25369999999999998</v>
      </c>
      <c r="N12" s="4">
        <v>12</v>
      </c>
      <c r="O12" s="4">
        <v>24</v>
      </c>
      <c r="P12" s="4">
        <v>36</v>
      </c>
      <c r="Q12" s="4">
        <f>SUBTOTAL(109,Table6[casual])</f>
        <v>4921</v>
      </c>
      <c r="R12" s="4">
        <f>SUBTOTAL(109,Table6[registered])</f>
        <v>53383</v>
      </c>
      <c r="S12" s="4">
        <f>SUBTOTAL(109,Table6[cnt])</f>
        <v>58304</v>
      </c>
    </row>
    <row r="13" spans="1:19">
      <c r="A13" s="4">
        <v>12</v>
      </c>
      <c r="B13" s="5">
        <v>40544</v>
      </c>
      <c r="C13" s="4">
        <v>1</v>
      </c>
      <c r="D13" s="4">
        <v>0</v>
      </c>
      <c r="E13" s="4">
        <v>1</v>
      </c>
      <c r="F13" s="4">
        <v>11</v>
      </c>
      <c r="G13" s="4" t="b">
        <v>0</v>
      </c>
      <c r="H13" s="4">
        <v>6</v>
      </c>
      <c r="I13" s="4">
        <v>1</v>
      </c>
      <c r="J13" s="4">
        <v>0.36</v>
      </c>
      <c r="K13" s="4">
        <v>0.33329999999999999</v>
      </c>
      <c r="L13" s="4">
        <v>0.81</v>
      </c>
      <c r="M13" s="4">
        <v>0.28360000000000002</v>
      </c>
      <c r="N13" s="4">
        <v>26</v>
      </c>
      <c r="O13" s="4">
        <v>30</v>
      </c>
      <c r="P13" s="4">
        <v>56</v>
      </c>
      <c r="Q13" s="4">
        <f>SUBTOTAL(109,Table6[casual])</f>
        <v>4921</v>
      </c>
      <c r="R13" s="4">
        <f>SUBTOTAL(109,Table6[registered])</f>
        <v>53383</v>
      </c>
      <c r="S13" s="4">
        <f>SUBTOTAL(109,Table6[cnt])</f>
        <v>58304</v>
      </c>
    </row>
    <row r="14" spans="1:19">
      <c r="A14" s="4">
        <v>13</v>
      </c>
      <c r="B14" s="5">
        <v>40544</v>
      </c>
      <c r="C14" s="4">
        <v>1</v>
      </c>
      <c r="D14" s="4">
        <v>0</v>
      </c>
      <c r="E14" s="4">
        <v>1</v>
      </c>
      <c r="F14" s="4">
        <v>12</v>
      </c>
      <c r="G14" s="4" t="b">
        <v>0</v>
      </c>
      <c r="H14" s="4">
        <v>6</v>
      </c>
      <c r="I14" s="4">
        <v>1</v>
      </c>
      <c r="J14" s="4">
        <v>0.42</v>
      </c>
      <c r="K14" s="4">
        <v>0.42420000000000002</v>
      </c>
      <c r="L14" s="4">
        <v>0.77</v>
      </c>
      <c r="M14" s="4">
        <v>0.28360000000000002</v>
      </c>
      <c r="N14" s="4">
        <v>29</v>
      </c>
      <c r="O14" s="4">
        <v>55</v>
      </c>
      <c r="P14" s="4">
        <v>84</v>
      </c>
      <c r="Q14" s="4">
        <f>SUBTOTAL(109,Table6[casual])</f>
        <v>4921</v>
      </c>
      <c r="R14" s="4">
        <f>SUBTOTAL(109,Table6[registered])</f>
        <v>53383</v>
      </c>
      <c r="S14" s="4">
        <f>SUBTOTAL(109,Table6[cnt])</f>
        <v>58304</v>
      </c>
    </row>
    <row r="15" spans="1:19">
      <c r="A15" s="4">
        <v>14</v>
      </c>
      <c r="B15" s="5">
        <v>40544</v>
      </c>
      <c r="C15" s="4">
        <v>1</v>
      </c>
      <c r="D15" s="4">
        <v>0</v>
      </c>
      <c r="E15" s="4">
        <v>1</v>
      </c>
      <c r="F15" s="4">
        <v>13</v>
      </c>
      <c r="G15" s="4" t="b">
        <v>0</v>
      </c>
      <c r="H15" s="4">
        <v>6</v>
      </c>
      <c r="I15" s="4">
        <v>2</v>
      </c>
      <c r="J15" s="4">
        <v>0.46</v>
      </c>
      <c r="K15" s="4">
        <v>0.45450000000000002</v>
      </c>
      <c r="L15" s="4">
        <v>0.72</v>
      </c>
      <c r="M15" s="4">
        <v>0.29849999999999999</v>
      </c>
      <c r="N15" s="4">
        <v>47</v>
      </c>
      <c r="O15" s="4">
        <v>47</v>
      </c>
      <c r="P15" s="4">
        <v>94</v>
      </c>
      <c r="Q15" s="4">
        <f>SUBTOTAL(109,Table6[casual])</f>
        <v>4921</v>
      </c>
      <c r="R15" s="4">
        <f>SUBTOTAL(109,Table6[registered])</f>
        <v>53383</v>
      </c>
      <c r="S15" s="4">
        <f>SUBTOTAL(109,Table6[cnt])</f>
        <v>58304</v>
      </c>
    </row>
    <row r="16" spans="1:19">
      <c r="A16" s="4">
        <v>15</v>
      </c>
      <c r="B16" s="5">
        <v>40544</v>
      </c>
      <c r="C16" s="4">
        <v>1</v>
      </c>
      <c r="D16" s="4">
        <v>0</v>
      </c>
      <c r="E16" s="4">
        <v>1</v>
      </c>
      <c r="F16" s="4">
        <v>14</v>
      </c>
      <c r="G16" s="4" t="b">
        <v>0</v>
      </c>
      <c r="H16" s="4">
        <v>6</v>
      </c>
      <c r="I16" s="4">
        <v>2</v>
      </c>
      <c r="J16" s="4">
        <v>0.46</v>
      </c>
      <c r="K16" s="4">
        <v>0.45450000000000002</v>
      </c>
      <c r="L16" s="4">
        <v>0.72</v>
      </c>
      <c r="M16" s="4">
        <v>0.28360000000000002</v>
      </c>
      <c r="N16" s="4">
        <v>35</v>
      </c>
      <c r="O16" s="4">
        <v>71</v>
      </c>
      <c r="P16" s="4">
        <v>106</v>
      </c>
      <c r="Q16" s="4">
        <f>SUBTOTAL(109,Table6[casual])</f>
        <v>4921</v>
      </c>
      <c r="R16" s="4">
        <f>SUBTOTAL(109,Table6[registered])</f>
        <v>53383</v>
      </c>
      <c r="S16" s="4">
        <f>SUBTOTAL(109,Table6[cnt])</f>
        <v>58304</v>
      </c>
    </row>
    <row r="17" spans="1:19">
      <c r="A17" s="4">
        <v>16</v>
      </c>
      <c r="B17" s="5">
        <v>40544</v>
      </c>
      <c r="C17" s="4">
        <v>1</v>
      </c>
      <c r="D17" s="4">
        <v>0</v>
      </c>
      <c r="E17" s="4">
        <v>1</v>
      </c>
      <c r="F17" s="4">
        <v>15</v>
      </c>
      <c r="G17" s="4" t="b">
        <v>0</v>
      </c>
      <c r="H17" s="4">
        <v>6</v>
      </c>
      <c r="I17" s="4">
        <v>2</v>
      </c>
      <c r="J17" s="4">
        <v>0.44</v>
      </c>
      <c r="K17" s="4">
        <v>0.43940000000000001</v>
      </c>
      <c r="L17" s="4">
        <v>0.77</v>
      </c>
      <c r="M17" s="4">
        <v>0.29849999999999999</v>
      </c>
      <c r="N17" s="4">
        <v>40</v>
      </c>
      <c r="O17" s="4">
        <v>70</v>
      </c>
      <c r="P17" s="4">
        <v>110</v>
      </c>
      <c r="Q17" s="4">
        <f>SUBTOTAL(109,Table6[casual])</f>
        <v>4921</v>
      </c>
      <c r="R17" s="4">
        <f>SUBTOTAL(109,Table6[registered])</f>
        <v>53383</v>
      </c>
      <c r="S17" s="4">
        <f>SUBTOTAL(109,Table6[cnt])</f>
        <v>58304</v>
      </c>
    </row>
    <row r="18" spans="1:19">
      <c r="A18" s="4">
        <v>17</v>
      </c>
      <c r="B18" s="5">
        <v>40544</v>
      </c>
      <c r="C18" s="4">
        <v>1</v>
      </c>
      <c r="D18" s="4">
        <v>0</v>
      </c>
      <c r="E18" s="4">
        <v>1</v>
      </c>
      <c r="F18" s="4">
        <v>16</v>
      </c>
      <c r="G18" s="4" t="b">
        <v>0</v>
      </c>
      <c r="H18" s="4">
        <v>6</v>
      </c>
      <c r="I18" s="4">
        <v>2</v>
      </c>
      <c r="J18" s="4">
        <v>0.42</v>
      </c>
      <c r="K18" s="4">
        <v>0.42420000000000002</v>
      </c>
      <c r="L18" s="4">
        <v>0.82</v>
      </c>
      <c r="M18" s="4">
        <v>0.29849999999999999</v>
      </c>
      <c r="N18" s="4">
        <v>41</v>
      </c>
      <c r="O18" s="4">
        <v>52</v>
      </c>
      <c r="P18" s="4">
        <v>93</v>
      </c>
      <c r="Q18" s="4">
        <f>SUBTOTAL(109,Table6[casual])</f>
        <v>4921</v>
      </c>
      <c r="R18" s="4">
        <f>SUBTOTAL(109,Table6[registered])</f>
        <v>53383</v>
      </c>
      <c r="S18" s="4">
        <f>SUBTOTAL(109,Table6[cnt])</f>
        <v>58304</v>
      </c>
    </row>
    <row r="19" spans="1:19">
      <c r="A19" s="4">
        <v>18</v>
      </c>
      <c r="B19" s="5">
        <v>40544</v>
      </c>
      <c r="C19" s="4">
        <v>1</v>
      </c>
      <c r="D19" s="4">
        <v>0</v>
      </c>
      <c r="E19" s="4">
        <v>1</v>
      </c>
      <c r="F19" s="4">
        <v>17</v>
      </c>
      <c r="G19" s="4" t="b">
        <v>0</v>
      </c>
      <c r="H19" s="4">
        <v>6</v>
      </c>
      <c r="I19" s="4">
        <v>2</v>
      </c>
      <c r="J19" s="4">
        <v>0.44</v>
      </c>
      <c r="K19" s="4"/>
      <c r="L19" s="4">
        <v>0.82</v>
      </c>
      <c r="M19" s="4">
        <v>0.28360000000000002</v>
      </c>
      <c r="N19" s="4">
        <v>15</v>
      </c>
      <c r="O19" s="4">
        <v>52</v>
      </c>
      <c r="P19" s="4">
        <v>67</v>
      </c>
      <c r="Q19" s="4">
        <f>SUBTOTAL(109,Table6[casual])</f>
        <v>4921</v>
      </c>
      <c r="R19" s="4">
        <f>SUBTOTAL(109,Table6[registered])</f>
        <v>53383</v>
      </c>
      <c r="S19" s="4">
        <f>SUBTOTAL(109,Table6[cnt])</f>
        <v>58304</v>
      </c>
    </row>
    <row r="20" spans="1:19">
      <c r="A20" s="4">
        <v>19</v>
      </c>
      <c r="B20" s="5">
        <v>40544</v>
      </c>
      <c r="C20" s="4">
        <v>1</v>
      </c>
      <c r="D20" s="4">
        <v>0</v>
      </c>
      <c r="E20" s="4">
        <v>1</v>
      </c>
      <c r="F20" s="4">
        <v>18</v>
      </c>
      <c r="G20" s="4" t="b">
        <v>0</v>
      </c>
      <c r="H20" s="4">
        <v>6</v>
      </c>
      <c r="I20" s="4">
        <v>3</v>
      </c>
      <c r="J20" s="4">
        <v>0.42</v>
      </c>
      <c r="K20" s="4">
        <v>0.42420000000000002</v>
      </c>
      <c r="L20" s="4">
        <v>0.88</v>
      </c>
      <c r="M20" s="4">
        <v>0.25369999999999998</v>
      </c>
      <c r="N20" s="4">
        <v>9</v>
      </c>
      <c r="O20" s="4">
        <v>26</v>
      </c>
      <c r="P20" s="4">
        <v>35</v>
      </c>
      <c r="Q20" s="4">
        <f>SUBTOTAL(109,Table6[casual])</f>
        <v>4921</v>
      </c>
      <c r="R20" s="4">
        <f>SUBTOTAL(109,Table6[registered])</f>
        <v>53383</v>
      </c>
      <c r="S20" s="4">
        <f>SUBTOTAL(109,Table6[cnt])</f>
        <v>58304</v>
      </c>
    </row>
    <row r="21" spans="1:19">
      <c r="A21" s="4">
        <v>20</v>
      </c>
      <c r="B21" s="5">
        <v>40544</v>
      </c>
      <c r="C21" s="4">
        <v>1</v>
      </c>
      <c r="D21" s="4">
        <v>0</v>
      </c>
      <c r="E21" s="4">
        <v>1</v>
      </c>
      <c r="F21" s="4">
        <v>19</v>
      </c>
      <c r="G21" s="4" t="b">
        <v>0</v>
      </c>
      <c r="H21" s="4">
        <v>6</v>
      </c>
      <c r="I21" s="4">
        <v>3</v>
      </c>
      <c r="J21" s="4">
        <v>0.42</v>
      </c>
      <c r="K21" s="4">
        <v>0.42420000000000002</v>
      </c>
      <c r="L21" s="4">
        <v>0.88</v>
      </c>
      <c r="M21" s="4">
        <v>0.25369999999999998</v>
      </c>
      <c r="N21" s="4">
        <v>6</v>
      </c>
      <c r="O21" s="4">
        <v>31</v>
      </c>
      <c r="P21" s="4">
        <v>37</v>
      </c>
      <c r="Q21" s="4">
        <f>SUBTOTAL(109,Table6[casual])</f>
        <v>4921</v>
      </c>
      <c r="R21" s="4">
        <f>SUBTOTAL(109,Table6[registered])</f>
        <v>53383</v>
      </c>
      <c r="S21" s="4">
        <f>SUBTOTAL(109,Table6[cnt])</f>
        <v>58304</v>
      </c>
    </row>
    <row r="22" spans="1:19">
      <c r="A22" s="4">
        <v>21</v>
      </c>
      <c r="B22" s="5">
        <v>40544</v>
      </c>
      <c r="C22" s="4">
        <v>1</v>
      </c>
      <c r="D22" s="4">
        <v>0</v>
      </c>
      <c r="E22" s="4">
        <v>1</v>
      </c>
      <c r="F22" s="4">
        <v>20</v>
      </c>
      <c r="G22" s="4" t="b">
        <v>0</v>
      </c>
      <c r="H22" s="4">
        <v>6</v>
      </c>
      <c r="I22" s="4">
        <v>2</v>
      </c>
      <c r="J22" s="4">
        <v>0.4</v>
      </c>
      <c r="K22" s="4">
        <v>0.40910000000000002</v>
      </c>
      <c r="L22" s="4">
        <v>0.87</v>
      </c>
      <c r="M22" s="4">
        <v>0.25369999999999998</v>
      </c>
      <c r="N22" s="4">
        <v>11</v>
      </c>
      <c r="O22" s="4">
        <v>25</v>
      </c>
      <c r="P22" s="4">
        <v>36</v>
      </c>
      <c r="Q22" s="4">
        <f>SUBTOTAL(109,Table6[casual])</f>
        <v>4921</v>
      </c>
      <c r="R22" s="4">
        <f>SUBTOTAL(109,Table6[registered])</f>
        <v>53383</v>
      </c>
      <c r="S22" s="4">
        <f>SUBTOTAL(109,Table6[cnt])</f>
        <v>58304</v>
      </c>
    </row>
    <row r="23" spans="1:19">
      <c r="A23" s="4">
        <v>22</v>
      </c>
      <c r="B23" s="5">
        <v>40544</v>
      </c>
      <c r="C23" s="4">
        <v>1</v>
      </c>
      <c r="D23" s="4">
        <v>0</v>
      </c>
      <c r="E23" s="4">
        <v>1</v>
      </c>
      <c r="F23" s="4">
        <v>21</v>
      </c>
      <c r="G23" s="4" t="b">
        <v>0</v>
      </c>
      <c r="H23" s="4">
        <v>6</v>
      </c>
      <c r="I23" s="4">
        <v>2</v>
      </c>
      <c r="J23" s="4">
        <v>0.4</v>
      </c>
      <c r="K23" s="4">
        <v>0.40910000000000002</v>
      </c>
      <c r="L23" s="4">
        <v>0.87</v>
      </c>
      <c r="M23" s="4">
        <v>0.19400000000000001</v>
      </c>
      <c r="N23" s="4">
        <v>3</v>
      </c>
      <c r="O23" s="4">
        <v>31</v>
      </c>
      <c r="P23" s="4">
        <v>34</v>
      </c>
      <c r="Q23" s="4">
        <f>SUBTOTAL(109,Table6[casual])</f>
        <v>4921</v>
      </c>
      <c r="R23" s="4">
        <f>SUBTOTAL(109,Table6[registered])</f>
        <v>53383</v>
      </c>
      <c r="S23" s="4">
        <f>SUBTOTAL(109,Table6[cnt])</f>
        <v>58304</v>
      </c>
    </row>
    <row r="24" spans="1:19">
      <c r="A24" s="4">
        <v>23</v>
      </c>
      <c r="B24" s="5">
        <v>40544</v>
      </c>
      <c r="C24" s="4">
        <v>1</v>
      </c>
      <c r="D24" s="4">
        <v>0</v>
      </c>
      <c r="E24" s="4">
        <v>1</v>
      </c>
      <c r="F24" s="4">
        <v>22</v>
      </c>
      <c r="G24" s="4" t="b">
        <v>0</v>
      </c>
      <c r="H24" s="4">
        <v>6</v>
      </c>
      <c r="I24" s="4">
        <v>2</v>
      </c>
      <c r="J24" s="4">
        <v>0.4</v>
      </c>
      <c r="K24" s="4">
        <v>0.40910000000000002</v>
      </c>
      <c r="L24" s="4">
        <v>0.94</v>
      </c>
      <c r="M24" s="4">
        <v>0.22389999999999999</v>
      </c>
      <c r="N24" s="4">
        <v>11</v>
      </c>
      <c r="O24" s="4">
        <v>17</v>
      </c>
      <c r="P24" s="4">
        <v>28</v>
      </c>
      <c r="Q24" s="4">
        <f>SUBTOTAL(109,Table6[casual])</f>
        <v>4921</v>
      </c>
      <c r="R24" s="4">
        <f>SUBTOTAL(109,Table6[registered])</f>
        <v>53383</v>
      </c>
      <c r="S24" s="4">
        <f>SUBTOTAL(109,Table6[cnt])</f>
        <v>58304</v>
      </c>
    </row>
    <row r="25" spans="1:19">
      <c r="A25" s="4">
        <v>24</v>
      </c>
      <c r="B25" s="5">
        <v>40544</v>
      </c>
      <c r="C25" s="4">
        <v>1</v>
      </c>
      <c r="D25" s="4">
        <v>0</v>
      </c>
      <c r="E25" s="4">
        <v>1</v>
      </c>
      <c r="F25" s="4">
        <v>23</v>
      </c>
      <c r="G25" s="4" t="b">
        <v>0</v>
      </c>
      <c r="H25" s="4">
        <v>6</v>
      </c>
      <c r="I25" s="4">
        <v>2</v>
      </c>
      <c r="J25" s="4">
        <v>0.46</v>
      </c>
      <c r="K25" s="4"/>
      <c r="L25" s="4">
        <v>0.88</v>
      </c>
      <c r="M25" s="4">
        <v>0.29849999999999999</v>
      </c>
      <c r="N25" s="4">
        <v>15</v>
      </c>
      <c r="O25" s="4">
        <v>24</v>
      </c>
      <c r="P25" s="4">
        <v>39</v>
      </c>
      <c r="Q25" s="4">
        <f>SUBTOTAL(109,Table6[casual])</f>
        <v>4921</v>
      </c>
      <c r="R25" s="4">
        <f>SUBTOTAL(109,Table6[registered])</f>
        <v>53383</v>
      </c>
      <c r="S25" s="4">
        <f>SUBTOTAL(109,Table6[cnt])</f>
        <v>58304</v>
      </c>
    </row>
    <row r="26" spans="1:19">
      <c r="A26" s="4">
        <v>25</v>
      </c>
      <c r="B26" s="5">
        <v>40545</v>
      </c>
      <c r="C26" s="4">
        <v>1</v>
      </c>
      <c r="D26" s="4">
        <v>0</v>
      </c>
      <c r="E26" s="4">
        <v>1</v>
      </c>
      <c r="F26" s="4">
        <v>0</v>
      </c>
      <c r="G26" s="4" t="b">
        <v>0</v>
      </c>
      <c r="H26" s="4">
        <v>0</v>
      </c>
      <c r="I26" s="4">
        <v>2</v>
      </c>
      <c r="J26" s="4">
        <v>0.46</v>
      </c>
      <c r="K26" s="4">
        <v>0.45450000000000002</v>
      </c>
      <c r="L26" s="4">
        <v>0.88</v>
      </c>
      <c r="M26" s="4">
        <v>0.29849999999999999</v>
      </c>
      <c r="N26" s="4">
        <v>4</v>
      </c>
      <c r="O26" s="4">
        <v>13</v>
      </c>
      <c r="P26" s="4">
        <v>17</v>
      </c>
      <c r="Q26" s="4">
        <f>SUBTOTAL(109,Table6[casual])</f>
        <v>4921</v>
      </c>
      <c r="R26" s="4">
        <f>SUBTOTAL(109,Table6[registered])</f>
        <v>53383</v>
      </c>
      <c r="S26" s="4">
        <f>SUBTOTAL(109,Table6[cnt])</f>
        <v>58304</v>
      </c>
    </row>
    <row r="27" spans="1:19">
      <c r="A27" s="4">
        <v>26</v>
      </c>
      <c r="B27" s="5">
        <v>40545</v>
      </c>
      <c r="C27" s="4">
        <v>1</v>
      </c>
      <c r="D27" s="4">
        <v>0</v>
      </c>
      <c r="E27" s="4">
        <v>1</v>
      </c>
      <c r="F27" s="4">
        <v>1</v>
      </c>
      <c r="G27" s="4" t="b">
        <v>0</v>
      </c>
      <c r="H27" s="4">
        <v>0</v>
      </c>
      <c r="I27" s="4">
        <v>2</v>
      </c>
      <c r="J27" s="4">
        <v>0.44</v>
      </c>
      <c r="K27" s="4">
        <v>0.43940000000000001</v>
      </c>
      <c r="L27" s="4">
        <v>0.94</v>
      </c>
      <c r="M27" s="4">
        <v>0.25369999999999998</v>
      </c>
      <c r="N27" s="4">
        <v>1</v>
      </c>
      <c r="O27" s="4">
        <v>16</v>
      </c>
      <c r="P27" s="4">
        <v>17</v>
      </c>
      <c r="Q27" s="4">
        <f>SUBTOTAL(109,Table6[casual])</f>
        <v>4921</v>
      </c>
      <c r="R27" s="4">
        <f>SUBTOTAL(109,Table6[registered])</f>
        <v>53383</v>
      </c>
      <c r="S27" s="4">
        <f>SUBTOTAL(109,Table6[cnt])</f>
        <v>58304</v>
      </c>
    </row>
    <row r="28" spans="1:19">
      <c r="A28" s="4">
        <v>27</v>
      </c>
      <c r="B28" s="5">
        <v>40545</v>
      </c>
      <c r="C28" s="4">
        <v>1</v>
      </c>
      <c r="D28" s="4">
        <v>0</v>
      </c>
      <c r="E28" s="4">
        <v>1</v>
      </c>
      <c r="F28" s="4">
        <v>2</v>
      </c>
      <c r="G28" s="4" t="b">
        <v>0</v>
      </c>
      <c r="H28" s="4">
        <v>0</v>
      </c>
      <c r="I28" s="4">
        <v>2</v>
      </c>
      <c r="J28" s="4">
        <v>0.42</v>
      </c>
      <c r="K28" s="4">
        <v>0.42420000000000002</v>
      </c>
      <c r="L28" s="4">
        <v>1</v>
      </c>
      <c r="M28" s="4">
        <v>0.28360000000000002</v>
      </c>
      <c r="N28" s="4">
        <v>1</v>
      </c>
      <c r="O28" s="4">
        <v>8</v>
      </c>
      <c r="P28" s="4">
        <v>9</v>
      </c>
      <c r="Q28" s="4">
        <f>SUBTOTAL(109,Table6[casual])</f>
        <v>4921</v>
      </c>
      <c r="R28" s="4">
        <f>SUBTOTAL(109,Table6[registered])</f>
        <v>53383</v>
      </c>
      <c r="S28" s="4">
        <f>SUBTOTAL(109,Table6[cnt])</f>
        <v>58304</v>
      </c>
    </row>
    <row r="29" spans="1:19">
      <c r="A29" s="4">
        <v>28</v>
      </c>
      <c r="B29" s="5">
        <v>40545</v>
      </c>
      <c r="C29" s="4">
        <v>1</v>
      </c>
      <c r="D29" s="4">
        <v>0</v>
      </c>
      <c r="E29" s="4">
        <v>1</v>
      </c>
      <c r="F29" s="4">
        <v>3</v>
      </c>
      <c r="G29" s="4" t="b">
        <v>0</v>
      </c>
      <c r="H29" s="4">
        <v>0</v>
      </c>
      <c r="I29" s="4">
        <v>2</v>
      </c>
      <c r="J29" s="4">
        <v>0.46</v>
      </c>
      <c r="K29" s="4">
        <v>0.45450000000000002</v>
      </c>
      <c r="L29" s="4">
        <v>0.94</v>
      </c>
      <c r="M29" s="4">
        <v>0.19400000000000001</v>
      </c>
      <c r="N29" s="4">
        <v>2</v>
      </c>
      <c r="O29" s="4">
        <v>4</v>
      </c>
      <c r="P29" s="4">
        <v>6</v>
      </c>
      <c r="Q29" s="4">
        <f>SUBTOTAL(109,Table6[casual])</f>
        <v>4921</v>
      </c>
      <c r="R29" s="4">
        <f>SUBTOTAL(109,Table6[registered])</f>
        <v>53383</v>
      </c>
      <c r="S29" s="4">
        <f>SUBTOTAL(109,Table6[cnt])</f>
        <v>58304</v>
      </c>
    </row>
    <row r="30" spans="1:19">
      <c r="A30" s="4">
        <v>29</v>
      </c>
      <c r="B30" s="5">
        <v>40545</v>
      </c>
      <c r="C30" s="4">
        <v>1</v>
      </c>
      <c r="D30" s="4">
        <v>0</v>
      </c>
      <c r="E30" s="4">
        <v>1</v>
      </c>
      <c r="F30" s="4">
        <v>4</v>
      </c>
      <c r="G30" s="4" t="b">
        <v>0</v>
      </c>
      <c r="H30" s="4">
        <v>0</v>
      </c>
      <c r="I30" s="4">
        <v>2</v>
      </c>
      <c r="J30" s="4">
        <v>0.46</v>
      </c>
      <c r="K30" s="4"/>
      <c r="L30" s="4">
        <v>0.94</v>
      </c>
      <c r="M30" s="4">
        <v>0.19400000000000001</v>
      </c>
      <c r="N30" s="4">
        <v>2</v>
      </c>
      <c r="O30" s="4">
        <v>1</v>
      </c>
      <c r="P30" s="4">
        <v>3</v>
      </c>
      <c r="Q30" s="4">
        <f>SUBTOTAL(109,Table6[casual])</f>
        <v>4921</v>
      </c>
      <c r="R30" s="4">
        <f>SUBTOTAL(109,Table6[registered])</f>
        <v>53383</v>
      </c>
      <c r="S30" s="4">
        <f>SUBTOTAL(109,Table6[cnt])</f>
        <v>58304</v>
      </c>
    </row>
    <row r="31" spans="1:19">
      <c r="A31" s="4">
        <v>30</v>
      </c>
      <c r="B31" s="5">
        <v>40545</v>
      </c>
      <c r="C31" s="4">
        <v>1</v>
      </c>
      <c r="D31" s="4">
        <v>0</v>
      </c>
      <c r="E31" s="4">
        <v>1</v>
      </c>
      <c r="F31" s="4">
        <v>6</v>
      </c>
      <c r="G31" s="4" t="b">
        <v>0</v>
      </c>
      <c r="H31" s="4">
        <v>0</v>
      </c>
      <c r="I31" s="4">
        <v>3</v>
      </c>
      <c r="J31" s="4">
        <v>0.42</v>
      </c>
      <c r="K31" s="4">
        <v>0.42420000000000002</v>
      </c>
      <c r="L31" s="4">
        <v>0.77</v>
      </c>
      <c r="M31" s="4">
        <v>0.29849999999999999</v>
      </c>
      <c r="N31" s="4">
        <v>0</v>
      </c>
      <c r="O31" s="4">
        <v>2</v>
      </c>
      <c r="P31" s="4">
        <v>2</v>
      </c>
      <c r="Q31" s="4">
        <f>SUBTOTAL(109,Table6[casual])</f>
        <v>4921</v>
      </c>
      <c r="R31" s="4">
        <f>SUBTOTAL(109,Table6[registered])</f>
        <v>53383</v>
      </c>
      <c r="S31" s="4">
        <f>SUBTOTAL(109,Table6[cnt])</f>
        <v>58304</v>
      </c>
    </row>
    <row r="32" spans="1:19">
      <c r="A32" s="4">
        <v>31</v>
      </c>
      <c r="B32" s="5">
        <v>40545</v>
      </c>
      <c r="C32" s="4">
        <v>1</v>
      </c>
      <c r="D32" s="4">
        <v>0</v>
      </c>
      <c r="E32" s="4">
        <v>1</v>
      </c>
      <c r="F32" s="4">
        <v>7</v>
      </c>
      <c r="G32" s="4" t="b">
        <v>0</v>
      </c>
      <c r="H32" s="4">
        <v>0</v>
      </c>
      <c r="I32" s="4">
        <v>2</v>
      </c>
      <c r="J32" s="4">
        <v>0.4</v>
      </c>
      <c r="K32" s="4">
        <v>0.40910000000000002</v>
      </c>
      <c r="L32" s="4">
        <v>0.76</v>
      </c>
      <c r="M32" s="4">
        <v>0.19400000000000001</v>
      </c>
      <c r="N32" s="4">
        <v>0</v>
      </c>
      <c r="O32" s="4">
        <v>1</v>
      </c>
      <c r="P32" s="4">
        <v>1</v>
      </c>
      <c r="Q32" s="4">
        <f>SUBTOTAL(109,Table6[casual])</f>
        <v>4921</v>
      </c>
      <c r="R32" s="4">
        <f>SUBTOTAL(109,Table6[registered])</f>
        <v>53383</v>
      </c>
      <c r="S32" s="4">
        <f>SUBTOTAL(109,Table6[cnt])</f>
        <v>58304</v>
      </c>
    </row>
    <row r="33" spans="1:19">
      <c r="A33" s="4">
        <v>32</v>
      </c>
      <c r="B33" s="5">
        <v>40545</v>
      </c>
      <c r="C33" s="4">
        <v>1</v>
      </c>
      <c r="D33" s="4">
        <v>0</v>
      </c>
      <c r="E33" s="4">
        <v>1</v>
      </c>
      <c r="F33" s="4">
        <v>8</v>
      </c>
      <c r="G33" s="4" t="b">
        <v>0</v>
      </c>
      <c r="H33" s="4">
        <v>0</v>
      </c>
      <c r="I33" s="4">
        <v>3</v>
      </c>
      <c r="J33" s="4">
        <v>0.4</v>
      </c>
      <c r="K33" s="4">
        <v>0.40910000000000002</v>
      </c>
      <c r="L33" s="4">
        <v>0.71</v>
      </c>
      <c r="M33" s="4">
        <v>0.22389999999999999</v>
      </c>
      <c r="N33" s="4">
        <v>0</v>
      </c>
      <c r="O33" s="4">
        <v>8</v>
      </c>
      <c r="P33" s="4">
        <v>8</v>
      </c>
      <c r="Q33" s="4">
        <f>SUBTOTAL(109,Table6[casual])</f>
        <v>4921</v>
      </c>
      <c r="R33" s="4">
        <f>SUBTOTAL(109,Table6[registered])</f>
        <v>53383</v>
      </c>
      <c r="S33" s="4">
        <f>SUBTOTAL(109,Table6[cnt])</f>
        <v>58304</v>
      </c>
    </row>
    <row r="34" spans="1:19">
      <c r="A34" s="4">
        <v>33</v>
      </c>
      <c r="B34" s="5">
        <v>40545</v>
      </c>
      <c r="C34" s="4">
        <v>1</v>
      </c>
      <c r="D34" s="4">
        <v>0</v>
      </c>
      <c r="E34" s="4">
        <v>1</v>
      </c>
      <c r="F34" s="4">
        <v>9</v>
      </c>
      <c r="G34" s="4" t="b">
        <v>0</v>
      </c>
      <c r="H34" s="4">
        <v>0</v>
      </c>
      <c r="I34" s="4">
        <v>2</v>
      </c>
      <c r="J34" s="4">
        <v>0.38</v>
      </c>
      <c r="K34" s="4"/>
      <c r="L34" s="4">
        <v>0.76</v>
      </c>
      <c r="M34" s="4">
        <v>0.22389999999999999</v>
      </c>
      <c r="N34" s="4">
        <v>1</v>
      </c>
      <c r="O34" s="4">
        <v>19</v>
      </c>
      <c r="P34" s="4">
        <v>20</v>
      </c>
      <c r="Q34" s="4">
        <f>SUBTOTAL(109,Table6[casual])</f>
        <v>4921</v>
      </c>
      <c r="R34" s="4">
        <f>SUBTOTAL(109,Table6[registered])</f>
        <v>53383</v>
      </c>
      <c r="S34" s="4">
        <f>SUBTOTAL(109,Table6[cnt])</f>
        <v>58304</v>
      </c>
    </row>
    <row r="35" spans="1:19">
      <c r="A35" s="4">
        <v>34</v>
      </c>
      <c r="B35" s="5">
        <v>40545</v>
      </c>
      <c r="C35" s="4">
        <v>1</v>
      </c>
      <c r="D35" s="4">
        <v>0</v>
      </c>
      <c r="E35" s="4">
        <v>1</v>
      </c>
      <c r="F35" s="4">
        <v>10</v>
      </c>
      <c r="G35" s="4" t="b">
        <v>0</v>
      </c>
      <c r="H35" s="4">
        <v>0</v>
      </c>
      <c r="I35" s="4">
        <v>2</v>
      </c>
      <c r="J35" s="4">
        <v>0.36</v>
      </c>
      <c r="K35" s="4">
        <v>0.34849999999999998</v>
      </c>
      <c r="L35" s="4">
        <v>0.81</v>
      </c>
      <c r="M35" s="4">
        <v>0.22389999999999999</v>
      </c>
      <c r="N35" s="4">
        <v>7</v>
      </c>
      <c r="O35" s="4">
        <v>46</v>
      </c>
      <c r="P35" s="4">
        <v>53</v>
      </c>
      <c r="Q35" s="4">
        <f>SUBTOTAL(109,Table6[casual])</f>
        <v>4921</v>
      </c>
      <c r="R35" s="4">
        <f>SUBTOTAL(109,Table6[registered])</f>
        <v>53383</v>
      </c>
      <c r="S35" s="4">
        <f>SUBTOTAL(109,Table6[cnt])</f>
        <v>58304</v>
      </c>
    </row>
    <row r="36" spans="1:19">
      <c r="A36" s="4">
        <v>35</v>
      </c>
      <c r="B36" s="5">
        <v>40545</v>
      </c>
      <c r="C36" s="4">
        <v>1</v>
      </c>
      <c r="D36" s="4">
        <v>0</v>
      </c>
      <c r="E36" s="4">
        <v>1</v>
      </c>
      <c r="F36" s="4">
        <v>11</v>
      </c>
      <c r="G36" s="4" t="b">
        <v>0</v>
      </c>
      <c r="H36" s="4">
        <v>0</v>
      </c>
      <c r="I36" s="4">
        <v>2</v>
      </c>
      <c r="J36" s="4">
        <v>0.36</v>
      </c>
      <c r="K36" s="4">
        <v>0.33329999999999999</v>
      </c>
      <c r="L36" s="4">
        <v>0.71</v>
      </c>
      <c r="M36" s="4">
        <v>0.25369999999999998</v>
      </c>
      <c r="N36" s="4">
        <v>16</v>
      </c>
      <c r="O36" s="4">
        <v>54</v>
      </c>
      <c r="P36" s="4">
        <v>70</v>
      </c>
      <c r="Q36" s="4">
        <f>SUBTOTAL(109,Table6[casual])</f>
        <v>4921</v>
      </c>
      <c r="R36" s="4">
        <f>SUBTOTAL(109,Table6[registered])</f>
        <v>53383</v>
      </c>
      <c r="S36" s="4">
        <f>SUBTOTAL(109,Table6[cnt])</f>
        <v>58304</v>
      </c>
    </row>
    <row r="37" spans="1:19">
      <c r="A37" s="4">
        <v>36</v>
      </c>
      <c r="B37" s="5">
        <v>40545</v>
      </c>
      <c r="C37" s="4">
        <v>1</v>
      </c>
      <c r="D37" s="4">
        <v>0</v>
      </c>
      <c r="E37" s="4">
        <v>1</v>
      </c>
      <c r="F37" s="4">
        <v>12</v>
      </c>
      <c r="G37" s="4" t="b">
        <v>0</v>
      </c>
      <c r="H37" s="4">
        <v>0</v>
      </c>
      <c r="I37" s="4">
        <v>2</v>
      </c>
      <c r="J37" s="4">
        <v>0.36</v>
      </c>
      <c r="K37" s="4">
        <v>0.33329999999999999</v>
      </c>
      <c r="L37" s="4">
        <v>0.66</v>
      </c>
      <c r="M37" s="4">
        <v>0.29849999999999999</v>
      </c>
      <c r="N37" s="4">
        <v>20</v>
      </c>
      <c r="O37" s="4">
        <v>73</v>
      </c>
      <c r="P37" s="4">
        <v>93</v>
      </c>
      <c r="Q37" s="4">
        <f>SUBTOTAL(109,Table6[casual])</f>
        <v>4921</v>
      </c>
      <c r="R37" s="4">
        <f>SUBTOTAL(109,Table6[registered])</f>
        <v>53383</v>
      </c>
      <c r="S37" s="4">
        <f>SUBTOTAL(109,Table6[cnt])</f>
        <v>58304</v>
      </c>
    </row>
    <row r="38" spans="1:19">
      <c r="A38" s="4">
        <v>37</v>
      </c>
      <c r="B38" s="5">
        <v>40545</v>
      </c>
      <c r="C38" s="4">
        <v>1</v>
      </c>
      <c r="D38" s="4">
        <v>0</v>
      </c>
      <c r="E38" s="4">
        <v>1</v>
      </c>
      <c r="F38" s="4">
        <v>13</v>
      </c>
      <c r="G38" s="4" t="b">
        <v>0</v>
      </c>
      <c r="H38" s="4">
        <v>0</v>
      </c>
      <c r="I38" s="4">
        <v>2</v>
      </c>
      <c r="J38" s="4">
        <v>0.36</v>
      </c>
      <c r="K38" s="4">
        <v>0.34849999999999998</v>
      </c>
      <c r="L38" s="4">
        <v>0.66</v>
      </c>
      <c r="M38" s="4">
        <v>0.1343</v>
      </c>
      <c r="N38" s="4">
        <v>11</v>
      </c>
      <c r="O38" s="4">
        <v>64</v>
      </c>
      <c r="P38" s="4">
        <v>75</v>
      </c>
      <c r="Q38" s="4">
        <f>SUBTOTAL(109,Table6[casual])</f>
        <v>4921</v>
      </c>
      <c r="R38" s="4">
        <f>SUBTOTAL(109,Table6[registered])</f>
        <v>53383</v>
      </c>
      <c r="S38" s="4">
        <f>SUBTOTAL(109,Table6[cnt])</f>
        <v>58304</v>
      </c>
    </row>
    <row r="39" spans="1:19">
      <c r="A39" s="4">
        <v>38</v>
      </c>
      <c r="B39" s="5">
        <v>40545</v>
      </c>
      <c r="C39" s="4">
        <v>1</v>
      </c>
      <c r="D39" s="4">
        <v>0</v>
      </c>
      <c r="E39" s="4">
        <v>1</v>
      </c>
      <c r="F39" s="4">
        <v>14</v>
      </c>
      <c r="G39" s="4" t="b">
        <v>0</v>
      </c>
      <c r="H39" s="4">
        <v>0</v>
      </c>
      <c r="I39" s="4">
        <v>3</v>
      </c>
      <c r="J39" s="4">
        <v>0.36</v>
      </c>
      <c r="K39" s="4"/>
      <c r="L39" s="4">
        <v>0.76</v>
      </c>
      <c r="M39" s="4">
        <v>0.19400000000000001</v>
      </c>
      <c r="N39" s="4">
        <v>4</v>
      </c>
      <c r="O39" s="4">
        <v>55</v>
      </c>
      <c r="P39" s="4">
        <v>59</v>
      </c>
      <c r="Q39" s="4">
        <f>SUBTOTAL(109,Table6[casual])</f>
        <v>4921</v>
      </c>
      <c r="R39" s="4">
        <f>SUBTOTAL(109,Table6[registered])</f>
        <v>53383</v>
      </c>
      <c r="S39" s="4">
        <f>SUBTOTAL(109,Table6[cnt])</f>
        <v>58304</v>
      </c>
    </row>
    <row r="40" spans="1:19">
      <c r="A40" s="4">
        <v>39</v>
      </c>
      <c r="B40" s="5">
        <v>40545</v>
      </c>
      <c r="C40" s="4">
        <v>1</v>
      </c>
      <c r="D40" s="4">
        <v>0</v>
      </c>
      <c r="E40" s="4">
        <v>1</v>
      </c>
      <c r="F40" s="4">
        <v>15</v>
      </c>
      <c r="G40" s="4" t="b">
        <v>0</v>
      </c>
      <c r="H40" s="4">
        <v>0</v>
      </c>
      <c r="I40" s="4">
        <v>3</v>
      </c>
      <c r="J40" s="4">
        <v>0.34</v>
      </c>
      <c r="K40" s="4">
        <v>0.33329999999999999</v>
      </c>
      <c r="L40" s="4">
        <v>0.81</v>
      </c>
      <c r="M40" s="4">
        <v>0.16420000000000001</v>
      </c>
      <c r="N40" s="4">
        <v>19</v>
      </c>
      <c r="O40" s="4">
        <v>55</v>
      </c>
      <c r="P40" s="4">
        <v>74</v>
      </c>
      <c r="Q40" s="4">
        <f>SUBTOTAL(109,Table6[casual])</f>
        <v>4921</v>
      </c>
      <c r="R40" s="4">
        <f>SUBTOTAL(109,Table6[registered])</f>
        <v>53383</v>
      </c>
      <c r="S40" s="4">
        <f>SUBTOTAL(109,Table6[cnt])</f>
        <v>58304</v>
      </c>
    </row>
    <row r="41" spans="1:19">
      <c r="A41" s="4">
        <v>40</v>
      </c>
      <c r="B41" s="5">
        <v>40545</v>
      </c>
      <c r="C41" s="4">
        <v>1</v>
      </c>
      <c r="D41" s="4">
        <v>0</v>
      </c>
      <c r="E41" s="4">
        <v>1</v>
      </c>
      <c r="F41" s="4">
        <v>16</v>
      </c>
      <c r="G41" s="4" t="b">
        <v>0</v>
      </c>
      <c r="H41" s="4">
        <v>0</v>
      </c>
      <c r="I41" s="4">
        <v>3</v>
      </c>
      <c r="J41" s="4">
        <v>0.34</v>
      </c>
      <c r="K41" s="4">
        <v>0.33329999999999999</v>
      </c>
      <c r="L41" s="4">
        <v>0.71</v>
      </c>
      <c r="M41" s="4">
        <v>0.16420000000000001</v>
      </c>
      <c r="N41" s="4">
        <v>9</v>
      </c>
      <c r="O41" s="4">
        <v>67</v>
      </c>
      <c r="P41" s="4">
        <v>76</v>
      </c>
      <c r="Q41" s="4">
        <f>SUBTOTAL(109,Table6[casual])</f>
        <v>4921</v>
      </c>
      <c r="R41" s="4">
        <f>SUBTOTAL(109,Table6[registered])</f>
        <v>53383</v>
      </c>
      <c r="S41" s="4">
        <f>SUBTOTAL(109,Table6[cnt])</f>
        <v>58304</v>
      </c>
    </row>
    <row r="42" spans="1:19">
      <c r="A42" s="4">
        <v>41</v>
      </c>
      <c r="B42" s="5">
        <v>40545</v>
      </c>
      <c r="C42" s="4">
        <v>1</v>
      </c>
      <c r="D42" s="4">
        <v>0</v>
      </c>
      <c r="E42" s="4">
        <v>1</v>
      </c>
      <c r="F42" s="4">
        <v>17</v>
      </c>
      <c r="G42" s="4" t="b">
        <v>0</v>
      </c>
      <c r="H42" s="4">
        <v>0</v>
      </c>
      <c r="I42" s="4">
        <v>1</v>
      </c>
      <c r="J42" s="4">
        <v>0.34</v>
      </c>
      <c r="K42" s="4">
        <v>0.33329999999999999</v>
      </c>
      <c r="L42" s="4">
        <v>0.56999999999999995</v>
      </c>
      <c r="M42" s="4">
        <v>0.19400000000000001</v>
      </c>
      <c r="N42" s="4">
        <v>7</v>
      </c>
      <c r="O42" s="4">
        <v>58</v>
      </c>
      <c r="P42" s="4">
        <v>65</v>
      </c>
      <c r="Q42" s="4">
        <f>SUBTOTAL(109,Table6[casual])</f>
        <v>4921</v>
      </c>
      <c r="R42" s="4">
        <f>SUBTOTAL(109,Table6[registered])</f>
        <v>53383</v>
      </c>
      <c r="S42" s="4">
        <f>SUBTOTAL(109,Table6[cnt])</f>
        <v>58304</v>
      </c>
    </row>
    <row r="43" spans="1:19">
      <c r="A43" s="4">
        <v>42</v>
      </c>
      <c r="B43" s="5">
        <v>40545</v>
      </c>
      <c r="C43" s="4">
        <v>1</v>
      </c>
      <c r="D43" s="4">
        <v>0</v>
      </c>
      <c r="E43" s="4">
        <v>1</v>
      </c>
      <c r="F43" s="4">
        <v>18</v>
      </c>
      <c r="G43" s="4" t="b">
        <v>0</v>
      </c>
      <c r="H43" s="4">
        <v>0</v>
      </c>
      <c r="I43" s="4">
        <v>2</v>
      </c>
      <c r="J43" s="4">
        <v>0.36</v>
      </c>
      <c r="K43" s="4">
        <v>0.33329999999999999</v>
      </c>
      <c r="L43" s="4">
        <v>0.46</v>
      </c>
      <c r="M43" s="4">
        <v>0.32840000000000003</v>
      </c>
      <c r="N43" s="4">
        <v>10</v>
      </c>
      <c r="O43" s="4">
        <v>43</v>
      </c>
      <c r="P43" s="4">
        <v>53</v>
      </c>
      <c r="Q43" s="4">
        <f>SUBTOTAL(109,Table6[casual])</f>
        <v>4921</v>
      </c>
      <c r="R43" s="4">
        <f>SUBTOTAL(109,Table6[registered])</f>
        <v>53383</v>
      </c>
      <c r="S43" s="4">
        <f>SUBTOTAL(109,Table6[cnt])</f>
        <v>58304</v>
      </c>
    </row>
    <row r="44" spans="1:19">
      <c r="A44" s="4">
        <v>43</v>
      </c>
      <c r="B44" s="5">
        <v>40545</v>
      </c>
      <c r="C44" s="4">
        <v>1</v>
      </c>
      <c r="D44" s="4">
        <v>0</v>
      </c>
      <c r="E44" s="4">
        <v>1</v>
      </c>
      <c r="F44" s="4">
        <v>19</v>
      </c>
      <c r="G44" s="4" t="b">
        <v>0</v>
      </c>
      <c r="H44" s="4">
        <v>0</v>
      </c>
      <c r="I44" s="4">
        <v>1</v>
      </c>
      <c r="J44" s="4">
        <v>0.32</v>
      </c>
      <c r="K44" s="4">
        <v>0.28789999999999999</v>
      </c>
      <c r="L44" s="4">
        <v>0.42</v>
      </c>
      <c r="M44" s="4">
        <v>0.44779999999999998</v>
      </c>
      <c r="N44" s="4">
        <v>1</v>
      </c>
      <c r="O44" s="4">
        <v>29</v>
      </c>
      <c r="P44" s="4">
        <v>30</v>
      </c>
      <c r="Q44" s="4">
        <f>SUBTOTAL(109,Table6[casual])</f>
        <v>4921</v>
      </c>
      <c r="R44" s="4">
        <f>SUBTOTAL(109,Table6[registered])</f>
        <v>53383</v>
      </c>
      <c r="S44" s="4">
        <f>SUBTOTAL(109,Table6[cnt])</f>
        <v>58304</v>
      </c>
    </row>
    <row r="45" spans="1:19">
      <c r="A45" s="4">
        <v>44</v>
      </c>
      <c r="B45" s="5">
        <v>40545</v>
      </c>
      <c r="C45" s="4">
        <v>1</v>
      </c>
      <c r="D45" s="4">
        <v>0</v>
      </c>
      <c r="E45" s="4">
        <v>1</v>
      </c>
      <c r="F45" s="4">
        <v>20</v>
      </c>
      <c r="G45" s="4" t="b">
        <v>0</v>
      </c>
      <c r="H45" s="4">
        <v>0</v>
      </c>
      <c r="I45" s="4">
        <v>1</v>
      </c>
      <c r="J45" s="4">
        <v>0.3</v>
      </c>
      <c r="K45" s="4"/>
      <c r="L45" s="4">
        <v>0.39</v>
      </c>
      <c r="M45" s="4">
        <v>0.35820000000000002</v>
      </c>
      <c r="N45" s="4">
        <v>5</v>
      </c>
      <c r="O45" s="4">
        <v>17</v>
      </c>
      <c r="P45" s="4">
        <v>22</v>
      </c>
      <c r="Q45" s="4">
        <f>SUBTOTAL(109,Table6[casual])</f>
        <v>4921</v>
      </c>
      <c r="R45" s="4">
        <f>SUBTOTAL(109,Table6[registered])</f>
        <v>53383</v>
      </c>
      <c r="S45" s="4">
        <f>SUBTOTAL(109,Table6[cnt])</f>
        <v>58304</v>
      </c>
    </row>
    <row r="46" spans="1:19">
      <c r="A46" s="4">
        <v>45</v>
      </c>
      <c r="B46" s="5">
        <v>40545</v>
      </c>
      <c r="C46" s="4">
        <v>1</v>
      </c>
      <c r="D46" s="4">
        <v>0</v>
      </c>
      <c r="E46" s="4">
        <v>1</v>
      </c>
      <c r="F46" s="4">
        <v>21</v>
      </c>
      <c r="G46" s="4" t="b">
        <v>0</v>
      </c>
      <c r="H46" s="4">
        <v>0</v>
      </c>
      <c r="I46" s="4">
        <v>1</v>
      </c>
      <c r="J46" s="4">
        <v>0.26</v>
      </c>
      <c r="K46" s="4">
        <v>0.2273</v>
      </c>
      <c r="L46" s="4">
        <v>0.44</v>
      </c>
      <c r="M46" s="4">
        <v>0.32840000000000003</v>
      </c>
      <c r="N46" s="4">
        <v>11</v>
      </c>
      <c r="O46" s="4">
        <v>20</v>
      </c>
      <c r="P46" s="4">
        <v>31</v>
      </c>
      <c r="Q46" s="4">
        <f>SUBTOTAL(109,Table6[casual])</f>
        <v>4921</v>
      </c>
      <c r="R46" s="4">
        <f>SUBTOTAL(109,Table6[registered])</f>
        <v>53383</v>
      </c>
      <c r="S46" s="4">
        <f>SUBTOTAL(109,Table6[cnt])</f>
        <v>58304</v>
      </c>
    </row>
    <row r="47" spans="1:19">
      <c r="A47" s="4">
        <v>46</v>
      </c>
      <c r="B47" s="5">
        <v>40545</v>
      </c>
      <c r="C47" s="4">
        <v>1</v>
      </c>
      <c r="D47" s="4">
        <v>0</v>
      </c>
      <c r="E47" s="4">
        <v>1</v>
      </c>
      <c r="F47" s="4">
        <v>22</v>
      </c>
      <c r="G47" s="4" t="b">
        <v>0</v>
      </c>
      <c r="H47" s="4">
        <v>0</v>
      </c>
      <c r="I47" s="4">
        <v>1</v>
      </c>
      <c r="J47" s="4">
        <v>0.24</v>
      </c>
      <c r="K47" s="4">
        <v>0.21210000000000001</v>
      </c>
      <c r="L47" s="4">
        <v>0.44</v>
      </c>
      <c r="M47" s="4">
        <v>0.29849999999999999</v>
      </c>
      <c r="N47" s="4">
        <v>0</v>
      </c>
      <c r="O47" s="4">
        <v>9</v>
      </c>
      <c r="P47" s="4">
        <v>9</v>
      </c>
      <c r="Q47" s="4">
        <f>SUBTOTAL(109,Table6[casual])</f>
        <v>4921</v>
      </c>
      <c r="R47" s="4">
        <f>SUBTOTAL(109,Table6[registered])</f>
        <v>53383</v>
      </c>
      <c r="S47" s="4">
        <f>SUBTOTAL(109,Table6[cnt])</f>
        <v>58304</v>
      </c>
    </row>
    <row r="48" spans="1:19">
      <c r="A48" s="4">
        <v>47</v>
      </c>
      <c r="B48" s="5">
        <v>40545</v>
      </c>
      <c r="C48" s="4">
        <v>1</v>
      </c>
      <c r="D48" s="4">
        <v>0</v>
      </c>
      <c r="E48" s="4">
        <v>1</v>
      </c>
      <c r="F48" s="4">
        <v>23</v>
      </c>
      <c r="G48" s="4" t="b">
        <v>0</v>
      </c>
      <c r="H48" s="4">
        <v>0</v>
      </c>
      <c r="I48" s="4">
        <v>1</v>
      </c>
      <c r="J48" s="4">
        <v>0.22</v>
      </c>
      <c r="K48" s="4">
        <v>0.2273</v>
      </c>
      <c r="L48" s="4">
        <v>0.47</v>
      </c>
      <c r="M48" s="4">
        <v>0.16420000000000001</v>
      </c>
      <c r="N48" s="4">
        <v>0</v>
      </c>
      <c r="O48" s="4">
        <v>8</v>
      </c>
      <c r="P48" s="4">
        <v>8</v>
      </c>
      <c r="Q48" s="4">
        <f>SUBTOTAL(109,Table6[casual])</f>
        <v>4921</v>
      </c>
      <c r="R48" s="4">
        <f>SUBTOTAL(109,Table6[registered])</f>
        <v>53383</v>
      </c>
      <c r="S48" s="4">
        <f>SUBTOTAL(109,Table6[cnt])</f>
        <v>58304</v>
      </c>
    </row>
    <row r="49" spans="1:19">
      <c r="A49" s="4">
        <v>48</v>
      </c>
      <c r="B49" s="5">
        <v>40546</v>
      </c>
      <c r="C49" s="4">
        <v>1</v>
      </c>
      <c r="D49" s="4">
        <v>0</v>
      </c>
      <c r="E49" s="4">
        <v>1</v>
      </c>
      <c r="F49" s="4">
        <v>0</v>
      </c>
      <c r="G49" s="4" t="b">
        <v>0</v>
      </c>
      <c r="H49" s="4">
        <v>1</v>
      </c>
      <c r="I49" s="4">
        <v>1</v>
      </c>
      <c r="J49" s="4">
        <v>0.22</v>
      </c>
      <c r="K49" s="4">
        <v>0.19700000000000001</v>
      </c>
      <c r="L49" s="4">
        <v>0.44</v>
      </c>
      <c r="M49" s="4">
        <v>0.35820000000000002</v>
      </c>
      <c r="N49" s="4">
        <v>0</v>
      </c>
      <c r="O49" s="4">
        <v>5</v>
      </c>
      <c r="P49" s="4">
        <v>5</v>
      </c>
      <c r="Q49" s="4">
        <f>SUBTOTAL(109,Table6[casual])</f>
        <v>4921</v>
      </c>
      <c r="R49" s="4">
        <f>SUBTOTAL(109,Table6[registered])</f>
        <v>53383</v>
      </c>
      <c r="S49" s="4">
        <f>SUBTOTAL(109,Table6[cnt])</f>
        <v>58304</v>
      </c>
    </row>
    <row r="50" spans="1:19">
      <c r="A50" s="4">
        <v>49</v>
      </c>
      <c r="B50" s="5">
        <v>40546</v>
      </c>
      <c r="C50" s="4">
        <v>1</v>
      </c>
      <c r="D50" s="4">
        <v>0</v>
      </c>
      <c r="E50" s="4">
        <v>1</v>
      </c>
      <c r="F50" s="4">
        <v>1</v>
      </c>
      <c r="G50" s="4" t="b">
        <v>0</v>
      </c>
      <c r="H50" s="4">
        <v>1</v>
      </c>
      <c r="I50" s="4">
        <v>1</v>
      </c>
      <c r="J50" s="4">
        <v>0.2</v>
      </c>
      <c r="K50" s="4"/>
      <c r="L50" s="4">
        <v>0.44</v>
      </c>
      <c r="M50" s="4">
        <v>0.41789999999999999</v>
      </c>
      <c r="N50" s="4">
        <v>0</v>
      </c>
      <c r="O50" s="4">
        <v>2</v>
      </c>
      <c r="P50" s="4">
        <v>2</v>
      </c>
      <c r="Q50" s="4">
        <f>SUBTOTAL(109,Table6[casual])</f>
        <v>4921</v>
      </c>
      <c r="R50" s="4">
        <f>SUBTOTAL(109,Table6[registered])</f>
        <v>53383</v>
      </c>
      <c r="S50" s="4">
        <f>SUBTOTAL(109,Table6[cnt])</f>
        <v>58304</v>
      </c>
    </row>
    <row r="51" spans="1:19">
      <c r="A51" s="4">
        <v>50</v>
      </c>
      <c r="B51" s="5">
        <v>40546</v>
      </c>
      <c r="C51" s="4">
        <v>1</v>
      </c>
      <c r="D51" s="4">
        <v>0</v>
      </c>
      <c r="E51" s="4">
        <v>1</v>
      </c>
      <c r="F51" s="4">
        <v>4</v>
      </c>
      <c r="G51" s="4" t="b">
        <v>0</v>
      </c>
      <c r="H51" s="4">
        <v>1</v>
      </c>
      <c r="I51" s="4">
        <v>1</v>
      </c>
      <c r="J51" s="4">
        <v>0.16</v>
      </c>
      <c r="K51" s="4">
        <v>0.13639999999999999</v>
      </c>
      <c r="L51" s="4">
        <v>0.47</v>
      </c>
      <c r="M51" s="4">
        <v>0.3881</v>
      </c>
      <c r="N51" s="4">
        <v>0</v>
      </c>
      <c r="O51" s="4">
        <v>1</v>
      </c>
      <c r="P51" s="4">
        <v>1</v>
      </c>
      <c r="Q51" s="4">
        <f>SUBTOTAL(109,Table6[casual])</f>
        <v>4921</v>
      </c>
      <c r="R51" s="4">
        <f>SUBTOTAL(109,Table6[registered])</f>
        <v>53383</v>
      </c>
      <c r="S51" s="4">
        <f>SUBTOTAL(109,Table6[cnt])</f>
        <v>58304</v>
      </c>
    </row>
    <row r="52" spans="1:19">
      <c r="A52" s="4">
        <v>51</v>
      </c>
      <c r="B52" s="5">
        <v>40546</v>
      </c>
      <c r="C52" s="4">
        <v>1</v>
      </c>
      <c r="D52" s="4">
        <v>0</v>
      </c>
      <c r="E52" s="4">
        <v>1</v>
      </c>
      <c r="F52" s="4">
        <v>5</v>
      </c>
      <c r="G52" s="4" t="b">
        <v>0</v>
      </c>
      <c r="H52" s="4">
        <v>1</v>
      </c>
      <c r="I52" s="4">
        <v>1</v>
      </c>
      <c r="J52" s="4">
        <v>0.16</v>
      </c>
      <c r="K52" s="4">
        <v>0.13639999999999999</v>
      </c>
      <c r="L52" s="4">
        <v>0.47</v>
      </c>
      <c r="M52" s="4">
        <v>0.28360000000000002</v>
      </c>
      <c r="N52" s="4">
        <v>0</v>
      </c>
      <c r="O52" s="4">
        <v>3</v>
      </c>
      <c r="P52" s="4">
        <v>3</v>
      </c>
      <c r="Q52" s="4">
        <f>SUBTOTAL(109,Table6[casual])</f>
        <v>4921</v>
      </c>
      <c r="R52" s="4">
        <f>SUBTOTAL(109,Table6[registered])</f>
        <v>53383</v>
      </c>
      <c r="S52" s="4">
        <f>SUBTOTAL(109,Table6[cnt])</f>
        <v>58304</v>
      </c>
    </row>
    <row r="53" spans="1:19">
      <c r="A53" s="4">
        <v>52</v>
      </c>
      <c r="B53" s="5">
        <v>40546</v>
      </c>
      <c r="C53" s="4">
        <v>1</v>
      </c>
      <c r="D53" s="4">
        <v>0</v>
      </c>
      <c r="E53" s="4">
        <v>1</v>
      </c>
      <c r="F53" s="4">
        <v>6</v>
      </c>
      <c r="G53" s="4" t="b">
        <v>0</v>
      </c>
      <c r="H53" s="4">
        <v>1</v>
      </c>
      <c r="I53" s="4">
        <v>1</v>
      </c>
      <c r="J53" s="4">
        <v>0.14000000000000001</v>
      </c>
      <c r="K53" s="4">
        <v>0.1061</v>
      </c>
      <c r="L53" s="4">
        <v>0.5</v>
      </c>
      <c r="M53" s="4">
        <v>0.3881</v>
      </c>
      <c r="N53" s="4">
        <v>0</v>
      </c>
      <c r="O53" s="4">
        <v>30</v>
      </c>
      <c r="P53" s="4">
        <v>30</v>
      </c>
      <c r="Q53" s="4">
        <f>SUBTOTAL(109,Table6[casual])</f>
        <v>4921</v>
      </c>
      <c r="R53" s="4">
        <f>SUBTOTAL(109,Table6[registered])</f>
        <v>53383</v>
      </c>
      <c r="S53" s="4">
        <f>SUBTOTAL(109,Table6[cnt])</f>
        <v>58304</v>
      </c>
    </row>
    <row r="54" spans="1:19">
      <c r="A54" s="4">
        <v>53</v>
      </c>
      <c r="B54" s="5">
        <v>40546</v>
      </c>
      <c r="C54" s="4">
        <v>1</v>
      </c>
      <c r="D54" s="4">
        <v>0</v>
      </c>
      <c r="E54" s="4">
        <v>1</v>
      </c>
      <c r="F54" s="4">
        <v>7</v>
      </c>
      <c r="G54" s="4" t="b">
        <v>0</v>
      </c>
      <c r="H54" s="4">
        <v>1</v>
      </c>
      <c r="I54" s="4">
        <v>1</v>
      </c>
      <c r="J54" s="4">
        <v>0.14000000000000001</v>
      </c>
      <c r="K54" s="4">
        <v>0.13639999999999999</v>
      </c>
      <c r="L54" s="4">
        <v>0.5</v>
      </c>
      <c r="M54" s="4">
        <v>0.19400000000000001</v>
      </c>
      <c r="N54" s="4">
        <v>1</v>
      </c>
      <c r="O54" s="4">
        <v>63</v>
      </c>
      <c r="P54" s="4">
        <v>64</v>
      </c>
      <c r="Q54" s="4">
        <f>SUBTOTAL(109,Table6[casual])</f>
        <v>4921</v>
      </c>
      <c r="R54" s="4">
        <f>SUBTOTAL(109,Table6[registered])</f>
        <v>53383</v>
      </c>
      <c r="S54" s="4">
        <f>SUBTOTAL(109,Table6[cnt])</f>
        <v>58304</v>
      </c>
    </row>
    <row r="55" spans="1:19">
      <c r="A55" s="4">
        <v>54</v>
      </c>
      <c r="B55" s="5">
        <v>40546</v>
      </c>
      <c r="C55" s="4">
        <v>1</v>
      </c>
      <c r="D55" s="4">
        <v>0</v>
      </c>
      <c r="E55" s="4">
        <v>1</v>
      </c>
      <c r="F55" s="4">
        <v>8</v>
      </c>
      <c r="G55" s="4" t="b">
        <v>0</v>
      </c>
      <c r="H55" s="4">
        <v>1</v>
      </c>
      <c r="I55" s="4">
        <v>1</v>
      </c>
      <c r="J55" s="4">
        <v>0.14000000000000001</v>
      </c>
      <c r="K55" s="4">
        <v>0.1212</v>
      </c>
      <c r="L55" s="4">
        <v>0.5</v>
      </c>
      <c r="M55" s="4">
        <v>0.28360000000000002</v>
      </c>
      <c r="N55" s="4">
        <v>1</v>
      </c>
      <c r="O55" s="4">
        <v>153</v>
      </c>
      <c r="P55" s="4">
        <v>154</v>
      </c>
      <c r="Q55" s="4">
        <f>SUBTOTAL(109,Table6[casual])</f>
        <v>4921</v>
      </c>
      <c r="R55" s="4">
        <f>SUBTOTAL(109,Table6[registered])</f>
        <v>53383</v>
      </c>
      <c r="S55" s="4">
        <f>SUBTOTAL(109,Table6[cnt])</f>
        <v>58304</v>
      </c>
    </row>
    <row r="56" spans="1:19">
      <c r="A56" s="4">
        <v>55</v>
      </c>
      <c r="B56" s="5">
        <v>40546</v>
      </c>
      <c r="C56" s="4">
        <v>1</v>
      </c>
      <c r="D56" s="4">
        <v>0</v>
      </c>
      <c r="E56" s="4">
        <v>1</v>
      </c>
      <c r="F56" s="4">
        <v>9</v>
      </c>
      <c r="G56" s="4" t="b">
        <v>0</v>
      </c>
      <c r="H56" s="4">
        <v>1</v>
      </c>
      <c r="I56" s="4">
        <v>1</v>
      </c>
      <c r="J56" s="4">
        <v>0.16</v>
      </c>
      <c r="K56" s="4">
        <v>0.13639999999999999</v>
      </c>
      <c r="L56" s="4">
        <v>0.43</v>
      </c>
      <c r="M56" s="4">
        <v>0.3881</v>
      </c>
      <c r="N56" s="4">
        <v>7</v>
      </c>
      <c r="O56" s="4">
        <v>81</v>
      </c>
      <c r="P56" s="4">
        <v>88</v>
      </c>
      <c r="Q56" s="4">
        <f>SUBTOTAL(109,Table6[casual])</f>
        <v>4921</v>
      </c>
      <c r="R56" s="4">
        <f>SUBTOTAL(109,Table6[registered])</f>
        <v>53383</v>
      </c>
      <c r="S56" s="4">
        <f>SUBTOTAL(109,Table6[cnt])</f>
        <v>58304</v>
      </c>
    </row>
    <row r="57" spans="1:19">
      <c r="A57" s="4">
        <v>56</v>
      </c>
      <c r="B57" s="5">
        <v>40546</v>
      </c>
      <c r="C57" s="4">
        <v>1</v>
      </c>
      <c r="D57" s="4">
        <v>0</v>
      </c>
      <c r="E57" s="4">
        <v>1</v>
      </c>
      <c r="F57" s="4">
        <v>10</v>
      </c>
      <c r="G57" s="4" t="b">
        <v>0</v>
      </c>
      <c r="H57" s="4">
        <v>1</v>
      </c>
      <c r="I57" s="4">
        <v>1</v>
      </c>
      <c r="J57" s="4">
        <v>0.18</v>
      </c>
      <c r="K57" s="4">
        <v>0.16669999999999999</v>
      </c>
      <c r="L57" s="4">
        <v>0.43</v>
      </c>
      <c r="M57" s="4">
        <v>0.25369999999999998</v>
      </c>
      <c r="N57" s="4">
        <v>11</v>
      </c>
      <c r="O57" s="4">
        <v>33</v>
      </c>
      <c r="P57" s="4">
        <v>44</v>
      </c>
      <c r="Q57" s="4">
        <f>SUBTOTAL(109,Table6[casual])</f>
        <v>4921</v>
      </c>
      <c r="R57" s="4">
        <f>SUBTOTAL(109,Table6[registered])</f>
        <v>53383</v>
      </c>
      <c r="S57" s="4">
        <f>SUBTOTAL(109,Table6[cnt])</f>
        <v>58304</v>
      </c>
    </row>
    <row r="58" spans="1:19">
      <c r="A58" s="4">
        <v>57</v>
      </c>
      <c r="B58" s="5">
        <v>40546</v>
      </c>
      <c r="C58" s="4">
        <v>1</v>
      </c>
      <c r="D58" s="4">
        <v>0</v>
      </c>
      <c r="E58" s="4">
        <v>1</v>
      </c>
      <c r="F58" s="4">
        <v>11</v>
      </c>
      <c r="G58" s="4" t="b">
        <v>0</v>
      </c>
      <c r="H58" s="4">
        <v>1</v>
      </c>
      <c r="I58" s="4">
        <v>1</v>
      </c>
      <c r="J58" s="4">
        <v>0.2</v>
      </c>
      <c r="K58" s="4">
        <v>0.18179999999999999</v>
      </c>
      <c r="L58" s="4">
        <v>0.4</v>
      </c>
      <c r="M58" s="4">
        <v>0.32840000000000003</v>
      </c>
      <c r="N58" s="4">
        <v>10</v>
      </c>
      <c r="O58" s="4">
        <v>41</v>
      </c>
      <c r="P58" s="4">
        <v>51</v>
      </c>
      <c r="Q58" s="4">
        <f>SUBTOTAL(109,Table6[casual])</f>
        <v>4921</v>
      </c>
      <c r="R58" s="4">
        <f>SUBTOTAL(109,Table6[registered])</f>
        <v>53383</v>
      </c>
      <c r="S58" s="4">
        <f>SUBTOTAL(109,Table6[cnt])</f>
        <v>58304</v>
      </c>
    </row>
    <row r="59" spans="1:19">
      <c r="A59" s="4">
        <v>58</v>
      </c>
      <c r="B59" s="5">
        <v>40546</v>
      </c>
      <c r="C59" s="4">
        <v>1</v>
      </c>
      <c r="D59" s="4">
        <v>0</v>
      </c>
      <c r="E59" s="4">
        <v>1</v>
      </c>
      <c r="F59" s="4">
        <v>12</v>
      </c>
      <c r="G59" s="4" t="b">
        <v>0</v>
      </c>
      <c r="H59" s="4">
        <v>1</v>
      </c>
      <c r="I59" s="4">
        <v>1</v>
      </c>
      <c r="J59" s="4">
        <v>0.22</v>
      </c>
      <c r="K59" s="4">
        <v>0.21210000000000001</v>
      </c>
      <c r="L59" s="4">
        <v>0.35</v>
      </c>
      <c r="M59" s="4">
        <v>0.29849999999999999</v>
      </c>
      <c r="N59" s="4">
        <v>13</v>
      </c>
      <c r="O59" s="4">
        <v>48</v>
      </c>
      <c r="P59" s="4">
        <v>61</v>
      </c>
      <c r="Q59" s="4">
        <f>SUBTOTAL(109,Table6[casual])</f>
        <v>4921</v>
      </c>
      <c r="R59" s="4">
        <f>SUBTOTAL(109,Table6[registered])</f>
        <v>53383</v>
      </c>
      <c r="S59" s="4">
        <f>SUBTOTAL(109,Table6[cnt])</f>
        <v>58304</v>
      </c>
    </row>
    <row r="60" spans="1:19">
      <c r="A60" s="4">
        <v>59</v>
      </c>
      <c r="B60" s="5">
        <v>40546</v>
      </c>
      <c r="C60" s="4">
        <v>1</v>
      </c>
      <c r="D60" s="4">
        <v>0</v>
      </c>
      <c r="E60" s="4">
        <v>1</v>
      </c>
      <c r="F60" s="4">
        <v>13</v>
      </c>
      <c r="G60" s="4" t="b">
        <v>0</v>
      </c>
      <c r="H60" s="4">
        <v>1</v>
      </c>
      <c r="I60" s="4">
        <v>1</v>
      </c>
      <c r="J60" s="4">
        <v>0.24</v>
      </c>
      <c r="K60" s="4"/>
      <c r="L60" s="4">
        <v>0.35</v>
      </c>
      <c r="M60" s="4">
        <v>0.28360000000000002</v>
      </c>
      <c r="N60" s="4">
        <v>8</v>
      </c>
      <c r="O60" s="4">
        <v>53</v>
      </c>
      <c r="P60" s="4">
        <v>61</v>
      </c>
      <c r="Q60" s="4">
        <f>SUBTOTAL(109,Table6[casual])</f>
        <v>4921</v>
      </c>
      <c r="R60" s="4">
        <f>SUBTOTAL(109,Table6[registered])</f>
        <v>53383</v>
      </c>
      <c r="S60" s="4">
        <f>SUBTOTAL(109,Table6[cnt])</f>
        <v>58304</v>
      </c>
    </row>
    <row r="61" spans="1:19">
      <c r="A61" s="4">
        <v>60</v>
      </c>
      <c r="B61" s="5">
        <v>40546</v>
      </c>
      <c r="C61" s="4">
        <v>1</v>
      </c>
      <c r="D61" s="4">
        <v>0</v>
      </c>
      <c r="E61" s="4">
        <v>1</v>
      </c>
      <c r="F61" s="4">
        <v>14</v>
      </c>
      <c r="G61" s="4" t="b">
        <v>0</v>
      </c>
      <c r="H61" s="4">
        <v>1</v>
      </c>
      <c r="I61" s="4">
        <v>1</v>
      </c>
      <c r="J61" s="4">
        <v>0.26</v>
      </c>
      <c r="K61" s="4">
        <v>0.2424</v>
      </c>
      <c r="L61" s="4">
        <v>0.3</v>
      </c>
      <c r="M61" s="4">
        <v>0.28360000000000002</v>
      </c>
      <c r="N61" s="4">
        <v>11</v>
      </c>
      <c r="O61" s="4">
        <v>66</v>
      </c>
      <c r="P61" s="4">
        <v>77</v>
      </c>
      <c r="Q61" s="4">
        <f>SUBTOTAL(109,Table6[casual])</f>
        <v>4921</v>
      </c>
      <c r="R61" s="4">
        <f>SUBTOTAL(109,Table6[registered])</f>
        <v>53383</v>
      </c>
      <c r="S61" s="4">
        <f>SUBTOTAL(109,Table6[cnt])</f>
        <v>58304</v>
      </c>
    </row>
    <row r="62" spans="1:19">
      <c r="A62" s="4">
        <v>61</v>
      </c>
      <c r="B62" s="5">
        <v>40546</v>
      </c>
      <c r="C62" s="4">
        <v>1</v>
      </c>
      <c r="D62" s="4">
        <v>0</v>
      </c>
      <c r="E62" s="4">
        <v>1</v>
      </c>
      <c r="F62" s="4">
        <v>15</v>
      </c>
      <c r="G62" s="4" t="b">
        <v>0</v>
      </c>
      <c r="H62" s="4">
        <v>1</v>
      </c>
      <c r="I62" s="4">
        <v>1</v>
      </c>
      <c r="J62" s="4">
        <v>0.26</v>
      </c>
      <c r="K62" s="4">
        <v>0.2424</v>
      </c>
      <c r="L62" s="4">
        <v>0.3</v>
      </c>
      <c r="M62" s="4">
        <v>0.25369999999999998</v>
      </c>
      <c r="N62" s="4">
        <v>14</v>
      </c>
      <c r="O62" s="4">
        <v>58</v>
      </c>
      <c r="P62" s="4">
        <v>72</v>
      </c>
      <c r="Q62" s="4">
        <f>SUBTOTAL(109,Table6[casual])</f>
        <v>4921</v>
      </c>
      <c r="R62" s="4">
        <f>SUBTOTAL(109,Table6[registered])</f>
        <v>53383</v>
      </c>
      <c r="S62" s="4">
        <f>SUBTOTAL(109,Table6[cnt])</f>
        <v>58304</v>
      </c>
    </row>
    <row r="63" spans="1:19">
      <c r="A63" s="4">
        <v>62</v>
      </c>
      <c r="B63" s="5">
        <v>40546</v>
      </c>
      <c r="C63" s="4">
        <v>1</v>
      </c>
      <c r="D63" s="4">
        <v>0</v>
      </c>
      <c r="E63" s="4">
        <v>1</v>
      </c>
      <c r="F63" s="4">
        <v>16</v>
      </c>
      <c r="G63" s="4" t="b">
        <v>0</v>
      </c>
      <c r="H63" s="4">
        <v>1</v>
      </c>
      <c r="I63" s="4">
        <v>1</v>
      </c>
      <c r="J63" s="4">
        <v>0.26</v>
      </c>
      <c r="K63" s="4">
        <v>0.2424</v>
      </c>
      <c r="L63" s="4">
        <v>0.3</v>
      </c>
      <c r="M63" s="4">
        <v>0.25369999999999998</v>
      </c>
      <c r="N63" s="4">
        <v>9</v>
      </c>
      <c r="O63" s="4">
        <v>67</v>
      </c>
      <c r="P63" s="4">
        <v>76</v>
      </c>
      <c r="Q63" s="4">
        <f>SUBTOTAL(109,Table6[casual])</f>
        <v>4921</v>
      </c>
      <c r="R63" s="4">
        <f>SUBTOTAL(109,Table6[registered])</f>
        <v>53383</v>
      </c>
      <c r="S63" s="4">
        <f>SUBTOTAL(109,Table6[cnt])</f>
        <v>58304</v>
      </c>
    </row>
    <row r="64" spans="1:19">
      <c r="A64" s="4">
        <v>63</v>
      </c>
      <c r="B64" s="5">
        <v>40546</v>
      </c>
      <c r="C64" s="4">
        <v>1</v>
      </c>
      <c r="D64" s="4">
        <v>0</v>
      </c>
      <c r="E64" s="4">
        <v>1</v>
      </c>
      <c r="F64" s="4">
        <v>17</v>
      </c>
      <c r="G64" s="4" t="b">
        <v>0</v>
      </c>
      <c r="H64" s="4">
        <v>1</v>
      </c>
      <c r="I64" s="4">
        <v>1</v>
      </c>
      <c r="J64" s="4">
        <v>0.24</v>
      </c>
      <c r="K64" s="4">
        <v>0.2273</v>
      </c>
      <c r="L64" s="4">
        <v>0.3</v>
      </c>
      <c r="M64" s="4">
        <v>0.22389999999999999</v>
      </c>
      <c r="N64" s="4">
        <v>11</v>
      </c>
      <c r="O64" s="4">
        <v>146</v>
      </c>
      <c r="P64" s="4">
        <v>157</v>
      </c>
      <c r="Q64" s="4">
        <f>SUBTOTAL(109,Table6[casual])</f>
        <v>4921</v>
      </c>
      <c r="R64" s="4">
        <f>SUBTOTAL(109,Table6[registered])</f>
        <v>53383</v>
      </c>
      <c r="S64" s="4">
        <f>SUBTOTAL(109,Table6[cnt])</f>
        <v>58304</v>
      </c>
    </row>
    <row r="65" spans="1:19">
      <c r="A65" s="4">
        <v>64</v>
      </c>
      <c r="B65" s="5">
        <v>40546</v>
      </c>
      <c r="C65" s="4">
        <v>1</v>
      </c>
      <c r="D65" s="4">
        <v>0</v>
      </c>
      <c r="E65" s="4">
        <v>1</v>
      </c>
      <c r="F65" s="4">
        <v>18</v>
      </c>
      <c r="G65" s="4" t="b">
        <v>0</v>
      </c>
      <c r="H65" s="4">
        <v>1</v>
      </c>
      <c r="I65" s="4">
        <v>1</v>
      </c>
      <c r="J65" s="4">
        <v>0.24</v>
      </c>
      <c r="K65" s="4">
        <v>0.2576</v>
      </c>
      <c r="L65" s="4">
        <v>0.32</v>
      </c>
      <c r="M65" s="4">
        <v>0.1045</v>
      </c>
      <c r="N65" s="4">
        <v>9</v>
      </c>
      <c r="O65" s="4">
        <v>148</v>
      </c>
      <c r="P65" s="4">
        <v>157</v>
      </c>
      <c r="Q65" s="4">
        <f>SUBTOTAL(109,Table6[casual])</f>
        <v>4921</v>
      </c>
      <c r="R65" s="4">
        <f>SUBTOTAL(109,Table6[registered])</f>
        <v>53383</v>
      </c>
      <c r="S65" s="4">
        <f>SUBTOTAL(109,Table6[cnt])</f>
        <v>58304</v>
      </c>
    </row>
    <row r="66" spans="1:19">
      <c r="A66" s="4">
        <v>65</v>
      </c>
      <c r="B66" s="5">
        <v>40546</v>
      </c>
      <c r="C66" s="4">
        <v>1</v>
      </c>
      <c r="D66" s="4">
        <v>0</v>
      </c>
      <c r="E66" s="4">
        <v>1</v>
      </c>
      <c r="F66" s="4">
        <v>19</v>
      </c>
      <c r="G66" s="4" t="b">
        <v>0</v>
      </c>
      <c r="H66" s="4">
        <v>1</v>
      </c>
      <c r="I66" s="4">
        <v>1</v>
      </c>
      <c r="J66" s="4">
        <v>0.2</v>
      </c>
      <c r="K66" s="4">
        <v>0.2576</v>
      </c>
      <c r="L66" s="4">
        <v>0.47</v>
      </c>
      <c r="M66" s="4">
        <v>0</v>
      </c>
      <c r="N66" s="4">
        <v>8</v>
      </c>
      <c r="O66" s="4">
        <v>102</v>
      </c>
      <c r="P66" s="4">
        <v>110</v>
      </c>
      <c r="Q66" s="4">
        <f>SUBTOTAL(109,Table6[casual])</f>
        <v>4921</v>
      </c>
      <c r="R66" s="4">
        <f>SUBTOTAL(109,Table6[registered])</f>
        <v>53383</v>
      </c>
      <c r="S66" s="4">
        <f>SUBTOTAL(109,Table6[cnt])</f>
        <v>58304</v>
      </c>
    </row>
    <row r="67" spans="1:19">
      <c r="A67" s="4">
        <v>66</v>
      </c>
      <c r="B67" s="5">
        <v>40546</v>
      </c>
      <c r="C67" s="4">
        <v>1</v>
      </c>
      <c r="D67" s="4">
        <v>0</v>
      </c>
      <c r="E67" s="4">
        <v>1</v>
      </c>
      <c r="F67" s="4">
        <v>20</v>
      </c>
      <c r="G67" s="4" t="b">
        <v>0</v>
      </c>
      <c r="H67" s="4">
        <v>1</v>
      </c>
      <c r="I67" s="4">
        <v>1</v>
      </c>
      <c r="J67" s="4">
        <v>0.2</v>
      </c>
      <c r="K67" s="4"/>
      <c r="L67" s="4">
        <v>0.47</v>
      </c>
      <c r="M67" s="4">
        <v>0.1045</v>
      </c>
      <c r="N67" s="4">
        <v>3</v>
      </c>
      <c r="O67" s="4">
        <v>49</v>
      </c>
      <c r="P67" s="4">
        <v>52</v>
      </c>
      <c r="Q67" s="4">
        <f>SUBTOTAL(109,Table6[casual])</f>
        <v>4921</v>
      </c>
      <c r="R67" s="4">
        <f>SUBTOTAL(109,Table6[registered])</f>
        <v>53383</v>
      </c>
      <c r="S67" s="4">
        <f>SUBTOTAL(109,Table6[cnt])</f>
        <v>58304</v>
      </c>
    </row>
    <row r="68" spans="1:19">
      <c r="A68" s="4">
        <v>67</v>
      </c>
      <c r="B68" s="5">
        <v>40546</v>
      </c>
      <c r="C68" s="4">
        <v>1</v>
      </c>
      <c r="D68" s="4">
        <v>0</v>
      </c>
      <c r="E68" s="4">
        <v>1</v>
      </c>
      <c r="F68" s="4">
        <v>21</v>
      </c>
      <c r="G68" s="4" t="b">
        <v>0</v>
      </c>
      <c r="H68" s="4">
        <v>1</v>
      </c>
      <c r="I68" s="4">
        <v>1</v>
      </c>
      <c r="J68" s="4">
        <v>0.18</v>
      </c>
      <c r="K68" s="4">
        <v>0.19700000000000001</v>
      </c>
      <c r="L68" s="4">
        <v>0.64</v>
      </c>
      <c r="M68" s="4">
        <v>0.1343</v>
      </c>
      <c r="N68" s="4">
        <v>3</v>
      </c>
      <c r="O68" s="4">
        <v>49</v>
      </c>
      <c r="P68" s="4">
        <v>52</v>
      </c>
      <c r="Q68" s="4">
        <f>SUBTOTAL(109,Table6[casual])</f>
        <v>4921</v>
      </c>
      <c r="R68" s="4">
        <f>SUBTOTAL(109,Table6[registered])</f>
        <v>53383</v>
      </c>
      <c r="S68" s="4">
        <f>SUBTOTAL(109,Table6[cnt])</f>
        <v>58304</v>
      </c>
    </row>
    <row r="69" spans="1:19">
      <c r="A69" s="4">
        <v>68</v>
      </c>
      <c r="B69" s="5">
        <v>40546</v>
      </c>
      <c r="C69" s="4">
        <v>1</v>
      </c>
      <c r="D69" s="4">
        <v>0</v>
      </c>
      <c r="E69" s="4">
        <v>1</v>
      </c>
      <c r="F69" s="4">
        <v>22</v>
      </c>
      <c r="G69" s="4" t="b">
        <v>0</v>
      </c>
      <c r="H69" s="4">
        <v>1</v>
      </c>
      <c r="I69" s="4">
        <v>1</v>
      </c>
      <c r="J69" s="4">
        <v>0.14000000000000001</v>
      </c>
      <c r="K69" s="4">
        <v>0.1515</v>
      </c>
      <c r="L69" s="4">
        <v>0.69</v>
      </c>
      <c r="M69" s="4">
        <v>0.1343</v>
      </c>
      <c r="N69" s="4">
        <v>0</v>
      </c>
      <c r="O69" s="4">
        <v>20</v>
      </c>
      <c r="P69" s="4">
        <v>20</v>
      </c>
      <c r="Q69" s="4">
        <f>SUBTOTAL(109,Table6[casual])</f>
        <v>4921</v>
      </c>
      <c r="R69" s="4">
        <f>SUBTOTAL(109,Table6[registered])</f>
        <v>53383</v>
      </c>
      <c r="S69" s="4">
        <f>SUBTOTAL(109,Table6[cnt])</f>
        <v>58304</v>
      </c>
    </row>
    <row r="70" spans="1:19">
      <c r="A70" s="4">
        <v>69</v>
      </c>
      <c r="B70" s="5">
        <v>40546</v>
      </c>
      <c r="C70" s="4">
        <v>1</v>
      </c>
      <c r="D70" s="4">
        <v>0</v>
      </c>
      <c r="E70" s="4">
        <v>1</v>
      </c>
      <c r="F70" s="4">
        <v>23</v>
      </c>
      <c r="G70" s="4" t="b">
        <v>0</v>
      </c>
      <c r="H70" s="4">
        <v>1</v>
      </c>
      <c r="I70" s="4">
        <v>1</v>
      </c>
      <c r="J70" s="4">
        <v>0.18</v>
      </c>
      <c r="K70" s="4">
        <v>0.21210000000000001</v>
      </c>
      <c r="L70" s="4">
        <v>0.55000000000000004</v>
      </c>
      <c r="M70" s="4">
        <v>0.1045</v>
      </c>
      <c r="N70" s="4">
        <v>1</v>
      </c>
      <c r="O70" s="4">
        <v>11</v>
      </c>
      <c r="P70" s="4">
        <v>12</v>
      </c>
      <c r="Q70" s="4">
        <f>SUBTOTAL(109,Table6[casual])</f>
        <v>4921</v>
      </c>
      <c r="R70" s="4">
        <f>SUBTOTAL(109,Table6[registered])</f>
        <v>53383</v>
      </c>
      <c r="S70" s="4">
        <f>SUBTOTAL(109,Table6[cnt])</f>
        <v>58304</v>
      </c>
    </row>
    <row r="71" spans="1:19">
      <c r="A71" s="4">
        <v>70</v>
      </c>
      <c r="B71" s="5">
        <v>40547</v>
      </c>
      <c r="C71" s="4">
        <v>1</v>
      </c>
      <c r="D71" s="4">
        <v>0</v>
      </c>
      <c r="E71" s="4">
        <v>1</v>
      </c>
      <c r="F71" s="4">
        <v>0</v>
      </c>
      <c r="G71" s="4" t="b">
        <v>0</v>
      </c>
      <c r="H71" s="4">
        <v>2</v>
      </c>
      <c r="I71" s="4">
        <v>1</v>
      </c>
      <c r="J71" s="4">
        <v>0.16</v>
      </c>
      <c r="K71" s="4"/>
      <c r="L71" s="4">
        <v>0.55000000000000004</v>
      </c>
      <c r="M71" s="4">
        <v>0.1045</v>
      </c>
      <c r="N71" s="4">
        <v>0</v>
      </c>
      <c r="O71" s="4">
        <v>5</v>
      </c>
      <c r="P71" s="4">
        <v>5</v>
      </c>
      <c r="Q71" s="4">
        <f>SUBTOTAL(109,Table6[casual])</f>
        <v>4921</v>
      </c>
      <c r="R71" s="4">
        <f>SUBTOTAL(109,Table6[registered])</f>
        <v>53383</v>
      </c>
      <c r="S71" s="4">
        <f>SUBTOTAL(109,Table6[cnt])</f>
        <v>58304</v>
      </c>
    </row>
    <row r="72" spans="1:19">
      <c r="A72" s="4">
        <v>71</v>
      </c>
      <c r="B72" s="5">
        <v>40547</v>
      </c>
      <c r="C72" s="4">
        <v>1</v>
      </c>
      <c r="D72" s="4">
        <v>0</v>
      </c>
      <c r="E72" s="4">
        <v>1</v>
      </c>
      <c r="F72" s="4">
        <v>1</v>
      </c>
      <c r="G72" s="4" t="b">
        <v>0</v>
      </c>
      <c r="H72" s="4">
        <v>2</v>
      </c>
      <c r="I72" s="4">
        <v>1</v>
      </c>
      <c r="J72" s="4">
        <v>0.16</v>
      </c>
      <c r="K72" s="4">
        <v>0.18179999999999999</v>
      </c>
      <c r="L72" s="4">
        <v>0.59</v>
      </c>
      <c r="M72" s="4">
        <v>0.1045</v>
      </c>
      <c r="N72" s="4">
        <v>0</v>
      </c>
      <c r="O72" s="4">
        <v>2</v>
      </c>
      <c r="P72" s="4">
        <v>2</v>
      </c>
      <c r="Q72" s="4">
        <f>SUBTOTAL(109,Table6[casual])</f>
        <v>4921</v>
      </c>
      <c r="R72" s="4">
        <f>SUBTOTAL(109,Table6[registered])</f>
        <v>53383</v>
      </c>
      <c r="S72" s="4">
        <f>SUBTOTAL(109,Table6[cnt])</f>
        <v>58304</v>
      </c>
    </row>
    <row r="73" spans="1:19">
      <c r="A73" s="4">
        <v>72</v>
      </c>
      <c r="B73" s="5">
        <v>40547</v>
      </c>
      <c r="C73" s="4">
        <v>1</v>
      </c>
      <c r="D73" s="4">
        <v>0</v>
      </c>
      <c r="E73" s="4">
        <v>1</v>
      </c>
      <c r="F73" s="4">
        <v>2</v>
      </c>
      <c r="G73" s="4" t="b">
        <v>0</v>
      </c>
      <c r="H73" s="4">
        <v>2</v>
      </c>
      <c r="I73" s="4">
        <v>1</v>
      </c>
      <c r="J73" s="4">
        <v>0.14000000000000001</v>
      </c>
      <c r="K73" s="4">
        <v>0.1515</v>
      </c>
      <c r="L73" s="4">
        <v>0.63</v>
      </c>
      <c r="M73" s="4">
        <v>0.1343</v>
      </c>
      <c r="N73" s="4">
        <v>0</v>
      </c>
      <c r="O73" s="4">
        <v>1</v>
      </c>
      <c r="P73" s="4">
        <v>1</v>
      </c>
      <c r="Q73" s="4">
        <f>SUBTOTAL(109,Table6[casual])</f>
        <v>4921</v>
      </c>
      <c r="R73" s="4">
        <f>SUBTOTAL(109,Table6[registered])</f>
        <v>53383</v>
      </c>
      <c r="S73" s="4">
        <f>SUBTOTAL(109,Table6[cnt])</f>
        <v>58304</v>
      </c>
    </row>
    <row r="74" spans="1:19">
      <c r="A74" s="4">
        <v>73</v>
      </c>
      <c r="B74" s="5">
        <v>40547</v>
      </c>
      <c r="C74" s="4">
        <v>1</v>
      </c>
      <c r="D74" s="4">
        <v>0</v>
      </c>
      <c r="E74" s="4">
        <v>1</v>
      </c>
      <c r="F74" s="4">
        <v>4</v>
      </c>
      <c r="G74" s="4" t="b">
        <v>0</v>
      </c>
      <c r="H74" s="4">
        <v>2</v>
      </c>
      <c r="I74" s="4">
        <v>1</v>
      </c>
      <c r="J74" s="4">
        <v>0.14000000000000001</v>
      </c>
      <c r="K74" s="4">
        <v>0.18179999999999999</v>
      </c>
      <c r="L74" s="4">
        <v>0.63</v>
      </c>
      <c r="M74" s="4">
        <v>8.9599999999999999E-2</v>
      </c>
      <c r="N74" s="4">
        <v>0</v>
      </c>
      <c r="O74" s="4">
        <v>2</v>
      </c>
      <c r="P74" s="4">
        <v>2</v>
      </c>
      <c r="Q74" s="4">
        <f>SUBTOTAL(109,Table6[casual])</f>
        <v>4921</v>
      </c>
      <c r="R74" s="4">
        <f>SUBTOTAL(109,Table6[registered])</f>
        <v>53383</v>
      </c>
      <c r="S74" s="4">
        <f>SUBTOTAL(109,Table6[cnt])</f>
        <v>58304</v>
      </c>
    </row>
    <row r="75" spans="1:19">
      <c r="A75" s="4">
        <v>74</v>
      </c>
      <c r="B75" s="5">
        <v>40547</v>
      </c>
      <c r="C75" s="4">
        <v>1</v>
      </c>
      <c r="D75" s="4">
        <v>0</v>
      </c>
      <c r="E75" s="4">
        <v>1</v>
      </c>
      <c r="F75" s="4">
        <v>5</v>
      </c>
      <c r="G75" s="4" t="b">
        <v>0</v>
      </c>
      <c r="H75" s="4">
        <v>2</v>
      </c>
      <c r="I75" s="4">
        <v>1</v>
      </c>
      <c r="J75" s="4">
        <v>0.12</v>
      </c>
      <c r="K75" s="4">
        <v>0.1515</v>
      </c>
      <c r="L75" s="4">
        <v>0.68</v>
      </c>
      <c r="M75" s="4">
        <v>0.1045</v>
      </c>
      <c r="N75" s="4">
        <v>0</v>
      </c>
      <c r="O75" s="4">
        <v>4</v>
      </c>
      <c r="P75" s="4">
        <v>4</v>
      </c>
      <c r="Q75" s="4">
        <f>SUBTOTAL(109,Table6[casual])</f>
        <v>4921</v>
      </c>
      <c r="R75" s="4">
        <f>SUBTOTAL(109,Table6[registered])</f>
        <v>53383</v>
      </c>
      <c r="S75" s="4">
        <f>SUBTOTAL(109,Table6[cnt])</f>
        <v>58304</v>
      </c>
    </row>
    <row r="76" spans="1:19">
      <c r="A76" s="4">
        <v>75</v>
      </c>
      <c r="B76" s="5">
        <v>40547</v>
      </c>
      <c r="C76" s="4">
        <v>1</v>
      </c>
      <c r="D76" s="4">
        <v>0</v>
      </c>
      <c r="E76" s="4">
        <v>1</v>
      </c>
      <c r="F76" s="4">
        <v>6</v>
      </c>
      <c r="G76" s="4" t="b">
        <v>0</v>
      </c>
      <c r="H76" s="4">
        <v>2</v>
      </c>
      <c r="I76" s="4">
        <v>1</v>
      </c>
      <c r="J76" s="4">
        <v>0.12</v>
      </c>
      <c r="K76" s="4">
        <v>0.1515</v>
      </c>
      <c r="L76" s="4">
        <v>0.74</v>
      </c>
      <c r="M76" s="4">
        <v>0.1045</v>
      </c>
      <c r="N76" s="4">
        <v>0</v>
      </c>
      <c r="O76" s="4">
        <v>36</v>
      </c>
      <c r="P76" s="4">
        <v>36</v>
      </c>
      <c r="Q76" s="4">
        <f>SUBTOTAL(109,Table6[casual])</f>
        <v>4921</v>
      </c>
      <c r="R76" s="4">
        <f>SUBTOTAL(109,Table6[registered])</f>
        <v>53383</v>
      </c>
      <c r="S76" s="4">
        <f>SUBTOTAL(109,Table6[cnt])</f>
        <v>58304</v>
      </c>
    </row>
    <row r="77" spans="1:19">
      <c r="A77" s="4">
        <v>76</v>
      </c>
      <c r="B77" s="5">
        <v>40547</v>
      </c>
      <c r="C77" s="4">
        <v>1</v>
      </c>
      <c r="D77" s="4">
        <v>0</v>
      </c>
      <c r="E77" s="4">
        <v>1</v>
      </c>
      <c r="F77" s="4">
        <v>7</v>
      </c>
      <c r="G77" s="4" t="b">
        <v>0</v>
      </c>
      <c r="H77" s="4">
        <v>2</v>
      </c>
      <c r="I77" s="4">
        <v>1</v>
      </c>
      <c r="J77" s="4">
        <v>0.12</v>
      </c>
      <c r="K77" s="4">
        <v>0.1515</v>
      </c>
      <c r="L77" s="4">
        <v>0.74</v>
      </c>
      <c r="M77" s="4">
        <v>0.1343</v>
      </c>
      <c r="N77" s="4">
        <v>2</v>
      </c>
      <c r="O77" s="4">
        <v>92</v>
      </c>
      <c r="P77" s="4">
        <v>94</v>
      </c>
      <c r="Q77" s="4">
        <f>SUBTOTAL(109,Table6[casual])</f>
        <v>4921</v>
      </c>
      <c r="R77" s="4">
        <f>SUBTOTAL(109,Table6[registered])</f>
        <v>53383</v>
      </c>
      <c r="S77" s="4">
        <f>SUBTOTAL(109,Table6[cnt])</f>
        <v>58304</v>
      </c>
    </row>
    <row r="78" spans="1:19">
      <c r="A78" s="4">
        <v>77</v>
      </c>
      <c r="B78" s="5">
        <v>40547</v>
      </c>
      <c r="C78" s="4">
        <v>1</v>
      </c>
      <c r="D78" s="4">
        <v>0</v>
      </c>
      <c r="E78" s="4">
        <v>1</v>
      </c>
      <c r="F78" s="4">
        <v>8</v>
      </c>
      <c r="G78" s="4" t="b">
        <v>0</v>
      </c>
      <c r="H78" s="4">
        <v>2</v>
      </c>
      <c r="I78" s="4">
        <v>1</v>
      </c>
      <c r="J78" s="4">
        <v>0.14000000000000001</v>
      </c>
      <c r="K78" s="4">
        <v>0.1515</v>
      </c>
      <c r="L78" s="4">
        <v>0.69</v>
      </c>
      <c r="M78" s="4">
        <v>0.16420000000000001</v>
      </c>
      <c r="N78" s="4">
        <v>2</v>
      </c>
      <c r="O78" s="4">
        <v>177</v>
      </c>
      <c r="P78" s="4">
        <v>179</v>
      </c>
      <c r="Q78" s="4">
        <f>SUBTOTAL(109,Table6[casual])</f>
        <v>4921</v>
      </c>
      <c r="R78" s="4">
        <f>SUBTOTAL(109,Table6[registered])</f>
        <v>53383</v>
      </c>
      <c r="S78" s="4">
        <f>SUBTOTAL(109,Table6[cnt])</f>
        <v>58304</v>
      </c>
    </row>
    <row r="79" spans="1:19">
      <c r="A79" s="4">
        <v>78</v>
      </c>
      <c r="B79" s="5">
        <v>40547</v>
      </c>
      <c r="C79" s="4">
        <v>1</v>
      </c>
      <c r="D79" s="4">
        <v>0</v>
      </c>
      <c r="E79" s="4">
        <v>1</v>
      </c>
      <c r="F79" s="4">
        <v>9</v>
      </c>
      <c r="G79" s="4" t="b">
        <v>0</v>
      </c>
      <c r="H79" s="4">
        <v>2</v>
      </c>
      <c r="I79" s="4">
        <v>1</v>
      </c>
      <c r="J79" s="4">
        <v>0.16</v>
      </c>
      <c r="K79" s="4">
        <v>0.1515</v>
      </c>
      <c r="L79" s="4">
        <v>0.64</v>
      </c>
      <c r="M79" s="4">
        <v>0.22389999999999999</v>
      </c>
      <c r="N79" s="4">
        <v>2</v>
      </c>
      <c r="O79" s="4">
        <v>98</v>
      </c>
      <c r="P79" s="4">
        <v>100</v>
      </c>
      <c r="Q79" s="4">
        <f>SUBTOTAL(109,Table6[casual])</f>
        <v>4921</v>
      </c>
      <c r="R79" s="4">
        <f>SUBTOTAL(109,Table6[registered])</f>
        <v>53383</v>
      </c>
      <c r="S79" s="4">
        <f>SUBTOTAL(109,Table6[cnt])</f>
        <v>58304</v>
      </c>
    </row>
    <row r="80" spans="1:19">
      <c r="A80" s="4">
        <v>79</v>
      </c>
      <c r="B80" s="5">
        <v>40547</v>
      </c>
      <c r="C80" s="4">
        <v>1</v>
      </c>
      <c r="D80" s="4">
        <v>0</v>
      </c>
      <c r="E80" s="4">
        <v>1</v>
      </c>
      <c r="F80" s="4">
        <v>10</v>
      </c>
      <c r="G80" s="4" t="b">
        <v>0</v>
      </c>
      <c r="H80" s="4">
        <v>2</v>
      </c>
      <c r="I80" s="4">
        <v>2</v>
      </c>
      <c r="J80" s="4">
        <v>0.16</v>
      </c>
      <c r="K80" s="4">
        <v>0.13639999999999999</v>
      </c>
      <c r="L80" s="4">
        <v>0.69</v>
      </c>
      <c r="M80" s="4">
        <v>0.32840000000000003</v>
      </c>
      <c r="N80" s="4">
        <v>5</v>
      </c>
      <c r="O80" s="4">
        <v>37</v>
      </c>
      <c r="P80" s="4">
        <v>42</v>
      </c>
      <c r="Q80" s="4">
        <f>SUBTOTAL(109,Table6[casual])</f>
        <v>4921</v>
      </c>
      <c r="R80" s="4">
        <f>SUBTOTAL(109,Table6[registered])</f>
        <v>53383</v>
      </c>
      <c r="S80" s="4">
        <f>SUBTOTAL(109,Table6[cnt])</f>
        <v>58304</v>
      </c>
    </row>
    <row r="81" spans="1:19">
      <c r="A81" s="4">
        <v>80</v>
      </c>
      <c r="B81" s="5">
        <v>40547</v>
      </c>
      <c r="C81" s="4">
        <v>1</v>
      </c>
      <c r="D81" s="4">
        <v>0</v>
      </c>
      <c r="E81" s="4">
        <v>1</v>
      </c>
      <c r="F81" s="4">
        <v>11</v>
      </c>
      <c r="G81" s="4" t="b">
        <v>0</v>
      </c>
      <c r="H81" s="4">
        <v>2</v>
      </c>
      <c r="I81" s="4">
        <v>1</v>
      </c>
      <c r="J81" s="4">
        <v>0.22</v>
      </c>
      <c r="K81" s="4">
        <v>0.21210000000000001</v>
      </c>
      <c r="L81" s="4">
        <v>0.51</v>
      </c>
      <c r="M81" s="4">
        <v>0.29849999999999999</v>
      </c>
      <c r="N81" s="4">
        <v>7</v>
      </c>
      <c r="O81" s="4">
        <v>50</v>
      </c>
      <c r="P81" s="4">
        <v>57</v>
      </c>
      <c r="Q81" s="4">
        <f>SUBTOTAL(109,Table6[casual])</f>
        <v>4921</v>
      </c>
      <c r="R81" s="4">
        <f>SUBTOTAL(109,Table6[registered])</f>
        <v>53383</v>
      </c>
      <c r="S81" s="4">
        <f>SUBTOTAL(109,Table6[cnt])</f>
        <v>58304</v>
      </c>
    </row>
    <row r="82" spans="1:19">
      <c r="A82" s="4">
        <v>81</v>
      </c>
      <c r="B82" s="5">
        <v>40547</v>
      </c>
      <c r="C82" s="4">
        <v>1</v>
      </c>
      <c r="D82" s="4">
        <v>0</v>
      </c>
      <c r="E82" s="4">
        <v>1</v>
      </c>
      <c r="F82" s="4">
        <v>12</v>
      </c>
      <c r="G82" s="4" t="b">
        <v>0</v>
      </c>
      <c r="H82" s="4">
        <v>2</v>
      </c>
      <c r="I82" s="4">
        <v>1</v>
      </c>
      <c r="J82" s="4">
        <v>0.22</v>
      </c>
      <c r="K82" s="4">
        <v>0.2273</v>
      </c>
      <c r="L82" s="4">
        <v>0.51</v>
      </c>
      <c r="M82" s="4">
        <v>0.16420000000000001</v>
      </c>
      <c r="N82" s="4">
        <v>12</v>
      </c>
      <c r="O82" s="4">
        <v>66</v>
      </c>
      <c r="P82" s="4">
        <v>78</v>
      </c>
      <c r="Q82" s="4">
        <f>SUBTOTAL(109,Table6[casual])</f>
        <v>4921</v>
      </c>
      <c r="R82" s="4">
        <f>SUBTOTAL(109,Table6[registered])</f>
        <v>53383</v>
      </c>
      <c r="S82" s="4">
        <f>SUBTOTAL(109,Table6[cnt])</f>
        <v>58304</v>
      </c>
    </row>
    <row r="83" spans="1:19">
      <c r="A83" s="4">
        <v>82</v>
      </c>
      <c r="B83" s="5">
        <v>40547</v>
      </c>
      <c r="C83" s="4">
        <v>1</v>
      </c>
      <c r="D83" s="4">
        <v>0</v>
      </c>
      <c r="E83" s="4">
        <v>1</v>
      </c>
      <c r="F83" s="4">
        <v>13</v>
      </c>
      <c r="G83" s="4" t="b">
        <v>0</v>
      </c>
      <c r="H83" s="4">
        <v>2</v>
      </c>
      <c r="I83" s="4">
        <v>1</v>
      </c>
      <c r="J83" s="4">
        <v>0.24</v>
      </c>
      <c r="K83" s="4">
        <v>0.2273</v>
      </c>
      <c r="L83" s="4">
        <v>0.56000000000000005</v>
      </c>
      <c r="M83" s="4">
        <v>0.19400000000000001</v>
      </c>
      <c r="N83" s="4">
        <v>18</v>
      </c>
      <c r="O83" s="4">
        <v>79</v>
      </c>
      <c r="P83" s="4">
        <v>97</v>
      </c>
      <c r="Q83" s="4">
        <f>SUBTOTAL(109,Table6[casual])</f>
        <v>4921</v>
      </c>
      <c r="R83" s="4">
        <f>SUBTOTAL(109,Table6[registered])</f>
        <v>53383</v>
      </c>
      <c r="S83" s="4">
        <f>SUBTOTAL(109,Table6[cnt])</f>
        <v>58304</v>
      </c>
    </row>
    <row r="84" spans="1:19">
      <c r="A84" s="4">
        <v>83</v>
      </c>
      <c r="B84" s="5">
        <v>40547</v>
      </c>
      <c r="C84" s="4">
        <v>1</v>
      </c>
      <c r="D84" s="4">
        <v>0</v>
      </c>
      <c r="E84" s="4">
        <v>1</v>
      </c>
      <c r="F84" s="4">
        <v>14</v>
      </c>
      <c r="G84" s="4" t="b">
        <v>0</v>
      </c>
      <c r="H84" s="4">
        <v>2</v>
      </c>
      <c r="I84" s="4">
        <v>1</v>
      </c>
      <c r="J84" s="4">
        <v>0.26</v>
      </c>
      <c r="K84" s="4">
        <v>0.2576</v>
      </c>
      <c r="L84" s="4">
        <v>0.52</v>
      </c>
      <c r="M84" s="4">
        <v>0.22389999999999999</v>
      </c>
      <c r="N84" s="4">
        <v>9</v>
      </c>
      <c r="O84" s="4">
        <v>54</v>
      </c>
      <c r="P84" s="4">
        <v>63</v>
      </c>
      <c r="Q84" s="4">
        <f>SUBTOTAL(109,Table6[casual])</f>
        <v>4921</v>
      </c>
      <c r="R84" s="4">
        <f>SUBTOTAL(109,Table6[registered])</f>
        <v>53383</v>
      </c>
      <c r="S84" s="4">
        <f>SUBTOTAL(109,Table6[cnt])</f>
        <v>58304</v>
      </c>
    </row>
    <row r="85" spans="1:19">
      <c r="A85" s="4">
        <v>84</v>
      </c>
      <c r="B85" s="5">
        <v>40547</v>
      </c>
      <c r="C85" s="4">
        <v>1</v>
      </c>
      <c r="D85" s="4">
        <v>0</v>
      </c>
      <c r="E85" s="4">
        <v>1</v>
      </c>
      <c r="F85" s="4">
        <v>15</v>
      </c>
      <c r="G85" s="4" t="b">
        <v>0</v>
      </c>
      <c r="H85" s="4">
        <v>2</v>
      </c>
      <c r="I85" s="4">
        <v>1</v>
      </c>
      <c r="J85" s="4">
        <v>0.28000000000000003</v>
      </c>
      <c r="K85" s="4">
        <v>0.2727</v>
      </c>
      <c r="L85" s="4">
        <v>0.52</v>
      </c>
      <c r="M85" s="4">
        <v>0.25369999999999998</v>
      </c>
      <c r="N85" s="4">
        <v>17</v>
      </c>
      <c r="O85" s="4">
        <v>48</v>
      </c>
      <c r="P85" s="4">
        <v>65</v>
      </c>
      <c r="Q85" s="4">
        <f>SUBTOTAL(109,Table6[casual])</f>
        <v>4921</v>
      </c>
      <c r="R85" s="4">
        <f>SUBTOTAL(109,Table6[registered])</f>
        <v>53383</v>
      </c>
      <c r="S85" s="4">
        <f>SUBTOTAL(109,Table6[cnt])</f>
        <v>58304</v>
      </c>
    </row>
    <row r="86" spans="1:19">
      <c r="A86" s="4">
        <v>85</v>
      </c>
      <c r="B86" s="5">
        <v>40547</v>
      </c>
      <c r="C86" s="4">
        <v>1</v>
      </c>
      <c r="D86" s="4">
        <v>0</v>
      </c>
      <c r="E86" s="4">
        <v>1</v>
      </c>
      <c r="F86" s="4">
        <v>16</v>
      </c>
      <c r="G86" s="4" t="b">
        <v>0</v>
      </c>
      <c r="H86" s="4">
        <v>2</v>
      </c>
      <c r="I86" s="4">
        <v>1</v>
      </c>
      <c r="J86" s="4">
        <v>0.3</v>
      </c>
      <c r="K86" s="4">
        <v>0.28789999999999999</v>
      </c>
      <c r="L86" s="4">
        <v>0.49</v>
      </c>
      <c r="M86" s="4">
        <v>0.25369999999999998</v>
      </c>
      <c r="N86" s="4">
        <v>15</v>
      </c>
      <c r="O86" s="4">
        <v>68</v>
      </c>
      <c r="P86" s="4">
        <v>83</v>
      </c>
      <c r="Q86" s="4">
        <f>SUBTOTAL(109,Table6[casual])</f>
        <v>4921</v>
      </c>
      <c r="R86" s="4">
        <f>SUBTOTAL(109,Table6[registered])</f>
        <v>53383</v>
      </c>
      <c r="S86" s="4">
        <f>SUBTOTAL(109,Table6[cnt])</f>
        <v>58304</v>
      </c>
    </row>
    <row r="87" spans="1:19">
      <c r="A87" s="4">
        <v>86</v>
      </c>
      <c r="B87" s="5">
        <v>40547</v>
      </c>
      <c r="C87" s="4">
        <v>1</v>
      </c>
      <c r="D87" s="4">
        <v>0</v>
      </c>
      <c r="E87" s="4">
        <v>1</v>
      </c>
      <c r="F87" s="4">
        <v>17</v>
      </c>
      <c r="G87" s="4" t="b">
        <v>0</v>
      </c>
      <c r="H87" s="4">
        <v>2</v>
      </c>
      <c r="I87" s="4">
        <v>1</v>
      </c>
      <c r="J87" s="4">
        <v>0.28000000000000003</v>
      </c>
      <c r="K87" s="4">
        <v>0.2727</v>
      </c>
      <c r="L87" s="4">
        <v>0.48</v>
      </c>
      <c r="M87" s="4">
        <v>0.22389999999999999</v>
      </c>
      <c r="N87" s="4">
        <v>10</v>
      </c>
      <c r="O87" s="4">
        <v>202</v>
      </c>
      <c r="P87" s="4">
        <v>212</v>
      </c>
      <c r="Q87" s="4">
        <f>SUBTOTAL(109,Table6[casual])</f>
        <v>4921</v>
      </c>
      <c r="R87" s="4">
        <f>SUBTOTAL(109,Table6[registered])</f>
        <v>53383</v>
      </c>
      <c r="S87" s="4">
        <f>SUBTOTAL(109,Table6[cnt])</f>
        <v>58304</v>
      </c>
    </row>
    <row r="88" spans="1:19">
      <c r="A88" s="4">
        <v>87</v>
      </c>
      <c r="B88" s="5">
        <v>40547</v>
      </c>
      <c r="C88" s="4">
        <v>1</v>
      </c>
      <c r="D88" s="4">
        <v>0</v>
      </c>
      <c r="E88" s="4">
        <v>1</v>
      </c>
      <c r="F88" s="4">
        <v>18</v>
      </c>
      <c r="G88" s="4" t="b">
        <v>0</v>
      </c>
      <c r="H88" s="4">
        <v>2</v>
      </c>
      <c r="I88" s="4">
        <v>1</v>
      </c>
      <c r="J88" s="4">
        <v>0.26</v>
      </c>
      <c r="K88" s="4">
        <v>0.2576</v>
      </c>
      <c r="L88" s="4">
        <v>0.48</v>
      </c>
      <c r="M88" s="4">
        <v>0.19400000000000001</v>
      </c>
      <c r="N88" s="4">
        <v>3</v>
      </c>
      <c r="O88" s="4">
        <v>179</v>
      </c>
      <c r="P88" s="4">
        <v>182</v>
      </c>
      <c r="Q88" s="4">
        <f>SUBTOTAL(109,Table6[casual])</f>
        <v>4921</v>
      </c>
      <c r="R88" s="4">
        <f>SUBTOTAL(109,Table6[registered])</f>
        <v>53383</v>
      </c>
      <c r="S88" s="4">
        <f>SUBTOTAL(109,Table6[cnt])</f>
        <v>58304</v>
      </c>
    </row>
    <row r="89" spans="1:19">
      <c r="A89" s="4">
        <v>88</v>
      </c>
      <c r="B89" s="5">
        <v>40547</v>
      </c>
      <c r="C89" s="4">
        <v>1</v>
      </c>
      <c r="D89" s="4">
        <v>0</v>
      </c>
      <c r="E89" s="4">
        <v>1</v>
      </c>
      <c r="F89" s="4">
        <v>19</v>
      </c>
      <c r="G89" s="4" t="b">
        <v>0</v>
      </c>
      <c r="H89" s="4">
        <v>2</v>
      </c>
      <c r="I89" s="4">
        <v>1</v>
      </c>
      <c r="J89" s="4">
        <v>0.24</v>
      </c>
      <c r="K89" s="4">
        <v>0.2576</v>
      </c>
      <c r="L89" s="4">
        <v>0.48</v>
      </c>
      <c r="M89" s="4">
        <v>0.1045</v>
      </c>
      <c r="N89" s="4">
        <v>2</v>
      </c>
      <c r="O89" s="4">
        <v>110</v>
      </c>
      <c r="P89" s="4">
        <v>112</v>
      </c>
      <c r="Q89" s="4">
        <f>SUBTOTAL(109,Table6[casual])</f>
        <v>4921</v>
      </c>
      <c r="R89" s="4">
        <f>SUBTOTAL(109,Table6[registered])</f>
        <v>53383</v>
      </c>
      <c r="S89" s="4">
        <f>SUBTOTAL(109,Table6[cnt])</f>
        <v>58304</v>
      </c>
    </row>
    <row r="90" spans="1:19">
      <c r="A90" s="4">
        <v>89</v>
      </c>
      <c r="B90" s="5">
        <v>40547</v>
      </c>
      <c r="C90" s="4">
        <v>1</v>
      </c>
      <c r="D90" s="4">
        <v>0</v>
      </c>
      <c r="E90" s="4">
        <v>1</v>
      </c>
      <c r="F90" s="4">
        <v>20</v>
      </c>
      <c r="G90" s="4" t="b">
        <v>0</v>
      </c>
      <c r="H90" s="4">
        <v>2</v>
      </c>
      <c r="I90" s="4">
        <v>1</v>
      </c>
      <c r="J90" s="4">
        <v>0.24</v>
      </c>
      <c r="K90" s="4">
        <v>0.2576</v>
      </c>
      <c r="L90" s="4">
        <v>0.48</v>
      </c>
      <c r="M90" s="4">
        <v>0.1045</v>
      </c>
      <c r="N90" s="4">
        <v>1</v>
      </c>
      <c r="O90" s="4">
        <v>53</v>
      </c>
      <c r="P90" s="4">
        <v>54</v>
      </c>
      <c r="Q90" s="4">
        <f>SUBTOTAL(109,Table6[casual])</f>
        <v>4921</v>
      </c>
      <c r="R90" s="4">
        <f>SUBTOTAL(109,Table6[registered])</f>
        <v>53383</v>
      </c>
      <c r="S90" s="4">
        <f>SUBTOTAL(109,Table6[cnt])</f>
        <v>58304</v>
      </c>
    </row>
    <row r="91" spans="1:19">
      <c r="A91" s="4">
        <v>90</v>
      </c>
      <c r="B91" s="5">
        <v>40547</v>
      </c>
      <c r="C91" s="4">
        <v>1</v>
      </c>
      <c r="D91" s="4">
        <v>0</v>
      </c>
      <c r="E91" s="4">
        <v>1</v>
      </c>
      <c r="F91" s="4">
        <v>21</v>
      </c>
      <c r="G91" s="4" t="b">
        <v>0</v>
      </c>
      <c r="H91" s="4">
        <v>2</v>
      </c>
      <c r="I91" s="4">
        <v>1</v>
      </c>
      <c r="J91" s="4">
        <v>0.22</v>
      </c>
      <c r="K91" s="4">
        <v>0.2727</v>
      </c>
      <c r="L91" s="4">
        <v>0.64</v>
      </c>
      <c r="M91" s="4">
        <v>0</v>
      </c>
      <c r="N91" s="4">
        <v>0</v>
      </c>
      <c r="O91" s="4">
        <v>48</v>
      </c>
      <c r="P91" s="4">
        <v>48</v>
      </c>
      <c r="Q91" s="4">
        <f>SUBTOTAL(109,Table6[casual])</f>
        <v>4921</v>
      </c>
      <c r="R91" s="4">
        <f>SUBTOTAL(109,Table6[registered])</f>
        <v>53383</v>
      </c>
      <c r="S91" s="4">
        <f>SUBTOTAL(109,Table6[cnt])</f>
        <v>58304</v>
      </c>
    </row>
    <row r="92" spans="1:19">
      <c r="A92" s="4">
        <v>91</v>
      </c>
      <c r="B92" s="5">
        <v>40547</v>
      </c>
      <c r="C92" s="4">
        <v>1</v>
      </c>
      <c r="D92" s="4">
        <v>0</v>
      </c>
      <c r="E92" s="4">
        <v>1</v>
      </c>
      <c r="F92" s="4">
        <v>22</v>
      </c>
      <c r="G92" s="4" t="b">
        <v>0</v>
      </c>
      <c r="H92" s="4">
        <v>2</v>
      </c>
      <c r="I92" s="4">
        <v>1</v>
      </c>
      <c r="J92" s="4">
        <v>0.22</v>
      </c>
      <c r="K92" s="4">
        <v>0.2576</v>
      </c>
      <c r="L92" s="4">
        <v>0.64</v>
      </c>
      <c r="M92" s="4">
        <v>8.9599999999999999E-2</v>
      </c>
      <c r="N92" s="4">
        <v>1</v>
      </c>
      <c r="O92" s="4">
        <v>34</v>
      </c>
      <c r="P92" s="4">
        <v>35</v>
      </c>
      <c r="Q92" s="4">
        <f>SUBTOTAL(109,Table6[casual])</f>
        <v>4921</v>
      </c>
      <c r="R92" s="4">
        <f>SUBTOTAL(109,Table6[registered])</f>
        <v>53383</v>
      </c>
      <c r="S92" s="4">
        <f>SUBTOTAL(109,Table6[cnt])</f>
        <v>58304</v>
      </c>
    </row>
    <row r="93" spans="1:19">
      <c r="A93" s="4">
        <v>92</v>
      </c>
      <c r="B93" s="5">
        <v>40547</v>
      </c>
      <c r="C93" s="4">
        <v>1</v>
      </c>
      <c r="D93" s="4">
        <v>0</v>
      </c>
      <c r="E93" s="4">
        <v>1</v>
      </c>
      <c r="F93" s="4">
        <v>23</v>
      </c>
      <c r="G93" s="4" t="b">
        <v>0</v>
      </c>
      <c r="H93" s="4">
        <v>2</v>
      </c>
      <c r="I93" s="4">
        <v>1</v>
      </c>
      <c r="J93" s="4">
        <v>0.2</v>
      </c>
      <c r="K93" s="4">
        <v>0.2273</v>
      </c>
      <c r="L93" s="4">
        <v>0.69</v>
      </c>
      <c r="M93" s="4">
        <v>8.9599999999999999E-2</v>
      </c>
      <c r="N93" s="4">
        <v>2</v>
      </c>
      <c r="O93" s="4">
        <v>9</v>
      </c>
      <c r="P93" s="4">
        <v>11</v>
      </c>
      <c r="Q93" s="4">
        <f>SUBTOTAL(109,Table6[casual])</f>
        <v>4921</v>
      </c>
      <c r="R93" s="4">
        <f>SUBTOTAL(109,Table6[registered])</f>
        <v>53383</v>
      </c>
      <c r="S93" s="4">
        <f>SUBTOTAL(109,Table6[cnt])</f>
        <v>58304</v>
      </c>
    </row>
    <row r="94" spans="1:19">
      <c r="A94" s="4">
        <v>93</v>
      </c>
      <c r="B94" s="5">
        <v>40548</v>
      </c>
      <c r="C94" s="4">
        <v>1</v>
      </c>
      <c r="D94" s="4">
        <v>0</v>
      </c>
      <c r="E94" s="4">
        <v>1</v>
      </c>
      <c r="F94" s="4">
        <v>0</v>
      </c>
      <c r="G94" s="4" t="b">
        <v>0</v>
      </c>
      <c r="H94" s="4">
        <v>3</v>
      </c>
      <c r="I94" s="4">
        <v>1</v>
      </c>
      <c r="J94" s="4">
        <v>0.2</v>
      </c>
      <c r="K94" s="4">
        <v>0.2576</v>
      </c>
      <c r="L94" s="4">
        <v>0.64</v>
      </c>
      <c r="M94" s="4">
        <v>0</v>
      </c>
      <c r="N94" s="4">
        <v>0</v>
      </c>
      <c r="O94" s="4">
        <v>6</v>
      </c>
      <c r="P94" s="4">
        <v>6</v>
      </c>
      <c r="Q94" s="4">
        <f>SUBTOTAL(109,Table6[casual])</f>
        <v>4921</v>
      </c>
      <c r="R94" s="4">
        <f>SUBTOTAL(109,Table6[registered])</f>
        <v>53383</v>
      </c>
      <c r="S94" s="4">
        <f>SUBTOTAL(109,Table6[cnt])</f>
        <v>58304</v>
      </c>
    </row>
    <row r="95" spans="1:19">
      <c r="A95" s="4">
        <v>94</v>
      </c>
      <c r="B95" s="5">
        <v>40548</v>
      </c>
      <c r="C95" s="4">
        <v>1</v>
      </c>
      <c r="D95" s="4">
        <v>0</v>
      </c>
      <c r="E95" s="4">
        <v>1</v>
      </c>
      <c r="F95" s="4">
        <v>1</v>
      </c>
      <c r="G95" s="4" t="b">
        <v>0</v>
      </c>
      <c r="H95" s="4">
        <v>3</v>
      </c>
      <c r="I95" s="4">
        <v>1</v>
      </c>
      <c r="J95" s="4">
        <v>0.16</v>
      </c>
      <c r="K95" s="4">
        <v>0.19700000000000001</v>
      </c>
      <c r="L95" s="4">
        <v>0.74</v>
      </c>
      <c r="M95" s="4">
        <v>8.9599999999999999E-2</v>
      </c>
      <c r="N95" s="4">
        <v>0</v>
      </c>
      <c r="O95" s="4">
        <v>6</v>
      </c>
      <c r="P95" s="4">
        <v>6</v>
      </c>
      <c r="Q95" s="4">
        <f>SUBTOTAL(109,Table6[casual])</f>
        <v>4921</v>
      </c>
      <c r="R95" s="4">
        <f>SUBTOTAL(109,Table6[registered])</f>
        <v>53383</v>
      </c>
      <c r="S95" s="4">
        <f>SUBTOTAL(109,Table6[cnt])</f>
        <v>58304</v>
      </c>
    </row>
    <row r="96" spans="1:19">
      <c r="A96" s="4">
        <v>95</v>
      </c>
      <c r="B96" s="5">
        <v>40548</v>
      </c>
      <c r="C96" s="4">
        <v>1</v>
      </c>
      <c r="D96" s="4">
        <v>0</v>
      </c>
      <c r="E96" s="4">
        <v>1</v>
      </c>
      <c r="F96" s="4">
        <v>2</v>
      </c>
      <c r="G96" s="4" t="b">
        <v>0</v>
      </c>
      <c r="H96" s="4">
        <v>3</v>
      </c>
      <c r="I96" s="4">
        <v>1</v>
      </c>
      <c r="J96" s="4">
        <v>0.16</v>
      </c>
      <c r="K96" s="4">
        <v>0.19700000000000001</v>
      </c>
      <c r="L96" s="4">
        <v>0.74</v>
      </c>
      <c r="M96" s="4">
        <v>8.9599999999999999E-2</v>
      </c>
      <c r="N96" s="4">
        <v>0</v>
      </c>
      <c r="O96" s="4">
        <v>2</v>
      </c>
      <c r="P96" s="4">
        <v>2</v>
      </c>
      <c r="Q96" s="4">
        <f>SUBTOTAL(109,Table6[casual])</f>
        <v>4921</v>
      </c>
      <c r="R96" s="4">
        <f>SUBTOTAL(109,Table6[registered])</f>
        <v>53383</v>
      </c>
      <c r="S96" s="4">
        <f>SUBTOTAL(109,Table6[cnt])</f>
        <v>58304</v>
      </c>
    </row>
    <row r="97" spans="1:19">
      <c r="A97" s="4">
        <v>96</v>
      </c>
      <c r="B97" s="5">
        <v>40548</v>
      </c>
      <c r="C97" s="4">
        <v>1</v>
      </c>
      <c r="D97" s="4">
        <v>0</v>
      </c>
      <c r="E97" s="4">
        <v>1</v>
      </c>
      <c r="F97" s="4">
        <v>4</v>
      </c>
      <c r="G97" s="4" t="b">
        <v>0</v>
      </c>
      <c r="H97" s="4">
        <v>3</v>
      </c>
      <c r="I97" s="4">
        <v>1</v>
      </c>
      <c r="J97" s="4">
        <v>0.24</v>
      </c>
      <c r="K97" s="4">
        <v>0.2273</v>
      </c>
      <c r="L97" s="4">
        <v>0.48</v>
      </c>
      <c r="M97" s="4">
        <v>0.22389999999999999</v>
      </c>
      <c r="N97" s="4">
        <v>0</v>
      </c>
      <c r="O97" s="4">
        <v>2</v>
      </c>
      <c r="P97" s="4">
        <v>2</v>
      </c>
      <c r="Q97" s="4">
        <f>SUBTOTAL(109,Table6[casual])</f>
        <v>4921</v>
      </c>
      <c r="R97" s="4">
        <f>SUBTOTAL(109,Table6[registered])</f>
        <v>53383</v>
      </c>
      <c r="S97" s="4">
        <f>SUBTOTAL(109,Table6[cnt])</f>
        <v>58304</v>
      </c>
    </row>
    <row r="98" spans="1:19">
      <c r="A98" s="4">
        <v>97</v>
      </c>
      <c r="B98" s="5">
        <v>40548</v>
      </c>
      <c r="C98" s="4">
        <v>1</v>
      </c>
      <c r="D98" s="4">
        <v>0</v>
      </c>
      <c r="E98" s="4">
        <v>1</v>
      </c>
      <c r="F98" s="4">
        <v>5</v>
      </c>
      <c r="G98" s="4" t="b">
        <v>0</v>
      </c>
      <c r="H98" s="4">
        <v>3</v>
      </c>
      <c r="I98" s="4">
        <v>1</v>
      </c>
      <c r="J98" s="4">
        <v>0.22</v>
      </c>
      <c r="K98" s="4">
        <v>0.2273</v>
      </c>
      <c r="L98" s="4">
        <v>0.47</v>
      </c>
      <c r="M98" s="4">
        <v>0.16420000000000001</v>
      </c>
      <c r="N98" s="4">
        <v>0</v>
      </c>
      <c r="O98" s="4">
        <v>3</v>
      </c>
      <c r="P98" s="4">
        <v>3</v>
      </c>
      <c r="Q98" s="4">
        <f>SUBTOTAL(109,Table6[casual])</f>
        <v>4921</v>
      </c>
      <c r="R98" s="4">
        <f>SUBTOTAL(109,Table6[registered])</f>
        <v>53383</v>
      </c>
      <c r="S98" s="4">
        <f>SUBTOTAL(109,Table6[cnt])</f>
        <v>58304</v>
      </c>
    </row>
    <row r="99" spans="1:19">
      <c r="A99" s="4">
        <v>98</v>
      </c>
      <c r="B99" s="5">
        <v>40548</v>
      </c>
      <c r="C99" s="4">
        <v>1</v>
      </c>
      <c r="D99" s="4">
        <v>0</v>
      </c>
      <c r="E99" s="4">
        <v>1</v>
      </c>
      <c r="F99" s="4">
        <v>6</v>
      </c>
      <c r="G99" s="4" t="b">
        <v>0</v>
      </c>
      <c r="H99" s="4">
        <v>3</v>
      </c>
      <c r="I99" s="4">
        <v>1</v>
      </c>
      <c r="J99" s="4">
        <v>0.2</v>
      </c>
      <c r="K99" s="4">
        <v>0.19700000000000001</v>
      </c>
      <c r="L99" s="4">
        <v>0.47</v>
      </c>
      <c r="M99" s="4">
        <v>0.22389999999999999</v>
      </c>
      <c r="N99" s="4">
        <v>0</v>
      </c>
      <c r="O99" s="4">
        <v>33</v>
      </c>
      <c r="P99" s="4">
        <v>33</v>
      </c>
      <c r="Q99" s="4">
        <f>SUBTOTAL(109,Table6[casual])</f>
        <v>4921</v>
      </c>
      <c r="R99" s="4">
        <f>SUBTOTAL(109,Table6[registered])</f>
        <v>53383</v>
      </c>
      <c r="S99" s="4">
        <f>SUBTOTAL(109,Table6[cnt])</f>
        <v>58304</v>
      </c>
    </row>
    <row r="100" spans="1:19">
      <c r="A100" s="4">
        <v>99</v>
      </c>
      <c r="B100" s="5">
        <v>40548</v>
      </c>
      <c r="C100" s="4">
        <v>1</v>
      </c>
      <c r="D100" s="4">
        <v>0</v>
      </c>
      <c r="E100" s="4">
        <v>1</v>
      </c>
      <c r="F100" s="4">
        <v>7</v>
      </c>
      <c r="G100" s="4" t="b">
        <v>0</v>
      </c>
      <c r="H100" s="4">
        <v>3</v>
      </c>
      <c r="I100" s="4">
        <v>1</v>
      </c>
      <c r="J100" s="4">
        <v>0.18</v>
      </c>
      <c r="K100" s="4">
        <v>0.18179999999999999</v>
      </c>
      <c r="L100" s="4">
        <v>0.43</v>
      </c>
      <c r="M100" s="4">
        <v>0.19400000000000001</v>
      </c>
      <c r="N100" s="4">
        <v>1</v>
      </c>
      <c r="O100" s="4">
        <v>87</v>
      </c>
      <c r="P100" s="4">
        <v>88</v>
      </c>
      <c r="Q100" s="4">
        <f>SUBTOTAL(109,Table6[casual])</f>
        <v>4921</v>
      </c>
      <c r="R100" s="4">
        <f>SUBTOTAL(109,Table6[registered])</f>
        <v>53383</v>
      </c>
      <c r="S100" s="4">
        <f>SUBTOTAL(109,Table6[cnt])</f>
        <v>58304</v>
      </c>
    </row>
    <row r="101" spans="1:19">
      <c r="A101" s="4">
        <v>100</v>
      </c>
      <c r="B101" s="5">
        <v>40548</v>
      </c>
      <c r="C101" s="4">
        <v>1</v>
      </c>
      <c r="D101" s="4">
        <v>0</v>
      </c>
      <c r="E101" s="4">
        <v>1</v>
      </c>
      <c r="F101" s="4">
        <v>8</v>
      </c>
      <c r="G101" s="4" t="b">
        <v>0</v>
      </c>
      <c r="H101" s="4">
        <v>3</v>
      </c>
      <c r="I101" s="4">
        <v>1</v>
      </c>
      <c r="J101" s="4">
        <v>0.2</v>
      </c>
      <c r="K101" s="4">
        <v>0.18179999999999999</v>
      </c>
      <c r="L101" s="4">
        <v>0.4</v>
      </c>
      <c r="M101" s="4">
        <v>0.29849999999999999</v>
      </c>
      <c r="N101" s="4">
        <v>3</v>
      </c>
      <c r="O101" s="4">
        <v>192</v>
      </c>
      <c r="P101" s="4">
        <v>195</v>
      </c>
      <c r="Q101" s="4">
        <f>SUBTOTAL(109,Table6[casual])</f>
        <v>4921</v>
      </c>
      <c r="R101" s="4">
        <f>SUBTOTAL(109,Table6[registered])</f>
        <v>53383</v>
      </c>
      <c r="S101" s="4">
        <f>SUBTOTAL(109,Table6[cnt])</f>
        <v>58304</v>
      </c>
    </row>
    <row r="102" spans="1:19">
      <c r="A102" s="4">
        <v>101</v>
      </c>
      <c r="B102" s="5">
        <v>40548</v>
      </c>
      <c r="C102" s="4">
        <v>1</v>
      </c>
      <c r="D102" s="4">
        <v>0</v>
      </c>
      <c r="E102" s="4">
        <v>1</v>
      </c>
      <c r="F102" s="4">
        <v>9</v>
      </c>
      <c r="G102" s="4" t="b">
        <v>0</v>
      </c>
      <c r="H102" s="4">
        <v>3</v>
      </c>
      <c r="I102" s="4">
        <v>1</v>
      </c>
      <c r="J102" s="4">
        <v>0.22</v>
      </c>
      <c r="K102" s="4">
        <v>0.19700000000000001</v>
      </c>
      <c r="L102" s="4">
        <v>0.37</v>
      </c>
      <c r="M102" s="4">
        <v>0.32840000000000003</v>
      </c>
      <c r="N102" s="4">
        <v>6</v>
      </c>
      <c r="O102" s="4">
        <v>109</v>
      </c>
      <c r="P102" s="4">
        <v>115</v>
      </c>
      <c r="Q102" s="4">
        <f>SUBTOTAL(109,Table6[casual])</f>
        <v>4921</v>
      </c>
      <c r="R102" s="4">
        <f>SUBTOTAL(109,Table6[registered])</f>
        <v>53383</v>
      </c>
      <c r="S102" s="4">
        <f>SUBTOTAL(109,Table6[cnt])</f>
        <v>58304</v>
      </c>
    </row>
    <row r="103" spans="1:19">
      <c r="A103" s="4">
        <v>102</v>
      </c>
      <c r="B103" s="5">
        <v>40548</v>
      </c>
      <c r="C103" s="4">
        <v>1</v>
      </c>
      <c r="D103" s="4">
        <v>0</v>
      </c>
      <c r="E103" s="4">
        <v>1</v>
      </c>
      <c r="F103" s="4">
        <v>10</v>
      </c>
      <c r="G103" s="4" t="b">
        <v>0</v>
      </c>
      <c r="H103" s="4">
        <v>3</v>
      </c>
      <c r="I103" s="4">
        <v>1</v>
      </c>
      <c r="J103" s="4">
        <v>0.22</v>
      </c>
      <c r="K103" s="4">
        <v>0.19700000000000001</v>
      </c>
      <c r="L103" s="4">
        <v>0.37</v>
      </c>
      <c r="M103" s="4">
        <v>0.32840000000000003</v>
      </c>
      <c r="N103" s="4">
        <v>4</v>
      </c>
      <c r="O103" s="4">
        <v>53</v>
      </c>
      <c r="P103" s="4">
        <v>57</v>
      </c>
      <c r="Q103" s="4">
        <f>SUBTOTAL(109,Table6[casual])</f>
        <v>4921</v>
      </c>
      <c r="R103" s="4">
        <f>SUBTOTAL(109,Table6[registered])</f>
        <v>53383</v>
      </c>
      <c r="S103" s="4">
        <f>SUBTOTAL(109,Table6[cnt])</f>
        <v>58304</v>
      </c>
    </row>
    <row r="104" spans="1:19">
      <c r="A104" s="4">
        <v>103</v>
      </c>
      <c r="B104" s="5">
        <v>40548</v>
      </c>
      <c r="C104" s="4">
        <v>1</v>
      </c>
      <c r="D104" s="4">
        <v>0</v>
      </c>
      <c r="E104" s="4">
        <v>1</v>
      </c>
      <c r="F104" s="4">
        <v>11</v>
      </c>
      <c r="G104" s="4" t="b">
        <v>0</v>
      </c>
      <c r="H104" s="4">
        <v>3</v>
      </c>
      <c r="I104" s="4">
        <v>1</v>
      </c>
      <c r="J104" s="4">
        <v>0.26</v>
      </c>
      <c r="K104" s="4">
        <v>0.2273</v>
      </c>
      <c r="L104" s="4">
        <v>0.33</v>
      </c>
      <c r="M104" s="4">
        <v>0.32840000000000003</v>
      </c>
      <c r="N104" s="4">
        <v>12</v>
      </c>
      <c r="O104" s="4">
        <v>34</v>
      </c>
      <c r="P104" s="4">
        <v>46</v>
      </c>
      <c r="Q104" s="4">
        <f>SUBTOTAL(109,Table6[casual])</f>
        <v>4921</v>
      </c>
      <c r="R104" s="4">
        <f>SUBTOTAL(109,Table6[registered])</f>
        <v>53383</v>
      </c>
      <c r="S104" s="4">
        <f>SUBTOTAL(109,Table6[cnt])</f>
        <v>58304</v>
      </c>
    </row>
    <row r="105" spans="1:19">
      <c r="A105" s="4">
        <v>104</v>
      </c>
      <c r="B105" s="5">
        <v>40548</v>
      </c>
      <c r="C105" s="4">
        <v>1</v>
      </c>
      <c r="D105" s="4">
        <v>0</v>
      </c>
      <c r="E105" s="4">
        <v>1</v>
      </c>
      <c r="F105" s="4">
        <v>12</v>
      </c>
      <c r="G105" s="4" t="b">
        <v>0</v>
      </c>
      <c r="H105" s="4">
        <v>3</v>
      </c>
      <c r="I105" s="4">
        <v>1</v>
      </c>
      <c r="J105" s="4">
        <v>0.26</v>
      </c>
      <c r="K105" s="4">
        <v>0.2273</v>
      </c>
      <c r="L105" s="4">
        <v>0.33</v>
      </c>
      <c r="M105" s="4">
        <v>0.32840000000000003</v>
      </c>
      <c r="N105" s="4">
        <v>5</v>
      </c>
      <c r="O105" s="4">
        <v>74</v>
      </c>
      <c r="P105" s="4">
        <v>79</v>
      </c>
      <c r="Q105" s="4">
        <f>SUBTOTAL(109,Table6[casual])</f>
        <v>4921</v>
      </c>
      <c r="R105" s="4">
        <f>SUBTOTAL(109,Table6[registered])</f>
        <v>53383</v>
      </c>
      <c r="S105" s="4">
        <f>SUBTOTAL(109,Table6[cnt])</f>
        <v>58304</v>
      </c>
    </row>
    <row r="106" spans="1:19">
      <c r="A106" s="4">
        <v>105</v>
      </c>
      <c r="B106" s="5">
        <v>40548</v>
      </c>
      <c r="C106" s="4">
        <v>1</v>
      </c>
      <c r="D106" s="4">
        <v>0</v>
      </c>
      <c r="E106" s="4">
        <v>1</v>
      </c>
      <c r="F106" s="4">
        <v>13</v>
      </c>
      <c r="G106" s="4" t="b">
        <v>0</v>
      </c>
      <c r="H106" s="4">
        <v>3</v>
      </c>
      <c r="I106" s="4">
        <v>1</v>
      </c>
      <c r="J106" s="4">
        <v>0.28000000000000003</v>
      </c>
      <c r="K106" s="4">
        <v>0.2576</v>
      </c>
      <c r="L106" s="4">
        <v>0.3</v>
      </c>
      <c r="M106" s="4">
        <v>0.29849999999999999</v>
      </c>
      <c r="N106" s="4">
        <v>6</v>
      </c>
      <c r="O106" s="4">
        <v>65</v>
      </c>
      <c r="P106" s="4">
        <v>71</v>
      </c>
      <c r="Q106" s="4">
        <f>SUBTOTAL(109,Table6[casual])</f>
        <v>4921</v>
      </c>
      <c r="R106" s="4">
        <f>SUBTOTAL(109,Table6[registered])</f>
        <v>53383</v>
      </c>
      <c r="S106" s="4">
        <f>SUBTOTAL(109,Table6[cnt])</f>
        <v>58304</v>
      </c>
    </row>
    <row r="107" spans="1:19">
      <c r="A107" s="4">
        <v>106</v>
      </c>
      <c r="B107" s="5">
        <v>40548</v>
      </c>
      <c r="C107" s="4">
        <v>1</v>
      </c>
      <c r="D107" s="4">
        <v>0</v>
      </c>
      <c r="E107" s="4">
        <v>1</v>
      </c>
      <c r="F107" s="4">
        <v>14</v>
      </c>
      <c r="G107" s="4" t="b">
        <v>0</v>
      </c>
      <c r="H107" s="4">
        <v>3</v>
      </c>
      <c r="I107" s="4">
        <v>1</v>
      </c>
      <c r="J107" s="4">
        <v>0.3</v>
      </c>
      <c r="K107" s="4">
        <v>0.28789999999999999</v>
      </c>
      <c r="L107" s="4">
        <v>0.28000000000000003</v>
      </c>
      <c r="M107" s="4">
        <v>0.19400000000000001</v>
      </c>
      <c r="N107" s="4">
        <v>10</v>
      </c>
      <c r="O107" s="4">
        <v>52</v>
      </c>
      <c r="P107" s="4">
        <v>62</v>
      </c>
      <c r="Q107" s="4">
        <f>SUBTOTAL(109,Table6[casual])</f>
        <v>4921</v>
      </c>
      <c r="R107" s="4">
        <f>SUBTOTAL(109,Table6[registered])</f>
        <v>53383</v>
      </c>
      <c r="S107" s="4">
        <f>SUBTOTAL(109,Table6[cnt])</f>
        <v>58304</v>
      </c>
    </row>
    <row r="108" spans="1:19">
      <c r="A108" s="4">
        <v>107</v>
      </c>
      <c r="B108" s="5">
        <v>40548</v>
      </c>
      <c r="C108" s="4">
        <v>1</v>
      </c>
      <c r="D108" s="4">
        <v>0</v>
      </c>
      <c r="E108" s="4">
        <v>1</v>
      </c>
      <c r="F108" s="4">
        <v>15</v>
      </c>
      <c r="G108" s="4" t="b">
        <v>0</v>
      </c>
      <c r="H108" s="4">
        <v>3</v>
      </c>
      <c r="I108" s="4">
        <v>1</v>
      </c>
      <c r="J108" s="4">
        <v>0.3</v>
      </c>
      <c r="K108" s="4">
        <v>0.28789999999999999</v>
      </c>
      <c r="L108" s="4">
        <v>0.28000000000000003</v>
      </c>
      <c r="M108" s="4">
        <v>0.19400000000000001</v>
      </c>
      <c r="N108" s="4">
        <v>7</v>
      </c>
      <c r="O108" s="4">
        <v>55</v>
      </c>
      <c r="P108" s="4">
        <v>62</v>
      </c>
      <c r="Q108" s="4">
        <f>SUBTOTAL(109,Table6[casual])</f>
        <v>4921</v>
      </c>
      <c r="R108" s="4">
        <f>SUBTOTAL(109,Table6[registered])</f>
        <v>53383</v>
      </c>
      <c r="S108" s="4">
        <f>SUBTOTAL(109,Table6[cnt])</f>
        <v>58304</v>
      </c>
    </row>
    <row r="109" spans="1:19">
      <c r="A109" s="4">
        <v>108</v>
      </c>
      <c r="B109" s="5">
        <v>40548</v>
      </c>
      <c r="C109" s="4">
        <v>1</v>
      </c>
      <c r="D109" s="4">
        <v>0</v>
      </c>
      <c r="E109" s="4">
        <v>1</v>
      </c>
      <c r="F109" s="4">
        <v>16</v>
      </c>
      <c r="G109" s="4" t="b">
        <v>0</v>
      </c>
      <c r="H109" s="4">
        <v>3</v>
      </c>
      <c r="I109" s="4">
        <v>1</v>
      </c>
      <c r="J109" s="4">
        <v>0.3</v>
      </c>
      <c r="K109" s="4">
        <v>0.31819999999999998</v>
      </c>
      <c r="L109" s="4">
        <v>0.28000000000000003</v>
      </c>
      <c r="M109" s="4">
        <v>8.9599999999999999E-2</v>
      </c>
      <c r="N109" s="4">
        <v>4</v>
      </c>
      <c r="O109" s="4">
        <v>85</v>
      </c>
      <c r="P109" s="4">
        <v>89</v>
      </c>
      <c r="Q109" s="4">
        <f>SUBTOTAL(109,Table6[casual])</f>
        <v>4921</v>
      </c>
      <c r="R109" s="4">
        <f>SUBTOTAL(109,Table6[registered])</f>
        <v>53383</v>
      </c>
      <c r="S109" s="4">
        <f>SUBTOTAL(109,Table6[cnt])</f>
        <v>58304</v>
      </c>
    </row>
    <row r="110" spans="1:19">
      <c r="A110" s="4">
        <v>109</v>
      </c>
      <c r="B110" s="5">
        <v>40548</v>
      </c>
      <c r="C110" s="4">
        <v>1</v>
      </c>
      <c r="D110" s="4">
        <v>0</v>
      </c>
      <c r="E110" s="4">
        <v>1</v>
      </c>
      <c r="F110" s="4">
        <v>17</v>
      </c>
      <c r="G110" s="4" t="b">
        <v>0</v>
      </c>
      <c r="H110" s="4">
        <v>3</v>
      </c>
      <c r="I110" s="4">
        <v>1</v>
      </c>
      <c r="J110" s="4">
        <v>0.24</v>
      </c>
      <c r="K110" s="4">
        <v>0.2273</v>
      </c>
      <c r="L110" s="4">
        <v>0.38</v>
      </c>
      <c r="M110" s="4">
        <v>0.19400000000000001</v>
      </c>
      <c r="N110" s="4">
        <v>4</v>
      </c>
      <c r="O110" s="4">
        <v>186</v>
      </c>
      <c r="P110" s="4">
        <v>190</v>
      </c>
      <c r="Q110" s="4">
        <f>SUBTOTAL(109,Table6[casual])</f>
        <v>4921</v>
      </c>
      <c r="R110" s="4">
        <f>SUBTOTAL(109,Table6[registered])</f>
        <v>53383</v>
      </c>
      <c r="S110" s="4">
        <f>SUBTOTAL(109,Table6[cnt])</f>
        <v>58304</v>
      </c>
    </row>
    <row r="111" spans="1:19">
      <c r="A111" s="4">
        <v>110</v>
      </c>
      <c r="B111" s="5">
        <v>40548</v>
      </c>
      <c r="C111" s="4">
        <v>1</v>
      </c>
      <c r="D111" s="4">
        <v>0</v>
      </c>
      <c r="E111" s="4">
        <v>1</v>
      </c>
      <c r="F111" s="4">
        <v>18</v>
      </c>
      <c r="G111" s="4" t="b">
        <v>0</v>
      </c>
      <c r="H111" s="4">
        <v>3</v>
      </c>
      <c r="I111" s="4">
        <v>1</v>
      </c>
      <c r="J111" s="4">
        <v>0.24</v>
      </c>
      <c r="K111" s="4">
        <v>0.2424</v>
      </c>
      <c r="L111" s="4">
        <v>0.38</v>
      </c>
      <c r="M111" s="4">
        <v>0.1343</v>
      </c>
      <c r="N111" s="4">
        <v>3</v>
      </c>
      <c r="O111" s="4">
        <v>166</v>
      </c>
      <c r="P111" s="4">
        <v>169</v>
      </c>
      <c r="Q111" s="4">
        <f>SUBTOTAL(109,Table6[casual])</f>
        <v>4921</v>
      </c>
      <c r="R111" s="4">
        <f>SUBTOTAL(109,Table6[registered])</f>
        <v>53383</v>
      </c>
      <c r="S111" s="4">
        <f>SUBTOTAL(109,Table6[cnt])</f>
        <v>58304</v>
      </c>
    </row>
    <row r="112" spans="1:19">
      <c r="A112" s="4">
        <v>111</v>
      </c>
      <c r="B112" s="5">
        <v>40548</v>
      </c>
      <c r="C112" s="4">
        <v>1</v>
      </c>
      <c r="D112" s="4">
        <v>0</v>
      </c>
      <c r="E112" s="4">
        <v>1</v>
      </c>
      <c r="F112" s="4">
        <v>19</v>
      </c>
      <c r="G112" s="4" t="b">
        <v>0</v>
      </c>
      <c r="H112" s="4">
        <v>3</v>
      </c>
      <c r="I112" s="4">
        <v>1</v>
      </c>
      <c r="J112" s="4">
        <v>0.24</v>
      </c>
      <c r="K112" s="4">
        <v>0.2576</v>
      </c>
      <c r="L112" s="4">
        <v>0.38</v>
      </c>
      <c r="M112" s="4">
        <v>0.1045</v>
      </c>
      <c r="N112" s="4">
        <v>5</v>
      </c>
      <c r="O112" s="4">
        <v>127</v>
      </c>
      <c r="P112" s="4">
        <v>132</v>
      </c>
      <c r="Q112" s="4">
        <f>SUBTOTAL(109,Table6[casual])</f>
        <v>4921</v>
      </c>
      <c r="R112" s="4">
        <f>SUBTOTAL(109,Table6[registered])</f>
        <v>53383</v>
      </c>
      <c r="S112" s="4">
        <f>SUBTOTAL(109,Table6[cnt])</f>
        <v>58304</v>
      </c>
    </row>
    <row r="113" spans="1:19">
      <c r="A113" s="4">
        <v>112</v>
      </c>
      <c r="B113" s="5">
        <v>40548</v>
      </c>
      <c r="C113" s="4">
        <v>1</v>
      </c>
      <c r="D113" s="4">
        <v>0</v>
      </c>
      <c r="E113" s="4">
        <v>1</v>
      </c>
      <c r="F113" s="4">
        <v>20</v>
      </c>
      <c r="G113" s="4" t="b">
        <v>0</v>
      </c>
      <c r="H113" s="4">
        <v>3</v>
      </c>
      <c r="I113" s="4">
        <v>1</v>
      </c>
      <c r="J113" s="4">
        <v>0.22</v>
      </c>
      <c r="K113" s="4">
        <v>0.2273</v>
      </c>
      <c r="L113" s="4">
        <v>0.47</v>
      </c>
      <c r="M113" s="4">
        <v>0.16420000000000001</v>
      </c>
      <c r="N113" s="4">
        <v>7</v>
      </c>
      <c r="O113" s="4">
        <v>82</v>
      </c>
      <c r="P113" s="4">
        <v>89</v>
      </c>
      <c r="Q113" s="4">
        <f>SUBTOTAL(109,Table6[casual])</f>
        <v>4921</v>
      </c>
      <c r="R113" s="4">
        <f>SUBTOTAL(109,Table6[registered])</f>
        <v>53383</v>
      </c>
      <c r="S113" s="4">
        <f>SUBTOTAL(109,Table6[cnt])</f>
        <v>58304</v>
      </c>
    </row>
    <row r="114" spans="1:19">
      <c r="A114" s="4">
        <v>113</v>
      </c>
      <c r="B114" s="5">
        <v>40548</v>
      </c>
      <c r="C114" s="4">
        <v>1</v>
      </c>
      <c r="D114" s="4">
        <v>0</v>
      </c>
      <c r="E114" s="4">
        <v>1</v>
      </c>
      <c r="F114" s="4">
        <v>21</v>
      </c>
      <c r="G114" s="4" t="b">
        <v>0</v>
      </c>
      <c r="H114" s="4">
        <v>3</v>
      </c>
      <c r="I114" s="4">
        <v>1</v>
      </c>
      <c r="J114" s="4">
        <v>0.2</v>
      </c>
      <c r="K114" s="4">
        <v>0.19700000000000001</v>
      </c>
      <c r="L114" s="4">
        <v>0.51</v>
      </c>
      <c r="M114" s="4">
        <v>0.19400000000000001</v>
      </c>
      <c r="N114" s="4">
        <v>3</v>
      </c>
      <c r="O114" s="4">
        <v>40</v>
      </c>
      <c r="P114" s="4">
        <v>43</v>
      </c>
      <c r="Q114" s="4">
        <f>SUBTOTAL(109,Table6[casual])</f>
        <v>4921</v>
      </c>
      <c r="R114" s="4">
        <f>SUBTOTAL(109,Table6[registered])</f>
        <v>53383</v>
      </c>
      <c r="S114" s="4">
        <f>SUBTOTAL(109,Table6[cnt])</f>
        <v>58304</v>
      </c>
    </row>
    <row r="115" spans="1:19">
      <c r="A115" s="4">
        <v>114</v>
      </c>
      <c r="B115" s="5">
        <v>40548</v>
      </c>
      <c r="C115" s="4">
        <v>1</v>
      </c>
      <c r="D115" s="4">
        <v>0</v>
      </c>
      <c r="E115" s="4">
        <v>1</v>
      </c>
      <c r="F115" s="4">
        <v>22</v>
      </c>
      <c r="G115" s="4" t="b">
        <v>0</v>
      </c>
      <c r="H115" s="4">
        <v>3</v>
      </c>
      <c r="I115" s="4">
        <v>1</v>
      </c>
      <c r="J115" s="4">
        <v>0.18</v>
      </c>
      <c r="K115" s="4">
        <v>0.19700000000000001</v>
      </c>
      <c r="L115" s="4">
        <v>0.55000000000000004</v>
      </c>
      <c r="M115" s="4">
        <v>0.1343</v>
      </c>
      <c r="N115" s="4">
        <v>1</v>
      </c>
      <c r="O115" s="4">
        <v>41</v>
      </c>
      <c r="P115" s="4">
        <v>42</v>
      </c>
      <c r="Q115" s="4">
        <f>SUBTOTAL(109,Table6[casual])</f>
        <v>4921</v>
      </c>
      <c r="R115" s="4">
        <f>SUBTOTAL(109,Table6[registered])</f>
        <v>53383</v>
      </c>
      <c r="S115" s="4">
        <f>SUBTOTAL(109,Table6[cnt])</f>
        <v>58304</v>
      </c>
    </row>
    <row r="116" spans="1:19">
      <c r="A116" s="4">
        <v>115</v>
      </c>
      <c r="B116" s="5">
        <v>40548</v>
      </c>
      <c r="C116" s="4">
        <v>1</v>
      </c>
      <c r="D116" s="4">
        <v>0</v>
      </c>
      <c r="E116" s="4">
        <v>1</v>
      </c>
      <c r="F116" s="4">
        <v>23</v>
      </c>
      <c r="G116" s="4" t="b">
        <v>0</v>
      </c>
      <c r="H116" s="4">
        <v>3</v>
      </c>
      <c r="I116" s="4">
        <v>1</v>
      </c>
      <c r="J116" s="4">
        <v>0.2</v>
      </c>
      <c r="K116" s="4">
        <v>0.2576</v>
      </c>
      <c r="L116" s="4">
        <v>0.47</v>
      </c>
      <c r="M116" s="4">
        <v>0</v>
      </c>
      <c r="N116" s="4">
        <v>1</v>
      </c>
      <c r="O116" s="4">
        <v>18</v>
      </c>
      <c r="P116" s="4">
        <v>19</v>
      </c>
      <c r="Q116" s="4">
        <f>SUBTOTAL(109,Table6[casual])</f>
        <v>4921</v>
      </c>
      <c r="R116" s="4">
        <f>SUBTOTAL(109,Table6[registered])</f>
        <v>53383</v>
      </c>
      <c r="S116" s="4">
        <f>SUBTOTAL(109,Table6[cnt])</f>
        <v>58304</v>
      </c>
    </row>
    <row r="117" spans="1:19">
      <c r="A117" s="4">
        <v>116</v>
      </c>
      <c r="B117" s="5">
        <v>40549</v>
      </c>
      <c r="C117" s="4">
        <v>1</v>
      </c>
      <c r="D117" s="4">
        <v>0</v>
      </c>
      <c r="E117" s="4">
        <v>1</v>
      </c>
      <c r="F117" s="4">
        <v>0</v>
      </c>
      <c r="G117" s="4" t="b">
        <v>0</v>
      </c>
      <c r="H117" s="4">
        <v>4</v>
      </c>
      <c r="I117" s="4">
        <v>1</v>
      </c>
      <c r="J117" s="4">
        <v>0.18</v>
      </c>
      <c r="K117" s="4">
        <v>0.2424</v>
      </c>
      <c r="L117" s="4">
        <v>0.55000000000000004</v>
      </c>
      <c r="M117" s="4">
        <v>0</v>
      </c>
      <c r="N117" s="4">
        <v>0</v>
      </c>
      <c r="O117" s="4">
        <v>11</v>
      </c>
      <c r="P117" s="4">
        <v>11</v>
      </c>
      <c r="Q117" s="4">
        <f>SUBTOTAL(109,Table6[casual])</f>
        <v>4921</v>
      </c>
      <c r="R117" s="4">
        <f>SUBTOTAL(109,Table6[registered])</f>
        <v>53383</v>
      </c>
      <c r="S117" s="4">
        <f>SUBTOTAL(109,Table6[cnt])</f>
        <v>58304</v>
      </c>
    </row>
    <row r="118" spans="1:19">
      <c r="A118" s="4">
        <v>117</v>
      </c>
      <c r="B118" s="5">
        <v>40549</v>
      </c>
      <c r="C118" s="4">
        <v>1</v>
      </c>
      <c r="D118" s="4">
        <v>0</v>
      </c>
      <c r="E118" s="4">
        <v>1</v>
      </c>
      <c r="F118" s="4">
        <v>1</v>
      </c>
      <c r="G118" s="4" t="b">
        <v>0</v>
      </c>
      <c r="H118" s="4">
        <v>4</v>
      </c>
      <c r="I118" s="4">
        <v>1</v>
      </c>
      <c r="J118" s="4">
        <v>0.16</v>
      </c>
      <c r="K118" s="4">
        <v>0.2273</v>
      </c>
      <c r="L118" s="4">
        <v>0.64</v>
      </c>
      <c r="M118" s="4">
        <v>0</v>
      </c>
      <c r="N118" s="4">
        <v>0</v>
      </c>
      <c r="O118" s="4">
        <v>4</v>
      </c>
      <c r="P118" s="4">
        <v>4</v>
      </c>
      <c r="Q118" s="4">
        <f>SUBTOTAL(109,Table6[casual])</f>
        <v>4921</v>
      </c>
      <c r="R118" s="4">
        <f>SUBTOTAL(109,Table6[registered])</f>
        <v>53383</v>
      </c>
      <c r="S118" s="4">
        <f>SUBTOTAL(109,Table6[cnt])</f>
        <v>58304</v>
      </c>
    </row>
    <row r="119" spans="1:19">
      <c r="A119" s="4">
        <v>118</v>
      </c>
      <c r="B119" s="5">
        <v>40549</v>
      </c>
      <c r="C119" s="4">
        <v>1</v>
      </c>
      <c r="D119" s="4">
        <v>0</v>
      </c>
      <c r="E119" s="4">
        <v>1</v>
      </c>
      <c r="F119" s="4">
        <v>2</v>
      </c>
      <c r="G119" s="4" t="b">
        <v>0</v>
      </c>
      <c r="H119" s="4">
        <v>4</v>
      </c>
      <c r="I119" s="4">
        <v>1</v>
      </c>
      <c r="J119" s="4">
        <v>0.16</v>
      </c>
      <c r="K119" s="4">
        <v>0.2273</v>
      </c>
      <c r="L119" s="4">
        <v>0.64</v>
      </c>
      <c r="M119" s="4">
        <v>0</v>
      </c>
      <c r="N119" s="4">
        <v>0</v>
      </c>
      <c r="O119" s="4">
        <v>2</v>
      </c>
      <c r="P119" s="4">
        <v>2</v>
      </c>
      <c r="Q119" s="4">
        <f>SUBTOTAL(109,Table6[casual])</f>
        <v>4921</v>
      </c>
      <c r="R119" s="4">
        <f>SUBTOTAL(109,Table6[registered])</f>
        <v>53383</v>
      </c>
      <c r="S119" s="4">
        <f>SUBTOTAL(109,Table6[cnt])</f>
        <v>58304</v>
      </c>
    </row>
    <row r="120" spans="1:19">
      <c r="A120" s="4">
        <v>119</v>
      </c>
      <c r="B120" s="5">
        <v>40549</v>
      </c>
      <c r="C120" s="4">
        <v>1</v>
      </c>
      <c r="D120" s="4">
        <v>0</v>
      </c>
      <c r="E120" s="4">
        <v>1</v>
      </c>
      <c r="F120" s="4">
        <v>4</v>
      </c>
      <c r="G120" s="4" t="b">
        <v>0</v>
      </c>
      <c r="H120" s="4">
        <v>4</v>
      </c>
      <c r="I120" s="4">
        <v>2</v>
      </c>
      <c r="J120" s="4">
        <v>0.16</v>
      </c>
      <c r="K120" s="4">
        <v>0.19700000000000001</v>
      </c>
      <c r="L120" s="4">
        <v>0.64</v>
      </c>
      <c r="M120" s="4">
        <v>8.9599999999999999E-2</v>
      </c>
      <c r="N120" s="4">
        <v>0</v>
      </c>
      <c r="O120" s="4">
        <v>1</v>
      </c>
      <c r="P120" s="4">
        <v>1</v>
      </c>
      <c r="Q120" s="4">
        <f>SUBTOTAL(109,Table6[casual])</f>
        <v>4921</v>
      </c>
      <c r="R120" s="4">
        <f>SUBTOTAL(109,Table6[registered])</f>
        <v>53383</v>
      </c>
      <c r="S120" s="4">
        <f>SUBTOTAL(109,Table6[cnt])</f>
        <v>58304</v>
      </c>
    </row>
    <row r="121" spans="1:19">
      <c r="A121" s="4">
        <v>120</v>
      </c>
      <c r="B121" s="5">
        <v>40549</v>
      </c>
      <c r="C121" s="4">
        <v>1</v>
      </c>
      <c r="D121" s="4">
        <v>0</v>
      </c>
      <c r="E121" s="4">
        <v>1</v>
      </c>
      <c r="F121" s="4">
        <v>5</v>
      </c>
      <c r="G121" s="4" t="b">
        <v>0</v>
      </c>
      <c r="H121" s="4">
        <v>4</v>
      </c>
      <c r="I121" s="4">
        <v>2</v>
      </c>
      <c r="J121" s="4">
        <v>0.14000000000000001</v>
      </c>
      <c r="K121" s="4">
        <v>0.18179999999999999</v>
      </c>
      <c r="L121" s="4">
        <v>0.69</v>
      </c>
      <c r="M121" s="4">
        <v>8.9599999999999999E-2</v>
      </c>
      <c r="N121" s="4">
        <v>0</v>
      </c>
      <c r="O121" s="4">
        <v>4</v>
      </c>
      <c r="P121" s="4">
        <v>4</v>
      </c>
      <c r="Q121" s="4">
        <f>SUBTOTAL(109,Table6[casual])</f>
        <v>4921</v>
      </c>
      <c r="R121" s="4">
        <f>SUBTOTAL(109,Table6[registered])</f>
        <v>53383</v>
      </c>
      <c r="S121" s="4">
        <f>SUBTOTAL(109,Table6[cnt])</f>
        <v>58304</v>
      </c>
    </row>
    <row r="122" spans="1:19">
      <c r="A122" s="4">
        <v>121</v>
      </c>
      <c r="B122" s="5">
        <v>40549</v>
      </c>
      <c r="C122" s="4">
        <v>1</v>
      </c>
      <c r="D122" s="4">
        <v>0</v>
      </c>
      <c r="E122" s="4">
        <v>1</v>
      </c>
      <c r="F122" s="4">
        <v>6</v>
      </c>
      <c r="G122" s="4" t="b">
        <v>0</v>
      </c>
      <c r="H122" s="4">
        <v>4</v>
      </c>
      <c r="I122" s="4">
        <v>2</v>
      </c>
      <c r="J122" s="4">
        <v>0.14000000000000001</v>
      </c>
      <c r="K122" s="4">
        <v>0.16669999999999999</v>
      </c>
      <c r="L122" s="4">
        <v>0.63</v>
      </c>
      <c r="M122" s="4">
        <v>0.1045</v>
      </c>
      <c r="N122" s="4">
        <v>0</v>
      </c>
      <c r="O122" s="4">
        <v>36</v>
      </c>
      <c r="P122" s="4">
        <v>36</v>
      </c>
      <c r="Q122" s="4">
        <f>SUBTOTAL(109,Table6[casual])</f>
        <v>4921</v>
      </c>
      <c r="R122" s="4">
        <f>SUBTOTAL(109,Table6[registered])</f>
        <v>53383</v>
      </c>
      <c r="S122" s="4">
        <f>SUBTOTAL(109,Table6[cnt])</f>
        <v>58304</v>
      </c>
    </row>
    <row r="123" spans="1:19">
      <c r="A123" s="4">
        <v>122</v>
      </c>
      <c r="B123" s="5">
        <v>40549</v>
      </c>
      <c r="C123" s="4">
        <v>1</v>
      </c>
      <c r="D123" s="4">
        <v>0</v>
      </c>
      <c r="E123" s="4">
        <v>1</v>
      </c>
      <c r="F123" s="4">
        <v>7</v>
      </c>
      <c r="G123" s="4" t="b">
        <v>0</v>
      </c>
      <c r="H123" s="4">
        <v>4</v>
      </c>
      <c r="I123" s="4">
        <v>2</v>
      </c>
      <c r="J123" s="4">
        <v>0.16</v>
      </c>
      <c r="K123" s="4">
        <v>0.2273</v>
      </c>
      <c r="L123" s="4">
        <v>0.59</v>
      </c>
      <c r="M123" s="4">
        <v>0</v>
      </c>
      <c r="N123" s="4">
        <v>0</v>
      </c>
      <c r="O123" s="4">
        <v>95</v>
      </c>
      <c r="P123" s="4">
        <v>95</v>
      </c>
      <c r="Q123" s="4">
        <f>SUBTOTAL(109,Table6[casual])</f>
        <v>4921</v>
      </c>
      <c r="R123" s="4">
        <f>SUBTOTAL(109,Table6[registered])</f>
        <v>53383</v>
      </c>
      <c r="S123" s="4">
        <f>SUBTOTAL(109,Table6[cnt])</f>
        <v>58304</v>
      </c>
    </row>
    <row r="124" spans="1:19">
      <c r="A124" s="4">
        <v>123</v>
      </c>
      <c r="B124" s="5">
        <v>40549</v>
      </c>
      <c r="C124" s="4">
        <v>1</v>
      </c>
      <c r="D124" s="4">
        <v>0</v>
      </c>
      <c r="E124" s="4">
        <v>1</v>
      </c>
      <c r="F124" s="4">
        <v>8</v>
      </c>
      <c r="G124" s="4" t="b">
        <v>0</v>
      </c>
      <c r="H124" s="4">
        <v>4</v>
      </c>
      <c r="I124" s="4">
        <v>1</v>
      </c>
      <c r="J124" s="4">
        <v>0.16</v>
      </c>
      <c r="K124" s="4">
        <v>0.2273</v>
      </c>
      <c r="L124" s="4">
        <v>0.59</v>
      </c>
      <c r="M124" s="4">
        <v>0</v>
      </c>
      <c r="N124" s="4">
        <v>3</v>
      </c>
      <c r="O124" s="4">
        <v>216</v>
      </c>
      <c r="P124" s="4">
        <v>219</v>
      </c>
      <c r="Q124" s="4">
        <f>SUBTOTAL(109,Table6[casual])</f>
        <v>4921</v>
      </c>
      <c r="R124" s="4">
        <f>SUBTOTAL(109,Table6[registered])</f>
        <v>53383</v>
      </c>
      <c r="S124" s="4">
        <f>SUBTOTAL(109,Table6[cnt])</f>
        <v>58304</v>
      </c>
    </row>
    <row r="125" spans="1:19">
      <c r="A125" s="4">
        <v>124</v>
      </c>
      <c r="B125" s="5">
        <v>40549</v>
      </c>
      <c r="C125" s="4">
        <v>1</v>
      </c>
      <c r="D125" s="4">
        <v>0</v>
      </c>
      <c r="E125" s="4">
        <v>1</v>
      </c>
      <c r="F125" s="4">
        <v>9</v>
      </c>
      <c r="G125" s="4" t="b">
        <v>0</v>
      </c>
      <c r="H125" s="4">
        <v>4</v>
      </c>
      <c r="I125" s="4">
        <v>2</v>
      </c>
      <c r="J125" s="4">
        <v>0.18</v>
      </c>
      <c r="K125" s="4">
        <v>0.2424</v>
      </c>
      <c r="L125" s="4">
        <v>0.51</v>
      </c>
      <c r="M125" s="4">
        <v>0</v>
      </c>
      <c r="N125" s="4">
        <v>6</v>
      </c>
      <c r="O125" s="4">
        <v>116</v>
      </c>
      <c r="P125" s="4">
        <v>122</v>
      </c>
      <c r="Q125" s="4">
        <f>SUBTOTAL(109,Table6[casual])</f>
        <v>4921</v>
      </c>
      <c r="R125" s="4">
        <f>SUBTOTAL(109,Table6[registered])</f>
        <v>53383</v>
      </c>
      <c r="S125" s="4">
        <f>SUBTOTAL(109,Table6[cnt])</f>
        <v>58304</v>
      </c>
    </row>
    <row r="126" spans="1:19">
      <c r="A126" s="4">
        <v>125</v>
      </c>
      <c r="B126" s="5">
        <v>40549</v>
      </c>
      <c r="C126" s="4">
        <v>1</v>
      </c>
      <c r="D126" s="4">
        <v>0</v>
      </c>
      <c r="E126" s="4">
        <v>1</v>
      </c>
      <c r="F126" s="4">
        <v>10</v>
      </c>
      <c r="G126" s="4" t="b">
        <v>0</v>
      </c>
      <c r="H126" s="4">
        <v>4</v>
      </c>
      <c r="I126" s="4">
        <v>1</v>
      </c>
      <c r="J126" s="4">
        <v>0.2</v>
      </c>
      <c r="K126" s="4">
        <v>0.2576</v>
      </c>
      <c r="L126" s="4">
        <v>0.47</v>
      </c>
      <c r="M126" s="4">
        <v>0</v>
      </c>
      <c r="N126" s="4">
        <v>3</v>
      </c>
      <c r="O126" s="4">
        <v>42</v>
      </c>
      <c r="P126" s="4">
        <v>45</v>
      </c>
      <c r="Q126" s="4">
        <f>SUBTOTAL(109,Table6[casual])</f>
        <v>4921</v>
      </c>
      <c r="R126" s="4">
        <f>SUBTOTAL(109,Table6[registered])</f>
        <v>53383</v>
      </c>
      <c r="S126" s="4">
        <f>SUBTOTAL(109,Table6[cnt])</f>
        <v>58304</v>
      </c>
    </row>
    <row r="127" spans="1:19">
      <c r="A127" s="4">
        <v>126</v>
      </c>
      <c r="B127" s="5">
        <v>40549</v>
      </c>
      <c r="C127" s="4">
        <v>1</v>
      </c>
      <c r="D127" s="4">
        <v>0</v>
      </c>
      <c r="E127" s="4">
        <v>1</v>
      </c>
      <c r="F127" s="4">
        <v>11</v>
      </c>
      <c r="G127" s="4" t="b">
        <v>0</v>
      </c>
      <c r="H127" s="4">
        <v>4</v>
      </c>
      <c r="I127" s="4">
        <v>1</v>
      </c>
      <c r="J127" s="4">
        <v>0.22</v>
      </c>
      <c r="K127" s="4">
        <v>0.2576</v>
      </c>
      <c r="L127" s="4">
        <v>0.44</v>
      </c>
      <c r="M127" s="4">
        <v>8.9599999999999999E-2</v>
      </c>
      <c r="N127" s="4">
        <v>2</v>
      </c>
      <c r="O127" s="4">
        <v>57</v>
      </c>
      <c r="P127" s="4">
        <v>59</v>
      </c>
      <c r="Q127" s="4">
        <f>SUBTOTAL(109,Table6[casual])</f>
        <v>4921</v>
      </c>
      <c r="R127" s="4">
        <f>SUBTOTAL(109,Table6[registered])</f>
        <v>53383</v>
      </c>
      <c r="S127" s="4">
        <f>SUBTOTAL(109,Table6[cnt])</f>
        <v>58304</v>
      </c>
    </row>
    <row r="128" spans="1:19">
      <c r="A128" s="4">
        <v>127</v>
      </c>
      <c r="B128" s="5">
        <v>40549</v>
      </c>
      <c r="C128" s="4">
        <v>1</v>
      </c>
      <c r="D128" s="4">
        <v>0</v>
      </c>
      <c r="E128" s="4">
        <v>1</v>
      </c>
      <c r="F128" s="4">
        <v>12</v>
      </c>
      <c r="G128" s="4" t="b">
        <v>0</v>
      </c>
      <c r="H128" s="4">
        <v>4</v>
      </c>
      <c r="I128" s="4">
        <v>1</v>
      </c>
      <c r="J128" s="4">
        <v>0.26</v>
      </c>
      <c r="K128" s="4">
        <v>0.28789999999999999</v>
      </c>
      <c r="L128" s="4">
        <v>0.35</v>
      </c>
      <c r="M128" s="4">
        <v>0</v>
      </c>
      <c r="N128" s="4">
        <v>6</v>
      </c>
      <c r="O128" s="4">
        <v>78</v>
      </c>
      <c r="P128" s="4">
        <v>84</v>
      </c>
      <c r="Q128" s="4">
        <f>SUBTOTAL(109,Table6[casual])</f>
        <v>4921</v>
      </c>
      <c r="R128" s="4">
        <f>SUBTOTAL(109,Table6[registered])</f>
        <v>53383</v>
      </c>
      <c r="S128" s="4">
        <f>SUBTOTAL(109,Table6[cnt])</f>
        <v>58304</v>
      </c>
    </row>
    <row r="129" spans="1:19">
      <c r="A129" s="4">
        <v>128</v>
      </c>
      <c r="B129" s="5">
        <v>40549</v>
      </c>
      <c r="C129" s="4">
        <v>1</v>
      </c>
      <c r="D129" s="4">
        <v>0</v>
      </c>
      <c r="E129" s="4">
        <v>1</v>
      </c>
      <c r="F129" s="4">
        <v>13</v>
      </c>
      <c r="G129" s="4" t="b">
        <v>0</v>
      </c>
      <c r="H129" s="4">
        <v>4</v>
      </c>
      <c r="I129" s="4">
        <v>1</v>
      </c>
      <c r="J129" s="4">
        <v>0.26</v>
      </c>
      <c r="K129" s="4">
        <v>0.2727</v>
      </c>
      <c r="L129" s="4">
        <v>0.35</v>
      </c>
      <c r="M129" s="4">
        <v>0.1045</v>
      </c>
      <c r="N129" s="4">
        <v>12</v>
      </c>
      <c r="O129" s="4">
        <v>55</v>
      </c>
      <c r="P129" s="4">
        <v>67</v>
      </c>
      <c r="Q129" s="4">
        <f>SUBTOTAL(109,Table6[casual])</f>
        <v>4921</v>
      </c>
      <c r="R129" s="4">
        <f>SUBTOTAL(109,Table6[registered])</f>
        <v>53383</v>
      </c>
      <c r="S129" s="4">
        <f>SUBTOTAL(109,Table6[cnt])</f>
        <v>58304</v>
      </c>
    </row>
    <row r="130" spans="1:19">
      <c r="A130" s="4">
        <v>129</v>
      </c>
      <c r="B130" s="5">
        <v>40549</v>
      </c>
      <c r="C130" s="4">
        <v>1</v>
      </c>
      <c r="D130" s="4">
        <v>0</v>
      </c>
      <c r="E130" s="4">
        <v>1</v>
      </c>
      <c r="F130" s="4">
        <v>14</v>
      </c>
      <c r="G130" s="4" t="b">
        <v>0</v>
      </c>
      <c r="H130" s="4">
        <v>4</v>
      </c>
      <c r="I130" s="4">
        <v>1</v>
      </c>
      <c r="J130" s="4">
        <v>0.28000000000000003</v>
      </c>
      <c r="K130" s="4">
        <v>0.2727</v>
      </c>
      <c r="L130" s="4">
        <v>0.36</v>
      </c>
      <c r="M130" s="4">
        <v>0.16420000000000001</v>
      </c>
      <c r="N130" s="4">
        <v>11</v>
      </c>
      <c r="O130" s="4">
        <v>59</v>
      </c>
      <c r="P130" s="4">
        <v>70</v>
      </c>
      <c r="Q130" s="4">
        <f>SUBTOTAL(109,Table6[casual])</f>
        <v>4921</v>
      </c>
      <c r="R130" s="4">
        <f>SUBTOTAL(109,Table6[registered])</f>
        <v>53383</v>
      </c>
      <c r="S130" s="4">
        <f>SUBTOTAL(109,Table6[cnt])</f>
        <v>58304</v>
      </c>
    </row>
    <row r="131" spans="1:19">
      <c r="A131" s="4">
        <v>130</v>
      </c>
      <c r="B131" s="5">
        <v>40549</v>
      </c>
      <c r="C131" s="4">
        <v>1</v>
      </c>
      <c r="D131" s="4">
        <v>0</v>
      </c>
      <c r="E131" s="4">
        <v>1</v>
      </c>
      <c r="F131" s="4">
        <v>15</v>
      </c>
      <c r="G131" s="4" t="b">
        <v>0</v>
      </c>
      <c r="H131" s="4">
        <v>4</v>
      </c>
      <c r="I131" s="4">
        <v>1</v>
      </c>
      <c r="J131" s="4">
        <v>0.28000000000000003</v>
      </c>
      <c r="K131" s="4">
        <v>0.2727</v>
      </c>
      <c r="L131" s="4">
        <v>0.36</v>
      </c>
      <c r="M131" s="4">
        <v>0</v>
      </c>
      <c r="N131" s="4">
        <v>8</v>
      </c>
      <c r="O131" s="4">
        <v>54</v>
      </c>
      <c r="P131" s="4">
        <v>62</v>
      </c>
      <c r="Q131" s="4">
        <f>SUBTOTAL(109,Table6[casual])</f>
        <v>4921</v>
      </c>
      <c r="R131" s="4">
        <f>SUBTOTAL(109,Table6[registered])</f>
        <v>53383</v>
      </c>
      <c r="S131" s="4">
        <f>SUBTOTAL(109,Table6[cnt])</f>
        <v>58304</v>
      </c>
    </row>
    <row r="132" spans="1:19">
      <c r="A132" s="4">
        <v>131</v>
      </c>
      <c r="B132" s="5">
        <v>40549</v>
      </c>
      <c r="C132" s="4">
        <v>1</v>
      </c>
      <c r="D132" s="4">
        <v>0</v>
      </c>
      <c r="E132" s="4">
        <v>1</v>
      </c>
      <c r="F132" s="4">
        <v>16</v>
      </c>
      <c r="G132" s="4" t="b">
        <v>0</v>
      </c>
      <c r="H132" s="4">
        <v>4</v>
      </c>
      <c r="I132" s="4">
        <v>1</v>
      </c>
      <c r="J132" s="4">
        <v>0.26</v>
      </c>
      <c r="K132" s="4">
        <v>0.2576</v>
      </c>
      <c r="L132" s="4">
        <v>0.38</v>
      </c>
      <c r="M132" s="4">
        <v>0.16420000000000001</v>
      </c>
      <c r="N132" s="4">
        <v>12</v>
      </c>
      <c r="O132" s="4">
        <v>74</v>
      </c>
      <c r="P132" s="4">
        <v>86</v>
      </c>
      <c r="Q132" s="4">
        <f>SUBTOTAL(109,Table6[casual])</f>
        <v>4921</v>
      </c>
      <c r="R132" s="4">
        <f>SUBTOTAL(109,Table6[registered])</f>
        <v>53383</v>
      </c>
      <c r="S132" s="4">
        <f>SUBTOTAL(109,Table6[cnt])</f>
        <v>58304</v>
      </c>
    </row>
    <row r="133" spans="1:19">
      <c r="A133" s="4">
        <v>132</v>
      </c>
      <c r="B133" s="5">
        <v>40549</v>
      </c>
      <c r="C133" s="4">
        <v>1</v>
      </c>
      <c r="D133" s="4">
        <v>0</v>
      </c>
      <c r="E133" s="4">
        <v>1</v>
      </c>
      <c r="F133" s="4">
        <v>17</v>
      </c>
      <c r="G133" s="4" t="b">
        <v>0</v>
      </c>
      <c r="H133" s="4">
        <v>4</v>
      </c>
      <c r="I133" s="4">
        <v>1</v>
      </c>
      <c r="J133" s="4">
        <v>0.22</v>
      </c>
      <c r="K133" s="4">
        <v>0.2273</v>
      </c>
      <c r="L133" s="4">
        <v>0.51</v>
      </c>
      <c r="M133" s="4">
        <v>0.16420000000000001</v>
      </c>
      <c r="N133" s="4">
        <v>9</v>
      </c>
      <c r="O133" s="4">
        <v>163</v>
      </c>
      <c r="P133" s="4">
        <v>172</v>
      </c>
      <c r="Q133" s="4">
        <f>SUBTOTAL(109,Table6[casual])</f>
        <v>4921</v>
      </c>
      <c r="R133" s="4">
        <f>SUBTOTAL(109,Table6[registered])</f>
        <v>53383</v>
      </c>
      <c r="S133" s="4">
        <f>SUBTOTAL(109,Table6[cnt])</f>
        <v>58304</v>
      </c>
    </row>
    <row r="134" spans="1:19">
      <c r="A134" s="4">
        <v>133</v>
      </c>
      <c r="B134" s="5">
        <v>40549</v>
      </c>
      <c r="C134" s="4">
        <v>1</v>
      </c>
      <c r="D134" s="4">
        <v>0</v>
      </c>
      <c r="E134" s="4">
        <v>1</v>
      </c>
      <c r="F134" s="4">
        <v>18</v>
      </c>
      <c r="G134" s="4" t="b">
        <v>0</v>
      </c>
      <c r="H134" s="4">
        <v>4</v>
      </c>
      <c r="I134" s="4">
        <v>1</v>
      </c>
      <c r="J134" s="4">
        <v>0.22</v>
      </c>
      <c r="K134" s="4">
        <v>0.2273</v>
      </c>
      <c r="L134" s="4">
        <v>0.51</v>
      </c>
      <c r="M134" s="4">
        <v>0.1343</v>
      </c>
      <c r="N134" s="4">
        <v>5</v>
      </c>
      <c r="O134" s="4">
        <v>158</v>
      </c>
      <c r="P134" s="4">
        <v>163</v>
      </c>
      <c r="Q134" s="4">
        <f>SUBTOTAL(109,Table6[casual])</f>
        <v>4921</v>
      </c>
      <c r="R134" s="4">
        <f>SUBTOTAL(109,Table6[registered])</f>
        <v>53383</v>
      </c>
      <c r="S134" s="4">
        <f>SUBTOTAL(109,Table6[cnt])</f>
        <v>58304</v>
      </c>
    </row>
    <row r="135" spans="1:19">
      <c r="A135" s="4">
        <v>134</v>
      </c>
      <c r="B135" s="5">
        <v>40549</v>
      </c>
      <c r="C135" s="4">
        <v>1</v>
      </c>
      <c r="D135" s="4">
        <v>0</v>
      </c>
      <c r="E135" s="4">
        <v>1</v>
      </c>
      <c r="F135" s="4">
        <v>19</v>
      </c>
      <c r="G135" s="4" t="b">
        <v>0</v>
      </c>
      <c r="H135" s="4">
        <v>4</v>
      </c>
      <c r="I135" s="4">
        <v>1</v>
      </c>
      <c r="J135" s="4">
        <v>0.22</v>
      </c>
      <c r="K135" s="4">
        <v>0.2576</v>
      </c>
      <c r="L135" s="4">
        <v>0.55000000000000004</v>
      </c>
      <c r="M135" s="4">
        <v>8.9599999999999999E-2</v>
      </c>
      <c r="N135" s="4">
        <v>3</v>
      </c>
      <c r="O135" s="4">
        <v>109</v>
      </c>
      <c r="P135" s="4">
        <v>112</v>
      </c>
      <c r="Q135" s="4">
        <f>SUBTOTAL(109,Table6[casual])</f>
        <v>4921</v>
      </c>
      <c r="R135" s="4">
        <f>SUBTOTAL(109,Table6[registered])</f>
        <v>53383</v>
      </c>
      <c r="S135" s="4">
        <f>SUBTOTAL(109,Table6[cnt])</f>
        <v>58304</v>
      </c>
    </row>
    <row r="136" spans="1:19">
      <c r="A136" s="4">
        <v>135</v>
      </c>
      <c r="B136" s="5">
        <v>40549</v>
      </c>
      <c r="C136" s="4">
        <v>1</v>
      </c>
      <c r="D136" s="4">
        <v>0</v>
      </c>
      <c r="E136" s="4">
        <v>1</v>
      </c>
      <c r="F136" s="4">
        <v>20</v>
      </c>
      <c r="G136" s="4" t="b">
        <v>0</v>
      </c>
      <c r="H136" s="4">
        <v>4</v>
      </c>
      <c r="I136" s="4">
        <v>1</v>
      </c>
      <c r="J136" s="4">
        <v>0.2</v>
      </c>
      <c r="K136" s="4">
        <v>0.21210000000000001</v>
      </c>
      <c r="L136" s="4">
        <v>0.51</v>
      </c>
      <c r="M136" s="4">
        <v>0.16420000000000001</v>
      </c>
      <c r="N136" s="4">
        <v>3</v>
      </c>
      <c r="O136" s="4">
        <v>66</v>
      </c>
      <c r="P136" s="4">
        <v>69</v>
      </c>
      <c r="Q136" s="4">
        <f>SUBTOTAL(109,Table6[casual])</f>
        <v>4921</v>
      </c>
      <c r="R136" s="4">
        <f>SUBTOTAL(109,Table6[registered])</f>
        <v>53383</v>
      </c>
      <c r="S136" s="4">
        <f>SUBTOTAL(109,Table6[cnt])</f>
        <v>58304</v>
      </c>
    </row>
    <row r="137" spans="1:19">
      <c r="A137" s="4">
        <v>136</v>
      </c>
      <c r="B137" s="5">
        <v>40549</v>
      </c>
      <c r="C137" s="4">
        <v>1</v>
      </c>
      <c r="D137" s="4">
        <v>0</v>
      </c>
      <c r="E137" s="4">
        <v>1</v>
      </c>
      <c r="F137" s="4">
        <v>21</v>
      </c>
      <c r="G137" s="4" t="b">
        <v>0</v>
      </c>
      <c r="H137" s="4">
        <v>4</v>
      </c>
      <c r="I137" s="4">
        <v>2</v>
      </c>
      <c r="J137" s="4">
        <v>0.22</v>
      </c>
      <c r="K137" s="4">
        <v>0.21210000000000001</v>
      </c>
      <c r="L137" s="4">
        <v>0.55000000000000004</v>
      </c>
      <c r="M137" s="4">
        <v>0.22389999999999999</v>
      </c>
      <c r="N137" s="4">
        <v>0</v>
      </c>
      <c r="O137" s="4">
        <v>48</v>
      </c>
      <c r="P137" s="4">
        <v>48</v>
      </c>
      <c r="Q137" s="4">
        <f>SUBTOTAL(109,Table6[casual])</f>
        <v>4921</v>
      </c>
      <c r="R137" s="4">
        <f>SUBTOTAL(109,Table6[registered])</f>
        <v>53383</v>
      </c>
      <c r="S137" s="4">
        <f>SUBTOTAL(109,Table6[cnt])</f>
        <v>58304</v>
      </c>
    </row>
    <row r="138" spans="1:19">
      <c r="A138" s="4">
        <v>137</v>
      </c>
      <c r="B138" s="5">
        <v>40549</v>
      </c>
      <c r="C138" s="4">
        <v>1</v>
      </c>
      <c r="D138" s="4">
        <v>0</v>
      </c>
      <c r="E138" s="4">
        <v>1</v>
      </c>
      <c r="F138" s="4">
        <v>22</v>
      </c>
      <c r="G138" s="4" t="b">
        <v>0</v>
      </c>
      <c r="H138" s="4">
        <v>4</v>
      </c>
      <c r="I138" s="4">
        <v>2</v>
      </c>
      <c r="J138" s="4">
        <v>0.22</v>
      </c>
      <c r="K138" s="4">
        <v>0.21210000000000001</v>
      </c>
      <c r="L138" s="4">
        <v>0.51</v>
      </c>
      <c r="M138" s="4">
        <v>0.28360000000000002</v>
      </c>
      <c r="N138" s="4">
        <v>1</v>
      </c>
      <c r="O138" s="4">
        <v>51</v>
      </c>
      <c r="P138" s="4">
        <v>52</v>
      </c>
      <c r="Q138" s="4">
        <f>SUBTOTAL(109,Table6[casual])</f>
        <v>4921</v>
      </c>
      <c r="R138" s="4">
        <f>SUBTOTAL(109,Table6[registered])</f>
        <v>53383</v>
      </c>
      <c r="S138" s="4">
        <f>SUBTOTAL(109,Table6[cnt])</f>
        <v>58304</v>
      </c>
    </row>
    <row r="139" spans="1:19">
      <c r="A139" s="4">
        <v>138</v>
      </c>
      <c r="B139" s="5">
        <v>40549</v>
      </c>
      <c r="C139" s="4">
        <v>1</v>
      </c>
      <c r="D139" s="4">
        <v>0</v>
      </c>
      <c r="E139" s="4">
        <v>1</v>
      </c>
      <c r="F139" s="4">
        <v>23</v>
      </c>
      <c r="G139" s="4" t="b">
        <v>0</v>
      </c>
      <c r="H139" s="4">
        <v>4</v>
      </c>
      <c r="I139" s="4">
        <v>2</v>
      </c>
      <c r="J139" s="4">
        <v>0.2</v>
      </c>
      <c r="K139" s="4">
        <v>0.19700000000000001</v>
      </c>
      <c r="L139" s="4">
        <v>0.59</v>
      </c>
      <c r="M139" s="4">
        <v>0.19400000000000001</v>
      </c>
      <c r="N139" s="4">
        <v>4</v>
      </c>
      <c r="O139" s="4">
        <v>19</v>
      </c>
      <c r="P139" s="4">
        <v>23</v>
      </c>
      <c r="Q139" s="4">
        <f>SUBTOTAL(109,Table6[casual])</f>
        <v>4921</v>
      </c>
      <c r="R139" s="4">
        <f>SUBTOTAL(109,Table6[registered])</f>
        <v>53383</v>
      </c>
      <c r="S139" s="4">
        <f>SUBTOTAL(109,Table6[cnt])</f>
        <v>58304</v>
      </c>
    </row>
    <row r="140" spans="1:19">
      <c r="A140" s="4">
        <v>139</v>
      </c>
      <c r="B140" s="5">
        <v>40550</v>
      </c>
      <c r="C140" s="4">
        <v>1</v>
      </c>
      <c r="D140" s="4">
        <v>0</v>
      </c>
      <c r="E140" s="4">
        <v>1</v>
      </c>
      <c r="F140" s="4">
        <v>0</v>
      </c>
      <c r="G140" s="4" t="b">
        <v>0</v>
      </c>
      <c r="H140" s="4">
        <v>5</v>
      </c>
      <c r="I140" s="4">
        <v>2</v>
      </c>
      <c r="J140" s="4">
        <v>0.2</v>
      </c>
      <c r="K140" s="4">
        <v>0.19700000000000001</v>
      </c>
      <c r="L140" s="4">
        <v>0.64</v>
      </c>
      <c r="M140" s="4">
        <v>0.19400000000000001</v>
      </c>
      <c r="N140" s="4">
        <v>4</v>
      </c>
      <c r="O140" s="4">
        <v>13</v>
      </c>
      <c r="P140" s="4">
        <v>17</v>
      </c>
      <c r="Q140" s="4">
        <f>SUBTOTAL(109,Table6[casual])</f>
        <v>4921</v>
      </c>
      <c r="R140" s="4">
        <f>SUBTOTAL(109,Table6[registered])</f>
        <v>53383</v>
      </c>
      <c r="S140" s="4">
        <f>SUBTOTAL(109,Table6[cnt])</f>
        <v>58304</v>
      </c>
    </row>
    <row r="141" spans="1:19">
      <c r="A141" s="4">
        <v>140</v>
      </c>
      <c r="B141" s="5">
        <v>40550</v>
      </c>
      <c r="C141" s="4">
        <v>1</v>
      </c>
      <c r="D141" s="4">
        <v>0</v>
      </c>
      <c r="E141" s="4">
        <v>1</v>
      </c>
      <c r="F141" s="4">
        <v>1</v>
      </c>
      <c r="G141" s="4" t="b">
        <v>0</v>
      </c>
      <c r="H141" s="4">
        <v>5</v>
      </c>
      <c r="I141" s="4">
        <v>2</v>
      </c>
      <c r="J141" s="4">
        <v>0.2</v>
      </c>
      <c r="K141" s="4">
        <v>0.19700000000000001</v>
      </c>
      <c r="L141" s="4">
        <v>0.69</v>
      </c>
      <c r="M141" s="4">
        <v>0.22389999999999999</v>
      </c>
      <c r="N141" s="4">
        <v>2</v>
      </c>
      <c r="O141" s="4">
        <v>5</v>
      </c>
      <c r="P141" s="4">
        <v>7</v>
      </c>
      <c r="Q141" s="4">
        <f>SUBTOTAL(109,Table6[casual])</f>
        <v>4921</v>
      </c>
      <c r="R141" s="4">
        <f>SUBTOTAL(109,Table6[registered])</f>
        <v>53383</v>
      </c>
      <c r="S141" s="4">
        <f>SUBTOTAL(109,Table6[cnt])</f>
        <v>58304</v>
      </c>
    </row>
    <row r="142" spans="1:19">
      <c r="A142" s="4">
        <v>141</v>
      </c>
      <c r="B142" s="5">
        <v>40550</v>
      </c>
      <c r="C142" s="4">
        <v>1</v>
      </c>
      <c r="D142" s="4">
        <v>0</v>
      </c>
      <c r="E142" s="4">
        <v>1</v>
      </c>
      <c r="F142" s="4">
        <v>2</v>
      </c>
      <c r="G142" s="4" t="b">
        <v>0</v>
      </c>
      <c r="H142" s="4">
        <v>5</v>
      </c>
      <c r="I142" s="4">
        <v>2</v>
      </c>
      <c r="J142" s="4">
        <v>0.2</v>
      </c>
      <c r="K142" s="4">
        <v>0.19700000000000001</v>
      </c>
      <c r="L142" s="4">
        <v>0.69</v>
      </c>
      <c r="M142" s="4">
        <v>0.22389999999999999</v>
      </c>
      <c r="N142" s="4">
        <v>0</v>
      </c>
      <c r="O142" s="4">
        <v>1</v>
      </c>
      <c r="P142" s="4">
        <v>1</v>
      </c>
      <c r="Q142" s="4">
        <f>SUBTOTAL(109,Table6[casual])</f>
        <v>4921</v>
      </c>
      <c r="R142" s="4">
        <f>SUBTOTAL(109,Table6[registered])</f>
        <v>53383</v>
      </c>
      <c r="S142" s="4">
        <f>SUBTOTAL(109,Table6[cnt])</f>
        <v>58304</v>
      </c>
    </row>
    <row r="143" spans="1:19">
      <c r="A143" s="4">
        <v>142</v>
      </c>
      <c r="B143" s="5">
        <v>40550</v>
      </c>
      <c r="C143" s="4">
        <v>1</v>
      </c>
      <c r="D143" s="4">
        <v>0</v>
      </c>
      <c r="E143" s="4">
        <v>1</v>
      </c>
      <c r="F143" s="4">
        <v>4</v>
      </c>
      <c r="G143" s="4" t="b">
        <v>0</v>
      </c>
      <c r="H143" s="4">
        <v>5</v>
      </c>
      <c r="I143" s="4">
        <v>2</v>
      </c>
      <c r="J143" s="4">
        <v>0.2</v>
      </c>
      <c r="K143" s="4">
        <v>0.21210000000000001</v>
      </c>
      <c r="L143" s="4">
        <v>0.69</v>
      </c>
      <c r="M143" s="4">
        <v>0.1343</v>
      </c>
      <c r="N143" s="4">
        <v>0</v>
      </c>
      <c r="O143" s="4">
        <v>1</v>
      </c>
      <c r="P143" s="4">
        <v>1</v>
      </c>
      <c r="Q143" s="4">
        <f>SUBTOTAL(109,Table6[casual])</f>
        <v>4921</v>
      </c>
      <c r="R143" s="4">
        <f>SUBTOTAL(109,Table6[registered])</f>
        <v>53383</v>
      </c>
      <c r="S143" s="4">
        <f>SUBTOTAL(109,Table6[cnt])</f>
        <v>58304</v>
      </c>
    </row>
    <row r="144" spans="1:19">
      <c r="A144" s="4">
        <v>143</v>
      </c>
      <c r="B144" s="5">
        <v>40550</v>
      </c>
      <c r="C144" s="4">
        <v>1</v>
      </c>
      <c r="D144" s="4">
        <v>0</v>
      </c>
      <c r="E144" s="4">
        <v>1</v>
      </c>
      <c r="F144" s="4">
        <v>5</v>
      </c>
      <c r="G144" s="4" t="b">
        <v>0</v>
      </c>
      <c r="H144" s="4">
        <v>5</v>
      </c>
      <c r="I144" s="4">
        <v>3</v>
      </c>
      <c r="J144" s="4">
        <v>0.22</v>
      </c>
      <c r="K144" s="4">
        <v>0.2727</v>
      </c>
      <c r="L144" s="4">
        <v>0.55000000000000004</v>
      </c>
      <c r="M144" s="4">
        <v>0</v>
      </c>
      <c r="N144" s="4">
        <v>0</v>
      </c>
      <c r="O144" s="4">
        <v>5</v>
      </c>
      <c r="P144" s="4">
        <v>5</v>
      </c>
      <c r="Q144" s="4">
        <f>SUBTOTAL(109,Table6[casual])</f>
        <v>4921</v>
      </c>
      <c r="R144" s="4">
        <f>SUBTOTAL(109,Table6[registered])</f>
        <v>53383</v>
      </c>
      <c r="S144" s="4">
        <f>SUBTOTAL(109,Table6[cnt])</f>
        <v>58304</v>
      </c>
    </row>
    <row r="145" spans="1:19">
      <c r="A145" s="4">
        <v>144</v>
      </c>
      <c r="B145" s="5">
        <v>40550</v>
      </c>
      <c r="C145" s="4">
        <v>1</v>
      </c>
      <c r="D145" s="4">
        <v>0</v>
      </c>
      <c r="E145" s="4">
        <v>1</v>
      </c>
      <c r="F145" s="4">
        <v>6</v>
      </c>
      <c r="G145" s="4" t="b">
        <v>0</v>
      </c>
      <c r="H145" s="4">
        <v>5</v>
      </c>
      <c r="I145" s="4">
        <v>2</v>
      </c>
      <c r="J145" s="4">
        <v>0.2</v>
      </c>
      <c r="K145" s="4">
        <v>0.2576</v>
      </c>
      <c r="L145" s="4">
        <v>0.69</v>
      </c>
      <c r="M145" s="4">
        <v>0</v>
      </c>
      <c r="N145" s="4">
        <v>8</v>
      </c>
      <c r="O145" s="4">
        <v>26</v>
      </c>
      <c r="P145" s="4">
        <v>34</v>
      </c>
      <c r="Q145" s="4">
        <f>SUBTOTAL(109,Table6[casual])</f>
        <v>4921</v>
      </c>
      <c r="R145" s="4">
        <f>SUBTOTAL(109,Table6[registered])</f>
        <v>53383</v>
      </c>
      <c r="S145" s="4">
        <f>SUBTOTAL(109,Table6[cnt])</f>
        <v>58304</v>
      </c>
    </row>
    <row r="146" spans="1:19">
      <c r="A146" s="4">
        <v>145</v>
      </c>
      <c r="B146" s="5">
        <v>40550</v>
      </c>
      <c r="C146" s="4">
        <v>1</v>
      </c>
      <c r="D146" s="4">
        <v>0</v>
      </c>
      <c r="E146" s="4">
        <v>1</v>
      </c>
      <c r="F146" s="4">
        <v>7</v>
      </c>
      <c r="G146" s="4" t="b">
        <v>0</v>
      </c>
      <c r="H146" s="4">
        <v>5</v>
      </c>
      <c r="I146" s="4">
        <v>1</v>
      </c>
      <c r="J146" s="4">
        <v>0.2</v>
      </c>
      <c r="K146" s="4">
        <v>0.21210000000000001</v>
      </c>
      <c r="L146" s="4">
        <v>0.69</v>
      </c>
      <c r="M146" s="4">
        <v>0.1343</v>
      </c>
      <c r="N146" s="4">
        <v>8</v>
      </c>
      <c r="O146" s="4">
        <v>76</v>
      </c>
      <c r="P146" s="4">
        <v>84</v>
      </c>
      <c r="Q146" s="4">
        <f>SUBTOTAL(109,Table6[casual])</f>
        <v>4921</v>
      </c>
      <c r="R146" s="4">
        <f>SUBTOTAL(109,Table6[registered])</f>
        <v>53383</v>
      </c>
      <c r="S146" s="4">
        <f>SUBTOTAL(109,Table6[cnt])</f>
        <v>58304</v>
      </c>
    </row>
    <row r="147" spans="1:19">
      <c r="A147" s="4">
        <v>146</v>
      </c>
      <c r="B147" s="5">
        <v>40550</v>
      </c>
      <c r="C147" s="4">
        <v>1</v>
      </c>
      <c r="D147" s="4">
        <v>0</v>
      </c>
      <c r="E147" s="4">
        <v>1</v>
      </c>
      <c r="F147" s="4">
        <v>8</v>
      </c>
      <c r="G147" s="4" t="b">
        <v>0</v>
      </c>
      <c r="H147" s="4">
        <v>5</v>
      </c>
      <c r="I147" s="4">
        <v>1</v>
      </c>
      <c r="J147" s="4">
        <v>0.2</v>
      </c>
      <c r="K147" s="4">
        <v>0.19700000000000001</v>
      </c>
      <c r="L147" s="4">
        <v>0.51</v>
      </c>
      <c r="M147" s="4">
        <v>0.25369999999999998</v>
      </c>
      <c r="N147" s="4">
        <v>20</v>
      </c>
      <c r="O147" s="4">
        <v>190</v>
      </c>
      <c r="P147" s="4">
        <v>210</v>
      </c>
      <c r="Q147" s="4">
        <f>SUBTOTAL(109,Table6[casual])</f>
        <v>4921</v>
      </c>
      <c r="R147" s="4">
        <f>SUBTOTAL(109,Table6[registered])</f>
        <v>53383</v>
      </c>
      <c r="S147" s="4">
        <f>SUBTOTAL(109,Table6[cnt])</f>
        <v>58304</v>
      </c>
    </row>
    <row r="148" spans="1:19">
      <c r="A148" s="4">
        <v>147</v>
      </c>
      <c r="B148" s="5">
        <v>40550</v>
      </c>
      <c r="C148" s="4">
        <v>1</v>
      </c>
      <c r="D148" s="4">
        <v>0</v>
      </c>
      <c r="E148" s="4">
        <v>1</v>
      </c>
      <c r="F148" s="4">
        <v>9</v>
      </c>
      <c r="G148" s="4" t="b">
        <v>0</v>
      </c>
      <c r="H148" s="4">
        <v>5</v>
      </c>
      <c r="I148" s="4">
        <v>1</v>
      </c>
      <c r="J148" s="4">
        <v>0.2</v>
      </c>
      <c r="K148" s="4">
        <v>0.18179999999999999</v>
      </c>
      <c r="L148" s="4">
        <v>0.47</v>
      </c>
      <c r="M148" s="4">
        <v>0.29849999999999999</v>
      </c>
      <c r="N148" s="4">
        <v>9</v>
      </c>
      <c r="O148" s="4">
        <v>125</v>
      </c>
      <c r="P148" s="4">
        <v>134</v>
      </c>
      <c r="Q148" s="4">
        <f>SUBTOTAL(109,Table6[casual])</f>
        <v>4921</v>
      </c>
      <c r="R148" s="4">
        <f>SUBTOTAL(109,Table6[registered])</f>
        <v>53383</v>
      </c>
      <c r="S148" s="4">
        <f>SUBTOTAL(109,Table6[cnt])</f>
        <v>58304</v>
      </c>
    </row>
    <row r="149" spans="1:19">
      <c r="A149" s="4">
        <v>148</v>
      </c>
      <c r="B149" s="5">
        <v>40550</v>
      </c>
      <c r="C149" s="4">
        <v>1</v>
      </c>
      <c r="D149" s="4">
        <v>0</v>
      </c>
      <c r="E149" s="4">
        <v>1</v>
      </c>
      <c r="F149" s="4">
        <v>10</v>
      </c>
      <c r="G149" s="4" t="b">
        <v>0</v>
      </c>
      <c r="H149" s="4">
        <v>5</v>
      </c>
      <c r="I149" s="4">
        <v>1</v>
      </c>
      <c r="J149" s="4">
        <v>0.22</v>
      </c>
      <c r="K149" s="4">
        <v>0.19700000000000001</v>
      </c>
      <c r="L149" s="4">
        <v>0.37</v>
      </c>
      <c r="M149" s="4">
        <v>0.32840000000000003</v>
      </c>
      <c r="N149" s="4">
        <v>16</v>
      </c>
      <c r="O149" s="4">
        <v>47</v>
      </c>
      <c r="P149" s="4">
        <v>63</v>
      </c>
      <c r="Q149" s="4">
        <f>SUBTOTAL(109,Table6[casual])</f>
        <v>4921</v>
      </c>
      <c r="R149" s="4">
        <f>SUBTOTAL(109,Table6[registered])</f>
        <v>53383</v>
      </c>
      <c r="S149" s="4">
        <f>SUBTOTAL(109,Table6[cnt])</f>
        <v>58304</v>
      </c>
    </row>
    <row r="150" spans="1:19">
      <c r="A150" s="4">
        <v>149</v>
      </c>
      <c r="B150" s="5">
        <v>40550</v>
      </c>
      <c r="C150" s="4">
        <v>1</v>
      </c>
      <c r="D150" s="4">
        <v>0</v>
      </c>
      <c r="E150" s="4">
        <v>1</v>
      </c>
      <c r="F150" s="4">
        <v>11</v>
      </c>
      <c r="G150" s="4" t="b">
        <v>0</v>
      </c>
      <c r="H150" s="4">
        <v>5</v>
      </c>
      <c r="I150" s="4">
        <v>2</v>
      </c>
      <c r="J150" s="4">
        <v>0.2</v>
      </c>
      <c r="K150" s="4">
        <v>0.19700000000000001</v>
      </c>
      <c r="L150" s="4">
        <v>0.4</v>
      </c>
      <c r="M150" s="4">
        <v>0.22389999999999999</v>
      </c>
      <c r="N150" s="4">
        <v>19</v>
      </c>
      <c r="O150" s="4">
        <v>48</v>
      </c>
      <c r="P150" s="4">
        <v>67</v>
      </c>
      <c r="Q150" s="4">
        <f>SUBTOTAL(109,Table6[casual])</f>
        <v>4921</v>
      </c>
      <c r="R150" s="4">
        <f>SUBTOTAL(109,Table6[registered])</f>
        <v>53383</v>
      </c>
      <c r="S150" s="4">
        <f>SUBTOTAL(109,Table6[cnt])</f>
        <v>58304</v>
      </c>
    </row>
    <row r="151" spans="1:19">
      <c r="A151" s="4">
        <v>150</v>
      </c>
      <c r="B151" s="5">
        <v>40550</v>
      </c>
      <c r="C151" s="4">
        <v>1</v>
      </c>
      <c r="D151" s="4">
        <v>0</v>
      </c>
      <c r="E151" s="4">
        <v>1</v>
      </c>
      <c r="F151" s="4">
        <v>12</v>
      </c>
      <c r="G151" s="4" t="b">
        <v>0</v>
      </c>
      <c r="H151" s="4">
        <v>5</v>
      </c>
      <c r="I151" s="4">
        <v>2</v>
      </c>
      <c r="J151" s="4">
        <v>0.2</v>
      </c>
      <c r="K151" s="4">
        <v>0.19700000000000001</v>
      </c>
      <c r="L151" s="4">
        <v>0.37</v>
      </c>
      <c r="M151" s="4">
        <v>0.25369999999999998</v>
      </c>
      <c r="N151" s="4">
        <v>9</v>
      </c>
      <c r="O151" s="4">
        <v>50</v>
      </c>
      <c r="P151" s="4">
        <v>59</v>
      </c>
      <c r="Q151" s="4">
        <f>SUBTOTAL(109,Table6[casual])</f>
        <v>4921</v>
      </c>
      <c r="R151" s="4">
        <f>SUBTOTAL(109,Table6[registered])</f>
        <v>53383</v>
      </c>
      <c r="S151" s="4">
        <f>SUBTOTAL(109,Table6[cnt])</f>
        <v>58304</v>
      </c>
    </row>
    <row r="152" spans="1:19">
      <c r="A152" s="4">
        <v>151</v>
      </c>
      <c r="B152" s="5">
        <v>40550</v>
      </c>
      <c r="C152" s="4">
        <v>1</v>
      </c>
      <c r="D152" s="4">
        <v>0</v>
      </c>
      <c r="E152" s="4">
        <v>1</v>
      </c>
      <c r="F152" s="4">
        <v>13</v>
      </c>
      <c r="G152" s="4" t="b">
        <v>0</v>
      </c>
      <c r="H152" s="4">
        <v>5</v>
      </c>
      <c r="I152" s="4">
        <v>2</v>
      </c>
      <c r="J152" s="4">
        <v>0.2</v>
      </c>
      <c r="K152" s="4">
        <v>0.18179999999999999</v>
      </c>
      <c r="L152" s="4">
        <v>0.37</v>
      </c>
      <c r="M152" s="4">
        <v>0.28360000000000002</v>
      </c>
      <c r="N152" s="4">
        <v>9</v>
      </c>
      <c r="O152" s="4">
        <v>64</v>
      </c>
      <c r="P152" s="4">
        <v>73</v>
      </c>
      <c r="Q152" s="4">
        <f>SUBTOTAL(109,Table6[casual])</f>
        <v>4921</v>
      </c>
      <c r="R152" s="4">
        <f>SUBTOTAL(109,Table6[registered])</f>
        <v>53383</v>
      </c>
      <c r="S152" s="4">
        <f>SUBTOTAL(109,Table6[cnt])</f>
        <v>58304</v>
      </c>
    </row>
    <row r="153" spans="1:19">
      <c r="A153" s="4">
        <v>152</v>
      </c>
      <c r="B153" s="5">
        <v>40550</v>
      </c>
      <c r="C153" s="4">
        <v>1</v>
      </c>
      <c r="D153" s="4">
        <v>0</v>
      </c>
      <c r="E153" s="4">
        <v>1</v>
      </c>
      <c r="F153" s="4">
        <v>14</v>
      </c>
      <c r="G153" s="4" t="b">
        <v>0</v>
      </c>
      <c r="H153" s="4">
        <v>5</v>
      </c>
      <c r="I153" s="4">
        <v>2</v>
      </c>
      <c r="J153" s="4">
        <v>0.2</v>
      </c>
      <c r="K153" s="4">
        <v>0.19700000000000001</v>
      </c>
      <c r="L153" s="4">
        <v>0.4</v>
      </c>
      <c r="M153" s="4">
        <v>0.25369999999999998</v>
      </c>
      <c r="N153" s="4">
        <v>7</v>
      </c>
      <c r="O153" s="4">
        <v>43</v>
      </c>
      <c r="P153" s="4">
        <v>50</v>
      </c>
      <c r="Q153" s="4">
        <f>SUBTOTAL(109,Table6[casual])</f>
        <v>4921</v>
      </c>
      <c r="R153" s="4">
        <f>SUBTOTAL(109,Table6[registered])</f>
        <v>53383</v>
      </c>
      <c r="S153" s="4">
        <f>SUBTOTAL(109,Table6[cnt])</f>
        <v>58304</v>
      </c>
    </row>
    <row r="154" spans="1:19">
      <c r="A154" s="4">
        <v>153</v>
      </c>
      <c r="B154" s="5">
        <v>40550</v>
      </c>
      <c r="C154" s="4">
        <v>1</v>
      </c>
      <c r="D154" s="4">
        <v>0</v>
      </c>
      <c r="E154" s="4">
        <v>1</v>
      </c>
      <c r="F154" s="4">
        <v>15</v>
      </c>
      <c r="G154" s="4" t="b">
        <v>0</v>
      </c>
      <c r="H154" s="4">
        <v>5</v>
      </c>
      <c r="I154" s="4">
        <v>2</v>
      </c>
      <c r="J154" s="4">
        <v>0.2</v>
      </c>
      <c r="K154" s="4">
        <v>0.21210000000000001</v>
      </c>
      <c r="L154" s="4">
        <v>0.37</v>
      </c>
      <c r="M154" s="4">
        <v>0.16420000000000001</v>
      </c>
      <c r="N154" s="4">
        <v>9</v>
      </c>
      <c r="O154" s="4">
        <v>63</v>
      </c>
      <c r="P154" s="4">
        <v>72</v>
      </c>
      <c r="Q154" s="4">
        <f>SUBTOTAL(109,Table6[casual])</f>
        <v>4921</v>
      </c>
      <c r="R154" s="4">
        <f>SUBTOTAL(109,Table6[registered])</f>
        <v>53383</v>
      </c>
      <c r="S154" s="4">
        <f>SUBTOTAL(109,Table6[cnt])</f>
        <v>58304</v>
      </c>
    </row>
    <row r="155" spans="1:19">
      <c r="A155" s="4">
        <v>154</v>
      </c>
      <c r="B155" s="5">
        <v>40550</v>
      </c>
      <c r="C155" s="4">
        <v>1</v>
      </c>
      <c r="D155" s="4">
        <v>0</v>
      </c>
      <c r="E155" s="4">
        <v>1</v>
      </c>
      <c r="F155" s="4">
        <v>16</v>
      </c>
      <c r="G155" s="4" t="b">
        <v>0</v>
      </c>
      <c r="H155" s="4">
        <v>5</v>
      </c>
      <c r="I155" s="4">
        <v>2</v>
      </c>
      <c r="J155" s="4">
        <v>0.2</v>
      </c>
      <c r="K155" s="4">
        <v>0.21210000000000001</v>
      </c>
      <c r="L155" s="4">
        <v>0.37</v>
      </c>
      <c r="M155" s="4">
        <v>0.16420000000000001</v>
      </c>
      <c r="N155" s="4">
        <v>5</v>
      </c>
      <c r="O155" s="4">
        <v>82</v>
      </c>
      <c r="P155" s="4">
        <v>87</v>
      </c>
      <c r="Q155" s="4">
        <f>SUBTOTAL(109,Table6[casual])</f>
        <v>4921</v>
      </c>
      <c r="R155" s="4">
        <f>SUBTOTAL(109,Table6[registered])</f>
        <v>53383</v>
      </c>
      <c r="S155" s="4">
        <f>SUBTOTAL(109,Table6[cnt])</f>
        <v>58304</v>
      </c>
    </row>
    <row r="156" spans="1:19">
      <c r="A156" s="4">
        <v>155</v>
      </c>
      <c r="B156" s="5">
        <v>40550</v>
      </c>
      <c r="C156" s="4">
        <v>1</v>
      </c>
      <c r="D156" s="4">
        <v>0</v>
      </c>
      <c r="E156" s="4">
        <v>1</v>
      </c>
      <c r="F156" s="4">
        <v>17</v>
      </c>
      <c r="G156" s="4" t="b">
        <v>0</v>
      </c>
      <c r="H156" s="4">
        <v>5</v>
      </c>
      <c r="I156" s="4">
        <v>2</v>
      </c>
      <c r="J156" s="4">
        <v>0.2</v>
      </c>
      <c r="K156" s="4">
        <v>0.2576</v>
      </c>
      <c r="L156" s="4">
        <v>0.37</v>
      </c>
      <c r="M156" s="4">
        <v>0</v>
      </c>
      <c r="N156" s="4">
        <v>9</v>
      </c>
      <c r="O156" s="4">
        <v>178</v>
      </c>
      <c r="P156" s="4">
        <v>187</v>
      </c>
      <c r="Q156" s="4">
        <f>SUBTOTAL(109,Table6[casual])</f>
        <v>4921</v>
      </c>
      <c r="R156" s="4">
        <f>SUBTOTAL(109,Table6[registered])</f>
        <v>53383</v>
      </c>
      <c r="S156" s="4">
        <f>SUBTOTAL(109,Table6[cnt])</f>
        <v>58304</v>
      </c>
    </row>
    <row r="157" spans="1:19">
      <c r="A157" s="4">
        <v>156</v>
      </c>
      <c r="B157" s="5">
        <v>40550</v>
      </c>
      <c r="C157" s="4">
        <v>1</v>
      </c>
      <c r="D157" s="4">
        <v>0</v>
      </c>
      <c r="E157" s="4">
        <v>1</v>
      </c>
      <c r="F157" s="4">
        <v>18</v>
      </c>
      <c r="G157" s="4" t="b">
        <v>0</v>
      </c>
      <c r="H157" s="4">
        <v>5</v>
      </c>
      <c r="I157" s="4">
        <v>1</v>
      </c>
      <c r="J157" s="4">
        <v>0.2</v>
      </c>
      <c r="K157" s="4">
        <v>0.2273</v>
      </c>
      <c r="L157" s="4">
        <v>0.4</v>
      </c>
      <c r="M157" s="4">
        <v>8.9599999999999999E-2</v>
      </c>
      <c r="N157" s="4">
        <v>7</v>
      </c>
      <c r="O157" s="4">
        <v>116</v>
      </c>
      <c r="P157" s="4">
        <v>123</v>
      </c>
      <c r="Q157" s="4">
        <f>SUBTOTAL(109,Table6[casual])</f>
        <v>4921</v>
      </c>
      <c r="R157" s="4">
        <f>SUBTOTAL(109,Table6[registered])</f>
        <v>53383</v>
      </c>
      <c r="S157" s="4">
        <f>SUBTOTAL(109,Table6[cnt])</f>
        <v>58304</v>
      </c>
    </row>
    <row r="158" spans="1:19">
      <c r="A158" s="4">
        <v>157</v>
      </c>
      <c r="B158" s="5">
        <v>40550</v>
      </c>
      <c r="C158" s="4">
        <v>1</v>
      </c>
      <c r="D158" s="4">
        <v>0</v>
      </c>
      <c r="E158" s="4">
        <v>1</v>
      </c>
      <c r="F158" s="4">
        <v>19</v>
      </c>
      <c r="G158" s="4" t="b">
        <v>0</v>
      </c>
      <c r="H158" s="4">
        <v>5</v>
      </c>
      <c r="I158" s="4">
        <v>1</v>
      </c>
      <c r="J158" s="4">
        <v>0.16</v>
      </c>
      <c r="K158" s="4">
        <v>0.19700000000000001</v>
      </c>
      <c r="L158" s="4">
        <v>0.55000000000000004</v>
      </c>
      <c r="M158" s="4">
        <v>8.9599999999999999E-2</v>
      </c>
      <c r="N158" s="4">
        <v>3</v>
      </c>
      <c r="O158" s="4">
        <v>92</v>
      </c>
      <c r="P158" s="4">
        <v>95</v>
      </c>
      <c r="Q158" s="4">
        <f>SUBTOTAL(109,Table6[casual])</f>
        <v>4921</v>
      </c>
      <c r="R158" s="4">
        <f>SUBTOTAL(109,Table6[registered])</f>
        <v>53383</v>
      </c>
      <c r="S158" s="4">
        <f>SUBTOTAL(109,Table6[cnt])</f>
        <v>58304</v>
      </c>
    </row>
    <row r="159" spans="1:19">
      <c r="A159" s="4">
        <v>158</v>
      </c>
      <c r="B159" s="5">
        <v>40550</v>
      </c>
      <c r="C159" s="4">
        <v>1</v>
      </c>
      <c r="D159" s="4">
        <v>0</v>
      </c>
      <c r="E159" s="4">
        <v>1</v>
      </c>
      <c r="F159" s="4">
        <v>20</v>
      </c>
      <c r="G159" s="4" t="b">
        <v>0</v>
      </c>
      <c r="H159" s="4">
        <v>5</v>
      </c>
      <c r="I159" s="4">
        <v>1</v>
      </c>
      <c r="J159" s="4">
        <v>0.18</v>
      </c>
      <c r="K159" s="4">
        <v>0.21210000000000001</v>
      </c>
      <c r="L159" s="4">
        <v>0.47</v>
      </c>
      <c r="M159" s="4">
        <v>0.1045</v>
      </c>
      <c r="N159" s="4">
        <v>1</v>
      </c>
      <c r="O159" s="4">
        <v>50</v>
      </c>
      <c r="P159" s="4">
        <v>51</v>
      </c>
      <c r="Q159" s="4">
        <f>SUBTOTAL(109,Table6[casual])</f>
        <v>4921</v>
      </c>
      <c r="R159" s="4">
        <f>SUBTOTAL(109,Table6[registered])</f>
        <v>53383</v>
      </c>
      <c r="S159" s="4">
        <f>SUBTOTAL(109,Table6[cnt])</f>
        <v>58304</v>
      </c>
    </row>
    <row r="160" spans="1:19">
      <c r="A160" s="4">
        <v>159</v>
      </c>
      <c r="B160" s="5">
        <v>40550</v>
      </c>
      <c r="C160" s="4">
        <v>1</v>
      </c>
      <c r="D160" s="4">
        <v>0</v>
      </c>
      <c r="E160" s="4">
        <v>1</v>
      </c>
      <c r="F160" s="4">
        <v>21</v>
      </c>
      <c r="G160" s="4" t="b">
        <v>0</v>
      </c>
      <c r="H160" s="4">
        <v>5</v>
      </c>
      <c r="I160" s="4">
        <v>1</v>
      </c>
      <c r="J160" s="4">
        <v>0.18</v>
      </c>
      <c r="K160" s="4">
        <v>0.19700000000000001</v>
      </c>
      <c r="L160" s="4">
        <v>0.47</v>
      </c>
      <c r="M160" s="4">
        <v>0.1343</v>
      </c>
      <c r="N160" s="4">
        <v>0</v>
      </c>
      <c r="O160" s="4">
        <v>39</v>
      </c>
      <c r="P160" s="4">
        <v>39</v>
      </c>
      <c r="Q160" s="4">
        <f>SUBTOTAL(109,Table6[casual])</f>
        <v>4921</v>
      </c>
      <c r="R160" s="4">
        <f>SUBTOTAL(109,Table6[registered])</f>
        <v>53383</v>
      </c>
      <c r="S160" s="4">
        <f>SUBTOTAL(109,Table6[cnt])</f>
        <v>58304</v>
      </c>
    </row>
    <row r="161" spans="1:19">
      <c r="A161" s="4">
        <v>160</v>
      </c>
      <c r="B161" s="5">
        <v>40550</v>
      </c>
      <c r="C161" s="4">
        <v>1</v>
      </c>
      <c r="D161" s="4">
        <v>0</v>
      </c>
      <c r="E161" s="4">
        <v>1</v>
      </c>
      <c r="F161" s="4">
        <v>22</v>
      </c>
      <c r="G161" s="4" t="b">
        <v>0</v>
      </c>
      <c r="H161" s="4">
        <v>5</v>
      </c>
      <c r="I161" s="4">
        <v>2</v>
      </c>
      <c r="J161" s="4">
        <v>0.18</v>
      </c>
      <c r="K161" s="4">
        <v>0.19700000000000001</v>
      </c>
      <c r="L161" s="4">
        <v>0.43</v>
      </c>
      <c r="M161" s="4">
        <v>0.16420000000000001</v>
      </c>
      <c r="N161" s="4">
        <v>2</v>
      </c>
      <c r="O161" s="4">
        <v>34</v>
      </c>
      <c r="P161" s="4">
        <v>36</v>
      </c>
      <c r="Q161" s="4">
        <f>SUBTOTAL(109,Table6[casual])</f>
        <v>4921</v>
      </c>
      <c r="R161" s="4">
        <f>SUBTOTAL(109,Table6[registered])</f>
        <v>53383</v>
      </c>
      <c r="S161" s="4">
        <f>SUBTOTAL(109,Table6[cnt])</f>
        <v>58304</v>
      </c>
    </row>
    <row r="162" spans="1:19">
      <c r="A162" s="4">
        <v>161</v>
      </c>
      <c r="B162" s="5">
        <v>40550</v>
      </c>
      <c r="C162" s="4">
        <v>1</v>
      </c>
      <c r="D162" s="4">
        <v>0</v>
      </c>
      <c r="E162" s="4">
        <v>1</v>
      </c>
      <c r="F162" s="4">
        <v>23</v>
      </c>
      <c r="G162" s="4" t="b">
        <v>0</v>
      </c>
      <c r="H162" s="4">
        <v>5</v>
      </c>
      <c r="I162" s="4">
        <v>2</v>
      </c>
      <c r="J162" s="4">
        <v>0.18</v>
      </c>
      <c r="K162" s="4">
        <v>0.19700000000000001</v>
      </c>
      <c r="L162" s="4">
        <v>0.51</v>
      </c>
      <c r="M162" s="4">
        <v>0.16420000000000001</v>
      </c>
      <c r="N162" s="4">
        <v>1</v>
      </c>
      <c r="O162" s="4">
        <v>14</v>
      </c>
      <c r="P162" s="4">
        <v>15</v>
      </c>
      <c r="Q162" s="4">
        <f>SUBTOTAL(109,Table6[casual])</f>
        <v>4921</v>
      </c>
      <c r="R162" s="4">
        <f>SUBTOTAL(109,Table6[registered])</f>
        <v>53383</v>
      </c>
      <c r="S162" s="4">
        <f>SUBTOTAL(109,Table6[cnt])</f>
        <v>58304</v>
      </c>
    </row>
    <row r="163" spans="1:19">
      <c r="A163" s="4">
        <v>162</v>
      </c>
      <c r="B163" s="5">
        <v>40551</v>
      </c>
      <c r="C163" s="4">
        <v>1</v>
      </c>
      <c r="D163" s="4">
        <v>0</v>
      </c>
      <c r="E163" s="4">
        <v>1</v>
      </c>
      <c r="F163" s="4">
        <v>0</v>
      </c>
      <c r="G163" s="4" t="b">
        <v>0</v>
      </c>
      <c r="H163" s="4">
        <v>6</v>
      </c>
      <c r="I163" s="4">
        <v>2</v>
      </c>
      <c r="J163" s="4">
        <v>0.18</v>
      </c>
      <c r="K163" s="4">
        <v>0.19700000000000001</v>
      </c>
      <c r="L163" s="4">
        <v>0.51</v>
      </c>
      <c r="M163" s="4">
        <v>0.16420000000000001</v>
      </c>
      <c r="N163" s="4">
        <v>1</v>
      </c>
      <c r="O163" s="4">
        <v>24</v>
      </c>
      <c r="P163" s="4">
        <v>25</v>
      </c>
      <c r="Q163" s="4">
        <f>SUBTOTAL(109,Table6[casual])</f>
        <v>4921</v>
      </c>
      <c r="R163" s="4">
        <f>SUBTOTAL(109,Table6[registered])</f>
        <v>53383</v>
      </c>
      <c r="S163" s="4">
        <f>SUBTOTAL(109,Table6[cnt])</f>
        <v>58304</v>
      </c>
    </row>
    <row r="164" spans="1:19">
      <c r="A164" s="4">
        <v>163</v>
      </c>
      <c r="B164" s="5">
        <v>40551</v>
      </c>
      <c r="C164" s="4">
        <v>1</v>
      </c>
      <c r="D164" s="4">
        <v>0</v>
      </c>
      <c r="E164" s="4">
        <v>1</v>
      </c>
      <c r="F164" s="4">
        <v>1</v>
      </c>
      <c r="G164" s="4" t="b">
        <v>0</v>
      </c>
      <c r="H164" s="4">
        <v>6</v>
      </c>
      <c r="I164" s="4">
        <v>2</v>
      </c>
      <c r="J164" s="4">
        <v>0.18</v>
      </c>
      <c r="K164" s="4">
        <v>0.21210000000000001</v>
      </c>
      <c r="L164" s="4">
        <v>0.55000000000000004</v>
      </c>
      <c r="M164" s="4">
        <v>8.9599999999999999E-2</v>
      </c>
      <c r="N164" s="4">
        <v>1</v>
      </c>
      <c r="O164" s="4">
        <v>15</v>
      </c>
      <c r="P164" s="4">
        <v>16</v>
      </c>
      <c r="Q164" s="4">
        <f>SUBTOTAL(109,Table6[casual])</f>
        <v>4921</v>
      </c>
      <c r="R164" s="4">
        <f>SUBTOTAL(109,Table6[registered])</f>
        <v>53383</v>
      </c>
      <c r="S164" s="4">
        <f>SUBTOTAL(109,Table6[cnt])</f>
        <v>58304</v>
      </c>
    </row>
    <row r="165" spans="1:19">
      <c r="A165" s="4">
        <v>164</v>
      </c>
      <c r="B165" s="5">
        <v>40551</v>
      </c>
      <c r="C165" s="4">
        <v>1</v>
      </c>
      <c r="D165" s="4">
        <v>0</v>
      </c>
      <c r="E165" s="4">
        <v>1</v>
      </c>
      <c r="F165" s="4">
        <v>2</v>
      </c>
      <c r="G165" s="4" t="b">
        <v>0</v>
      </c>
      <c r="H165" s="4">
        <v>6</v>
      </c>
      <c r="I165" s="4">
        <v>2</v>
      </c>
      <c r="J165" s="4">
        <v>0.18</v>
      </c>
      <c r="K165" s="4">
        <v>0.2424</v>
      </c>
      <c r="L165" s="4">
        <v>0.55000000000000004</v>
      </c>
      <c r="M165" s="4">
        <v>0</v>
      </c>
      <c r="N165" s="4">
        <v>3</v>
      </c>
      <c r="O165" s="4">
        <v>13</v>
      </c>
      <c r="P165" s="4">
        <v>16</v>
      </c>
      <c r="Q165" s="4">
        <f>SUBTOTAL(109,Table6[casual])</f>
        <v>4921</v>
      </c>
      <c r="R165" s="4">
        <f>SUBTOTAL(109,Table6[registered])</f>
        <v>53383</v>
      </c>
      <c r="S165" s="4">
        <f>SUBTOTAL(109,Table6[cnt])</f>
        <v>58304</v>
      </c>
    </row>
    <row r="166" spans="1:19">
      <c r="A166" s="4">
        <v>165</v>
      </c>
      <c r="B166" s="5">
        <v>40551</v>
      </c>
      <c r="C166" s="4">
        <v>1</v>
      </c>
      <c r="D166" s="4">
        <v>0</v>
      </c>
      <c r="E166" s="4">
        <v>1</v>
      </c>
      <c r="F166" s="4">
        <v>3</v>
      </c>
      <c r="G166" s="4" t="b">
        <v>0</v>
      </c>
      <c r="H166" s="4">
        <v>6</v>
      </c>
      <c r="I166" s="4">
        <v>3</v>
      </c>
      <c r="J166" s="4">
        <v>0.18</v>
      </c>
      <c r="K166" s="4">
        <v>0.19700000000000001</v>
      </c>
      <c r="L166" s="4">
        <v>0.55000000000000004</v>
      </c>
      <c r="M166" s="4">
        <v>0.16420000000000001</v>
      </c>
      <c r="N166" s="4">
        <v>0</v>
      </c>
      <c r="O166" s="4">
        <v>7</v>
      </c>
      <c r="P166" s="4">
        <v>7</v>
      </c>
      <c r="Q166" s="4">
        <f>SUBTOTAL(109,Table6[casual])</f>
        <v>4921</v>
      </c>
      <c r="R166" s="4">
        <f>SUBTOTAL(109,Table6[registered])</f>
        <v>53383</v>
      </c>
      <c r="S166" s="4">
        <f>SUBTOTAL(109,Table6[cnt])</f>
        <v>58304</v>
      </c>
    </row>
    <row r="167" spans="1:19">
      <c r="A167" s="4">
        <v>166</v>
      </c>
      <c r="B167" s="5">
        <v>40551</v>
      </c>
      <c r="C167" s="4">
        <v>1</v>
      </c>
      <c r="D167" s="4">
        <v>0</v>
      </c>
      <c r="E167" s="4">
        <v>1</v>
      </c>
      <c r="F167" s="4">
        <v>4</v>
      </c>
      <c r="G167" s="4" t="b">
        <v>0</v>
      </c>
      <c r="H167" s="4">
        <v>6</v>
      </c>
      <c r="I167" s="4">
        <v>3</v>
      </c>
      <c r="J167" s="4">
        <v>0.18</v>
      </c>
      <c r="K167" s="4">
        <v>0.19700000000000001</v>
      </c>
      <c r="L167" s="4">
        <v>0.55000000000000004</v>
      </c>
      <c r="M167" s="4">
        <v>0.16420000000000001</v>
      </c>
      <c r="N167" s="4">
        <v>0</v>
      </c>
      <c r="O167" s="4">
        <v>1</v>
      </c>
      <c r="P167" s="4">
        <v>1</v>
      </c>
      <c r="Q167" s="4">
        <f>SUBTOTAL(109,Table6[casual])</f>
        <v>4921</v>
      </c>
      <c r="R167" s="4">
        <f>SUBTOTAL(109,Table6[registered])</f>
        <v>53383</v>
      </c>
      <c r="S167" s="4">
        <f>SUBTOTAL(109,Table6[cnt])</f>
        <v>58304</v>
      </c>
    </row>
    <row r="168" spans="1:19">
      <c r="A168" s="4">
        <v>167</v>
      </c>
      <c r="B168" s="5">
        <v>40551</v>
      </c>
      <c r="C168" s="4">
        <v>1</v>
      </c>
      <c r="D168" s="4">
        <v>0</v>
      </c>
      <c r="E168" s="4">
        <v>1</v>
      </c>
      <c r="F168" s="4">
        <v>5</v>
      </c>
      <c r="G168" s="4" t="b">
        <v>0</v>
      </c>
      <c r="H168" s="4">
        <v>6</v>
      </c>
      <c r="I168" s="4">
        <v>2</v>
      </c>
      <c r="J168" s="4">
        <v>0.16</v>
      </c>
      <c r="K168" s="4">
        <v>0.16669999999999999</v>
      </c>
      <c r="L168" s="4">
        <v>0.74</v>
      </c>
      <c r="M168" s="4">
        <v>0.16420000000000001</v>
      </c>
      <c r="N168" s="4">
        <v>0</v>
      </c>
      <c r="O168" s="4">
        <v>5</v>
      </c>
      <c r="P168" s="4">
        <v>5</v>
      </c>
      <c r="Q168" s="4">
        <f>SUBTOTAL(109,Table6[casual])</f>
        <v>4921</v>
      </c>
      <c r="R168" s="4">
        <f>SUBTOTAL(109,Table6[registered])</f>
        <v>53383</v>
      </c>
      <c r="S168" s="4">
        <f>SUBTOTAL(109,Table6[cnt])</f>
        <v>58304</v>
      </c>
    </row>
    <row r="169" spans="1:19">
      <c r="A169" s="4">
        <v>168</v>
      </c>
      <c r="B169" s="5">
        <v>40551</v>
      </c>
      <c r="C169" s="4">
        <v>1</v>
      </c>
      <c r="D169" s="4">
        <v>0</v>
      </c>
      <c r="E169" s="4">
        <v>1</v>
      </c>
      <c r="F169" s="4">
        <v>6</v>
      </c>
      <c r="G169" s="4" t="b">
        <v>0</v>
      </c>
      <c r="H169" s="4">
        <v>6</v>
      </c>
      <c r="I169" s="4">
        <v>2</v>
      </c>
      <c r="J169" s="4">
        <v>0.16</v>
      </c>
      <c r="K169" s="4">
        <v>0.16669999999999999</v>
      </c>
      <c r="L169" s="4">
        <v>0.74</v>
      </c>
      <c r="M169" s="4">
        <v>0.16420000000000001</v>
      </c>
      <c r="N169" s="4">
        <v>0</v>
      </c>
      <c r="O169" s="4">
        <v>2</v>
      </c>
      <c r="P169" s="4">
        <v>2</v>
      </c>
      <c r="Q169" s="4">
        <f>SUBTOTAL(109,Table6[casual])</f>
        <v>4921</v>
      </c>
      <c r="R169" s="4">
        <f>SUBTOTAL(109,Table6[registered])</f>
        <v>53383</v>
      </c>
      <c r="S169" s="4">
        <f>SUBTOTAL(109,Table6[cnt])</f>
        <v>58304</v>
      </c>
    </row>
    <row r="170" spans="1:19">
      <c r="A170" s="4">
        <v>169</v>
      </c>
      <c r="B170" s="5">
        <v>40551</v>
      </c>
      <c r="C170" s="4">
        <v>1</v>
      </c>
      <c r="D170" s="4">
        <v>0</v>
      </c>
      <c r="E170" s="4">
        <v>1</v>
      </c>
      <c r="F170" s="4">
        <v>7</v>
      </c>
      <c r="G170" s="4" t="b">
        <v>0</v>
      </c>
      <c r="H170" s="4">
        <v>6</v>
      </c>
      <c r="I170" s="4">
        <v>2</v>
      </c>
      <c r="J170" s="4">
        <v>0.16</v>
      </c>
      <c r="K170" s="4">
        <v>0.18179999999999999</v>
      </c>
      <c r="L170" s="4">
        <v>0.74</v>
      </c>
      <c r="M170" s="4">
        <v>0.1045</v>
      </c>
      <c r="N170" s="4">
        <v>1</v>
      </c>
      <c r="O170" s="4">
        <v>8</v>
      </c>
      <c r="P170" s="4">
        <v>9</v>
      </c>
      <c r="Q170" s="4">
        <f>SUBTOTAL(109,Table6[casual])</f>
        <v>4921</v>
      </c>
      <c r="R170" s="4">
        <f>SUBTOTAL(109,Table6[registered])</f>
        <v>53383</v>
      </c>
      <c r="S170" s="4">
        <f>SUBTOTAL(109,Table6[cnt])</f>
        <v>58304</v>
      </c>
    </row>
    <row r="171" spans="1:19">
      <c r="A171" s="4">
        <v>170</v>
      </c>
      <c r="B171" s="5">
        <v>40551</v>
      </c>
      <c r="C171" s="4">
        <v>1</v>
      </c>
      <c r="D171" s="4">
        <v>0</v>
      </c>
      <c r="E171" s="4">
        <v>1</v>
      </c>
      <c r="F171" s="4">
        <v>8</v>
      </c>
      <c r="G171" s="4" t="b">
        <v>0</v>
      </c>
      <c r="H171" s="4">
        <v>6</v>
      </c>
      <c r="I171" s="4">
        <v>3</v>
      </c>
      <c r="J171" s="4">
        <v>0.16</v>
      </c>
      <c r="K171" s="4">
        <v>0.18179999999999999</v>
      </c>
      <c r="L171" s="4">
        <v>0.93</v>
      </c>
      <c r="M171" s="4">
        <v>0.1045</v>
      </c>
      <c r="N171" s="4">
        <v>0</v>
      </c>
      <c r="O171" s="4">
        <v>15</v>
      </c>
      <c r="P171" s="4">
        <v>15</v>
      </c>
      <c r="Q171" s="4">
        <f>SUBTOTAL(109,Table6[casual])</f>
        <v>4921</v>
      </c>
      <c r="R171" s="4">
        <f>SUBTOTAL(109,Table6[registered])</f>
        <v>53383</v>
      </c>
      <c r="S171" s="4">
        <f>SUBTOTAL(109,Table6[cnt])</f>
        <v>58304</v>
      </c>
    </row>
    <row r="172" spans="1:19">
      <c r="A172" s="4">
        <v>171</v>
      </c>
      <c r="B172" s="5">
        <v>40551</v>
      </c>
      <c r="C172" s="4">
        <v>1</v>
      </c>
      <c r="D172" s="4">
        <v>0</v>
      </c>
      <c r="E172" s="4">
        <v>1</v>
      </c>
      <c r="F172" s="4">
        <v>9</v>
      </c>
      <c r="G172" s="4" t="b">
        <v>0</v>
      </c>
      <c r="H172" s="4">
        <v>6</v>
      </c>
      <c r="I172" s="4">
        <v>3</v>
      </c>
      <c r="J172" s="4">
        <v>0.16</v>
      </c>
      <c r="K172" s="4">
        <v>0.18179999999999999</v>
      </c>
      <c r="L172" s="4">
        <v>0.93</v>
      </c>
      <c r="M172" s="4">
        <v>0.1045</v>
      </c>
      <c r="N172" s="4">
        <v>0</v>
      </c>
      <c r="O172" s="4">
        <v>20</v>
      </c>
      <c r="P172" s="4">
        <v>20</v>
      </c>
      <c r="Q172" s="4">
        <f>SUBTOTAL(109,Table6[casual])</f>
        <v>4921</v>
      </c>
      <c r="R172" s="4">
        <f>SUBTOTAL(109,Table6[registered])</f>
        <v>53383</v>
      </c>
      <c r="S172" s="4">
        <f>SUBTOTAL(109,Table6[cnt])</f>
        <v>58304</v>
      </c>
    </row>
    <row r="173" spans="1:19">
      <c r="A173" s="4">
        <v>172</v>
      </c>
      <c r="B173" s="5">
        <v>40551</v>
      </c>
      <c r="C173" s="4">
        <v>1</v>
      </c>
      <c r="D173" s="4">
        <v>0</v>
      </c>
      <c r="E173" s="4">
        <v>1</v>
      </c>
      <c r="F173" s="4">
        <v>10</v>
      </c>
      <c r="G173" s="4" t="b">
        <v>0</v>
      </c>
      <c r="H173" s="4">
        <v>6</v>
      </c>
      <c r="I173" s="4">
        <v>2</v>
      </c>
      <c r="J173" s="4">
        <v>0.18</v>
      </c>
      <c r="K173" s="4">
        <v>0.19700000000000001</v>
      </c>
      <c r="L173" s="4">
        <v>0.8</v>
      </c>
      <c r="M173" s="4">
        <v>0.16420000000000001</v>
      </c>
      <c r="N173" s="4">
        <v>5</v>
      </c>
      <c r="O173" s="4">
        <v>56</v>
      </c>
      <c r="P173" s="4">
        <v>61</v>
      </c>
      <c r="Q173" s="4">
        <f>SUBTOTAL(109,Table6[casual])</f>
        <v>4921</v>
      </c>
      <c r="R173" s="4">
        <f>SUBTOTAL(109,Table6[registered])</f>
        <v>53383</v>
      </c>
      <c r="S173" s="4">
        <f>SUBTOTAL(109,Table6[cnt])</f>
        <v>58304</v>
      </c>
    </row>
    <row r="174" spans="1:19">
      <c r="A174" s="4">
        <v>173</v>
      </c>
      <c r="B174" s="5">
        <v>40551</v>
      </c>
      <c r="C174" s="4">
        <v>1</v>
      </c>
      <c r="D174" s="4">
        <v>0</v>
      </c>
      <c r="E174" s="4">
        <v>1</v>
      </c>
      <c r="F174" s="4">
        <v>11</v>
      </c>
      <c r="G174" s="4" t="b">
        <v>0</v>
      </c>
      <c r="H174" s="4">
        <v>6</v>
      </c>
      <c r="I174" s="4">
        <v>2</v>
      </c>
      <c r="J174" s="4">
        <v>0.2</v>
      </c>
      <c r="K174" s="4">
        <v>0.18179999999999999</v>
      </c>
      <c r="L174" s="4">
        <v>0.69</v>
      </c>
      <c r="M174" s="4">
        <v>0.3881</v>
      </c>
      <c r="N174" s="4">
        <v>2</v>
      </c>
      <c r="O174" s="4">
        <v>60</v>
      </c>
      <c r="P174" s="4">
        <v>62</v>
      </c>
      <c r="Q174" s="4">
        <f>SUBTOTAL(109,Table6[casual])</f>
        <v>4921</v>
      </c>
      <c r="R174" s="4">
        <f>SUBTOTAL(109,Table6[registered])</f>
        <v>53383</v>
      </c>
      <c r="S174" s="4">
        <f>SUBTOTAL(109,Table6[cnt])</f>
        <v>58304</v>
      </c>
    </row>
    <row r="175" spans="1:19">
      <c r="A175" s="4">
        <v>174</v>
      </c>
      <c r="B175" s="5">
        <v>40551</v>
      </c>
      <c r="C175" s="4">
        <v>1</v>
      </c>
      <c r="D175" s="4">
        <v>0</v>
      </c>
      <c r="E175" s="4">
        <v>1</v>
      </c>
      <c r="F175" s="4">
        <v>12</v>
      </c>
      <c r="G175" s="4" t="b">
        <v>0</v>
      </c>
      <c r="H175" s="4">
        <v>6</v>
      </c>
      <c r="I175" s="4">
        <v>2</v>
      </c>
      <c r="J175" s="4">
        <v>0.2</v>
      </c>
      <c r="K175" s="4">
        <v>0.18179999999999999</v>
      </c>
      <c r="L175" s="4">
        <v>0.59</v>
      </c>
      <c r="M175" s="4">
        <v>0.35820000000000002</v>
      </c>
      <c r="N175" s="4">
        <v>8</v>
      </c>
      <c r="O175" s="4">
        <v>90</v>
      </c>
      <c r="P175" s="4">
        <v>98</v>
      </c>
      <c r="Q175" s="4">
        <f>SUBTOTAL(109,Table6[casual])</f>
        <v>4921</v>
      </c>
      <c r="R175" s="4">
        <f>SUBTOTAL(109,Table6[registered])</f>
        <v>53383</v>
      </c>
      <c r="S175" s="4">
        <f>SUBTOTAL(109,Table6[cnt])</f>
        <v>58304</v>
      </c>
    </row>
    <row r="176" spans="1:19">
      <c r="A176" s="4">
        <v>175</v>
      </c>
      <c r="B176" s="5">
        <v>40551</v>
      </c>
      <c r="C176" s="4">
        <v>1</v>
      </c>
      <c r="D176" s="4">
        <v>0</v>
      </c>
      <c r="E176" s="4">
        <v>1</v>
      </c>
      <c r="F176" s="4">
        <v>13</v>
      </c>
      <c r="G176" s="4" t="b">
        <v>0</v>
      </c>
      <c r="H176" s="4">
        <v>6</v>
      </c>
      <c r="I176" s="4">
        <v>1</v>
      </c>
      <c r="J176" s="4">
        <v>0.2</v>
      </c>
      <c r="K176" s="4">
        <v>0.18179999999999999</v>
      </c>
      <c r="L176" s="4">
        <v>0.44</v>
      </c>
      <c r="M176" s="4">
        <v>0.32840000000000003</v>
      </c>
      <c r="N176" s="4">
        <v>7</v>
      </c>
      <c r="O176" s="4">
        <v>95</v>
      </c>
      <c r="P176" s="4">
        <v>102</v>
      </c>
      <c r="Q176" s="4">
        <f>SUBTOTAL(109,Table6[casual])</f>
        <v>4921</v>
      </c>
      <c r="R176" s="4">
        <f>SUBTOTAL(109,Table6[registered])</f>
        <v>53383</v>
      </c>
      <c r="S176" s="4">
        <f>SUBTOTAL(109,Table6[cnt])</f>
        <v>58304</v>
      </c>
    </row>
    <row r="177" spans="1:19">
      <c r="A177" s="4">
        <v>176</v>
      </c>
      <c r="B177" s="5">
        <v>40551</v>
      </c>
      <c r="C177" s="4">
        <v>1</v>
      </c>
      <c r="D177" s="4">
        <v>0</v>
      </c>
      <c r="E177" s="4">
        <v>1</v>
      </c>
      <c r="F177" s="4">
        <v>14</v>
      </c>
      <c r="G177" s="4" t="b">
        <v>0</v>
      </c>
      <c r="H177" s="4">
        <v>6</v>
      </c>
      <c r="I177" s="4">
        <v>1</v>
      </c>
      <c r="J177" s="4">
        <v>0.2</v>
      </c>
      <c r="K177" s="4">
        <v>0.16669999999999999</v>
      </c>
      <c r="L177" s="4">
        <v>0.32</v>
      </c>
      <c r="M177" s="4">
        <v>0.49249999999999999</v>
      </c>
      <c r="N177" s="4">
        <v>12</v>
      </c>
      <c r="O177" s="4">
        <v>83</v>
      </c>
      <c r="P177" s="4">
        <v>95</v>
      </c>
      <c r="Q177" s="4">
        <f>SUBTOTAL(109,Table6[casual])</f>
        <v>4921</v>
      </c>
      <c r="R177" s="4">
        <f>SUBTOTAL(109,Table6[registered])</f>
        <v>53383</v>
      </c>
      <c r="S177" s="4">
        <f>SUBTOTAL(109,Table6[cnt])</f>
        <v>58304</v>
      </c>
    </row>
    <row r="178" spans="1:19">
      <c r="A178" s="4">
        <v>177</v>
      </c>
      <c r="B178" s="5">
        <v>40551</v>
      </c>
      <c r="C178" s="4">
        <v>1</v>
      </c>
      <c r="D178" s="4">
        <v>0</v>
      </c>
      <c r="E178" s="4">
        <v>1</v>
      </c>
      <c r="F178" s="4">
        <v>15</v>
      </c>
      <c r="G178" s="4" t="b">
        <v>0</v>
      </c>
      <c r="H178" s="4">
        <v>6</v>
      </c>
      <c r="I178" s="4">
        <v>1</v>
      </c>
      <c r="J178" s="4">
        <v>0.2</v>
      </c>
      <c r="K178" s="4">
        <v>0.16669999999999999</v>
      </c>
      <c r="L178" s="4">
        <v>0.32</v>
      </c>
      <c r="M178" s="4">
        <v>0.44779999999999998</v>
      </c>
      <c r="N178" s="4">
        <v>5</v>
      </c>
      <c r="O178" s="4">
        <v>69</v>
      </c>
      <c r="P178" s="4">
        <v>74</v>
      </c>
      <c r="Q178" s="4">
        <f>SUBTOTAL(109,Table6[casual])</f>
        <v>4921</v>
      </c>
      <c r="R178" s="4">
        <f>SUBTOTAL(109,Table6[registered])</f>
        <v>53383</v>
      </c>
      <c r="S178" s="4">
        <f>SUBTOTAL(109,Table6[cnt])</f>
        <v>58304</v>
      </c>
    </row>
    <row r="179" spans="1:19">
      <c r="A179" s="4">
        <v>178</v>
      </c>
      <c r="B179" s="5">
        <v>40551</v>
      </c>
      <c r="C179" s="4">
        <v>1</v>
      </c>
      <c r="D179" s="4">
        <v>0</v>
      </c>
      <c r="E179" s="4">
        <v>1</v>
      </c>
      <c r="F179" s="4">
        <v>16</v>
      </c>
      <c r="G179" s="4" t="b">
        <v>0</v>
      </c>
      <c r="H179" s="4">
        <v>6</v>
      </c>
      <c r="I179" s="4">
        <v>1</v>
      </c>
      <c r="J179" s="4">
        <v>0.18</v>
      </c>
      <c r="K179" s="4">
        <v>0.13639999999999999</v>
      </c>
      <c r="L179" s="4">
        <v>0.28999999999999998</v>
      </c>
      <c r="M179" s="4">
        <v>0.44779999999999998</v>
      </c>
      <c r="N179" s="4">
        <v>8</v>
      </c>
      <c r="O179" s="4">
        <v>68</v>
      </c>
      <c r="P179" s="4">
        <v>76</v>
      </c>
      <c r="Q179" s="4">
        <f>SUBTOTAL(109,Table6[casual])</f>
        <v>4921</v>
      </c>
      <c r="R179" s="4">
        <f>SUBTOTAL(109,Table6[registered])</f>
        <v>53383</v>
      </c>
      <c r="S179" s="4">
        <f>SUBTOTAL(109,Table6[cnt])</f>
        <v>58304</v>
      </c>
    </row>
    <row r="180" spans="1:19">
      <c r="A180" s="4">
        <v>179</v>
      </c>
      <c r="B180" s="5">
        <v>40551</v>
      </c>
      <c r="C180" s="4">
        <v>1</v>
      </c>
      <c r="D180" s="4">
        <v>0</v>
      </c>
      <c r="E180" s="4">
        <v>1</v>
      </c>
      <c r="F180" s="4">
        <v>17</v>
      </c>
      <c r="G180" s="4" t="b">
        <v>0</v>
      </c>
      <c r="H180" s="4">
        <v>6</v>
      </c>
      <c r="I180" s="4">
        <v>1</v>
      </c>
      <c r="J180" s="4">
        <v>0.16</v>
      </c>
      <c r="K180" s="4">
        <v>0.1212</v>
      </c>
      <c r="L180" s="4">
        <v>0.37</v>
      </c>
      <c r="M180" s="4">
        <v>0.55220000000000002</v>
      </c>
      <c r="N180" s="4">
        <v>5</v>
      </c>
      <c r="O180" s="4">
        <v>64</v>
      </c>
      <c r="P180" s="4">
        <v>69</v>
      </c>
      <c r="Q180" s="4">
        <f>SUBTOTAL(109,Table6[casual])</f>
        <v>4921</v>
      </c>
      <c r="R180" s="4">
        <f>SUBTOTAL(109,Table6[registered])</f>
        <v>53383</v>
      </c>
      <c r="S180" s="4">
        <f>SUBTOTAL(109,Table6[cnt])</f>
        <v>58304</v>
      </c>
    </row>
    <row r="181" spans="1:19">
      <c r="A181" s="4">
        <v>180</v>
      </c>
      <c r="B181" s="5">
        <v>40551</v>
      </c>
      <c r="C181" s="4">
        <v>1</v>
      </c>
      <c r="D181" s="4">
        <v>0</v>
      </c>
      <c r="E181" s="4">
        <v>1</v>
      </c>
      <c r="F181" s="4">
        <v>18</v>
      </c>
      <c r="G181" s="4" t="b">
        <v>0</v>
      </c>
      <c r="H181" s="4">
        <v>6</v>
      </c>
      <c r="I181" s="4">
        <v>1</v>
      </c>
      <c r="J181" s="4">
        <v>0.14000000000000001</v>
      </c>
      <c r="K181" s="4">
        <v>0.1212</v>
      </c>
      <c r="L181" s="4">
        <v>0.39</v>
      </c>
      <c r="M181" s="4">
        <v>0.29849999999999999</v>
      </c>
      <c r="N181" s="4">
        <v>3</v>
      </c>
      <c r="O181" s="4">
        <v>52</v>
      </c>
      <c r="P181" s="4">
        <v>55</v>
      </c>
      <c r="Q181" s="4">
        <f>SUBTOTAL(109,Table6[casual])</f>
        <v>4921</v>
      </c>
      <c r="R181" s="4">
        <f>SUBTOTAL(109,Table6[registered])</f>
        <v>53383</v>
      </c>
      <c r="S181" s="4">
        <f>SUBTOTAL(109,Table6[cnt])</f>
        <v>58304</v>
      </c>
    </row>
    <row r="182" spans="1:19">
      <c r="A182" s="4">
        <v>181</v>
      </c>
      <c r="B182" s="5">
        <v>40551</v>
      </c>
      <c r="C182" s="4">
        <v>1</v>
      </c>
      <c r="D182" s="4">
        <v>0</v>
      </c>
      <c r="E182" s="4">
        <v>1</v>
      </c>
      <c r="F182" s="4">
        <v>19</v>
      </c>
      <c r="G182" s="4" t="b">
        <v>0</v>
      </c>
      <c r="H182" s="4">
        <v>6</v>
      </c>
      <c r="I182" s="4">
        <v>1</v>
      </c>
      <c r="J182" s="4">
        <v>0.14000000000000001</v>
      </c>
      <c r="K182" s="4">
        <v>0.1212</v>
      </c>
      <c r="L182" s="4">
        <v>0.36</v>
      </c>
      <c r="M182" s="4">
        <v>0.25369999999999998</v>
      </c>
      <c r="N182" s="4">
        <v>4</v>
      </c>
      <c r="O182" s="4">
        <v>26</v>
      </c>
      <c r="P182" s="4">
        <v>30</v>
      </c>
      <c r="Q182" s="4">
        <f>SUBTOTAL(109,Table6[casual])</f>
        <v>4921</v>
      </c>
      <c r="R182" s="4">
        <f>SUBTOTAL(109,Table6[registered])</f>
        <v>53383</v>
      </c>
      <c r="S182" s="4">
        <f>SUBTOTAL(109,Table6[cnt])</f>
        <v>58304</v>
      </c>
    </row>
    <row r="183" spans="1:19">
      <c r="A183" s="4">
        <v>182</v>
      </c>
      <c r="B183" s="5">
        <v>40551</v>
      </c>
      <c r="C183" s="4">
        <v>1</v>
      </c>
      <c r="D183" s="4">
        <v>0</v>
      </c>
      <c r="E183" s="4">
        <v>1</v>
      </c>
      <c r="F183" s="4">
        <v>20</v>
      </c>
      <c r="G183" s="4" t="b">
        <v>0</v>
      </c>
      <c r="H183" s="4">
        <v>6</v>
      </c>
      <c r="I183" s="4">
        <v>1</v>
      </c>
      <c r="J183" s="4">
        <v>0.12</v>
      </c>
      <c r="K183" s="4">
        <v>0.1212</v>
      </c>
      <c r="L183" s="4">
        <v>0.36</v>
      </c>
      <c r="M183" s="4">
        <v>0.25369999999999998</v>
      </c>
      <c r="N183" s="4">
        <v>0</v>
      </c>
      <c r="O183" s="4">
        <v>28</v>
      </c>
      <c r="P183" s="4">
        <v>28</v>
      </c>
      <c r="Q183" s="4">
        <f>SUBTOTAL(109,Table6[casual])</f>
        <v>4921</v>
      </c>
      <c r="R183" s="4">
        <f>SUBTOTAL(109,Table6[registered])</f>
        <v>53383</v>
      </c>
      <c r="S183" s="4">
        <f>SUBTOTAL(109,Table6[cnt])</f>
        <v>58304</v>
      </c>
    </row>
    <row r="184" spans="1:19">
      <c r="A184" s="4">
        <v>183</v>
      </c>
      <c r="B184" s="5">
        <v>40551</v>
      </c>
      <c r="C184" s="4">
        <v>1</v>
      </c>
      <c r="D184" s="4">
        <v>0</v>
      </c>
      <c r="E184" s="4">
        <v>1</v>
      </c>
      <c r="F184" s="4">
        <v>21</v>
      </c>
      <c r="G184" s="4" t="b">
        <v>0</v>
      </c>
      <c r="H184" s="4">
        <v>6</v>
      </c>
      <c r="I184" s="4">
        <v>1</v>
      </c>
      <c r="J184" s="4">
        <v>0.12</v>
      </c>
      <c r="K184" s="4">
        <v>0.1061</v>
      </c>
      <c r="L184" s="4">
        <v>0.39</v>
      </c>
      <c r="M184" s="4">
        <v>0.35820000000000002</v>
      </c>
      <c r="N184" s="4">
        <v>2</v>
      </c>
      <c r="O184" s="4">
        <v>35</v>
      </c>
      <c r="P184" s="4">
        <v>37</v>
      </c>
      <c r="Q184" s="4">
        <f>SUBTOTAL(109,Table6[casual])</f>
        <v>4921</v>
      </c>
      <c r="R184" s="4">
        <f>SUBTOTAL(109,Table6[registered])</f>
        <v>53383</v>
      </c>
      <c r="S184" s="4">
        <f>SUBTOTAL(109,Table6[cnt])</f>
        <v>58304</v>
      </c>
    </row>
    <row r="185" spans="1:19">
      <c r="A185" s="4">
        <v>184</v>
      </c>
      <c r="B185" s="5">
        <v>40551</v>
      </c>
      <c r="C185" s="4">
        <v>1</v>
      </c>
      <c r="D185" s="4">
        <v>0</v>
      </c>
      <c r="E185" s="4">
        <v>1</v>
      </c>
      <c r="F185" s="4">
        <v>22</v>
      </c>
      <c r="G185" s="4" t="b">
        <v>0</v>
      </c>
      <c r="H185" s="4">
        <v>6</v>
      </c>
      <c r="I185" s="4">
        <v>1</v>
      </c>
      <c r="J185" s="4">
        <v>0.12</v>
      </c>
      <c r="K185" s="4">
        <v>0.1061</v>
      </c>
      <c r="L185" s="4">
        <v>0.36</v>
      </c>
      <c r="M185" s="4">
        <v>0.3881</v>
      </c>
      <c r="N185" s="4">
        <v>1</v>
      </c>
      <c r="O185" s="4">
        <v>33</v>
      </c>
      <c r="P185" s="4">
        <v>34</v>
      </c>
      <c r="Q185" s="4">
        <f>SUBTOTAL(109,Table6[casual])</f>
        <v>4921</v>
      </c>
      <c r="R185" s="4">
        <f>SUBTOTAL(109,Table6[registered])</f>
        <v>53383</v>
      </c>
      <c r="S185" s="4">
        <f>SUBTOTAL(109,Table6[cnt])</f>
        <v>58304</v>
      </c>
    </row>
    <row r="186" spans="1:19">
      <c r="A186" s="4">
        <v>185</v>
      </c>
      <c r="B186" s="5">
        <v>40551</v>
      </c>
      <c r="C186" s="4">
        <v>1</v>
      </c>
      <c r="D186" s="4">
        <v>0</v>
      </c>
      <c r="E186" s="4">
        <v>1</v>
      </c>
      <c r="F186" s="4">
        <v>23</v>
      </c>
      <c r="G186" s="4" t="b">
        <v>0</v>
      </c>
      <c r="H186" s="4">
        <v>6</v>
      </c>
      <c r="I186" s="4">
        <v>1</v>
      </c>
      <c r="J186" s="4">
        <v>0.1</v>
      </c>
      <c r="K186" s="4">
        <v>6.0600000000000001E-2</v>
      </c>
      <c r="L186" s="4">
        <v>0.39</v>
      </c>
      <c r="M186" s="4">
        <v>0.44779999999999998</v>
      </c>
      <c r="N186" s="4">
        <v>0</v>
      </c>
      <c r="O186" s="4">
        <v>22</v>
      </c>
      <c r="P186" s="4">
        <v>22</v>
      </c>
      <c r="Q186" s="4">
        <f>SUBTOTAL(109,Table6[casual])</f>
        <v>4921</v>
      </c>
      <c r="R186" s="4">
        <f>SUBTOTAL(109,Table6[registered])</f>
        <v>53383</v>
      </c>
      <c r="S186" s="4">
        <f>SUBTOTAL(109,Table6[cnt])</f>
        <v>58304</v>
      </c>
    </row>
    <row r="187" spans="1:19">
      <c r="A187" s="4">
        <v>186</v>
      </c>
      <c r="B187" s="5">
        <v>40552</v>
      </c>
      <c r="C187" s="4">
        <v>1</v>
      </c>
      <c r="D187" s="4">
        <v>0</v>
      </c>
      <c r="E187" s="4">
        <v>1</v>
      </c>
      <c r="F187" s="4">
        <v>0</v>
      </c>
      <c r="G187" s="4" t="b">
        <v>0</v>
      </c>
      <c r="H187" s="4">
        <v>0</v>
      </c>
      <c r="I187" s="4">
        <v>1</v>
      </c>
      <c r="J187" s="4">
        <v>0.1</v>
      </c>
      <c r="K187" s="4">
        <v>7.5800000000000006E-2</v>
      </c>
      <c r="L187" s="4">
        <v>0.42</v>
      </c>
      <c r="M187" s="4">
        <v>0.3881</v>
      </c>
      <c r="N187" s="4">
        <v>1</v>
      </c>
      <c r="O187" s="4">
        <v>24</v>
      </c>
      <c r="P187" s="4">
        <v>25</v>
      </c>
      <c r="Q187" s="4">
        <f>SUBTOTAL(109,Table6[casual])</f>
        <v>4921</v>
      </c>
      <c r="R187" s="4">
        <f>SUBTOTAL(109,Table6[registered])</f>
        <v>53383</v>
      </c>
      <c r="S187" s="4">
        <f>SUBTOTAL(109,Table6[cnt])</f>
        <v>58304</v>
      </c>
    </row>
    <row r="188" spans="1:19">
      <c r="A188" s="4">
        <v>187</v>
      </c>
      <c r="B188" s="5">
        <v>40552</v>
      </c>
      <c r="C188" s="4">
        <v>1</v>
      </c>
      <c r="D188" s="4">
        <v>0</v>
      </c>
      <c r="E188" s="4">
        <v>1</v>
      </c>
      <c r="F188" s="4">
        <v>1</v>
      </c>
      <c r="G188" s="4" t="b">
        <v>0</v>
      </c>
      <c r="H188" s="4">
        <v>0</v>
      </c>
      <c r="I188" s="4">
        <v>1</v>
      </c>
      <c r="J188" s="4">
        <v>0.1</v>
      </c>
      <c r="K188" s="4">
        <v>6.0600000000000001E-2</v>
      </c>
      <c r="L188" s="4">
        <v>0.42</v>
      </c>
      <c r="M188" s="4">
        <v>0.4627</v>
      </c>
      <c r="N188" s="4">
        <v>0</v>
      </c>
      <c r="O188" s="4">
        <v>12</v>
      </c>
      <c r="P188" s="4">
        <v>12</v>
      </c>
      <c r="Q188" s="4">
        <f>SUBTOTAL(109,Table6[casual])</f>
        <v>4921</v>
      </c>
      <c r="R188" s="4">
        <f>SUBTOTAL(109,Table6[registered])</f>
        <v>53383</v>
      </c>
      <c r="S188" s="4">
        <f>SUBTOTAL(109,Table6[cnt])</f>
        <v>58304</v>
      </c>
    </row>
    <row r="189" spans="1:19">
      <c r="A189" s="4">
        <v>188</v>
      </c>
      <c r="B189" s="5">
        <v>40552</v>
      </c>
      <c r="C189" s="4">
        <v>1</v>
      </c>
      <c r="D189" s="4">
        <v>0</v>
      </c>
      <c r="E189" s="4">
        <v>1</v>
      </c>
      <c r="F189" s="4">
        <v>2</v>
      </c>
      <c r="G189" s="4" t="b">
        <v>0</v>
      </c>
      <c r="H189" s="4">
        <v>0</v>
      </c>
      <c r="I189" s="4">
        <v>1</v>
      </c>
      <c r="J189" s="4">
        <v>0.1</v>
      </c>
      <c r="K189" s="4">
        <v>6.0600000000000001E-2</v>
      </c>
      <c r="L189" s="4">
        <v>0.46</v>
      </c>
      <c r="M189" s="4">
        <v>0.4627</v>
      </c>
      <c r="N189" s="4">
        <v>0</v>
      </c>
      <c r="O189" s="4">
        <v>11</v>
      </c>
      <c r="P189" s="4">
        <v>11</v>
      </c>
      <c r="Q189" s="4">
        <f>SUBTOTAL(109,Table6[casual])</f>
        <v>4921</v>
      </c>
      <c r="R189" s="4">
        <f>SUBTOTAL(109,Table6[registered])</f>
        <v>53383</v>
      </c>
      <c r="S189" s="4">
        <f>SUBTOTAL(109,Table6[cnt])</f>
        <v>58304</v>
      </c>
    </row>
    <row r="190" spans="1:19">
      <c r="A190" s="4">
        <v>189</v>
      </c>
      <c r="B190" s="5">
        <v>40552</v>
      </c>
      <c r="C190" s="4">
        <v>1</v>
      </c>
      <c r="D190" s="4">
        <v>0</v>
      </c>
      <c r="E190" s="4">
        <v>1</v>
      </c>
      <c r="F190" s="4">
        <v>3</v>
      </c>
      <c r="G190" s="4" t="b">
        <v>0</v>
      </c>
      <c r="H190" s="4">
        <v>0</v>
      </c>
      <c r="I190" s="4">
        <v>1</v>
      </c>
      <c r="J190" s="4">
        <v>0.1</v>
      </c>
      <c r="K190" s="4">
        <v>7.5800000000000006E-2</v>
      </c>
      <c r="L190" s="4">
        <v>0.46</v>
      </c>
      <c r="M190" s="4">
        <v>0.41789999999999999</v>
      </c>
      <c r="N190" s="4">
        <v>0</v>
      </c>
      <c r="O190" s="4">
        <v>4</v>
      </c>
      <c r="P190" s="4">
        <v>4</v>
      </c>
      <c r="Q190" s="4">
        <f>SUBTOTAL(109,Table6[casual])</f>
        <v>4921</v>
      </c>
      <c r="R190" s="4">
        <f>SUBTOTAL(109,Table6[registered])</f>
        <v>53383</v>
      </c>
      <c r="S190" s="4">
        <f>SUBTOTAL(109,Table6[cnt])</f>
        <v>58304</v>
      </c>
    </row>
    <row r="191" spans="1:19">
      <c r="A191" s="4">
        <v>190</v>
      </c>
      <c r="B191" s="5">
        <v>40552</v>
      </c>
      <c r="C191" s="4">
        <v>1</v>
      </c>
      <c r="D191" s="4">
        <v>0</v>
      </c>
      <c r="E191" s="4">
        <v>1</v>
      </c>
      <c r="F191" s="4">
        <v>4</v>
      </c>
      <c r="G191" s="4" t="b">
        <v>0</v>
      </c>
      <c r="H191" s="4">
        <v>0</v>
      </c>
      <c r="I191" s="4">
        <v>1</v>
      </c>
      <c r="J191" s="4">
        <v>0.08</v>
      </c>
      <c r="K191" s="4">
        <v>9.0899999999999995E-2</v>
      </c>
      <c r="L191" s="4">
        <v>0.53</v>
      </c>
      <c r="M191" s="4">
        <v>0.19400000000000001</v>
      </c>
      <c r="N191" s="4">
        <v>0</v>
      </c>
      <c r="O191" s="4">
        <v>1</v>
      </c>
      <c r="P191" s="4">
        <v>1</v>
      </c>
      <c r="Q191" s="4">
        <f>SUBTOTAL(109,Table6[casual])</f>
        <v>4921</v>
      </c>
      <c r="R191" s="4">
        <f>SUBTOTAL(109,Table6[registered])</f>
        <v>53383</v>
      </c>
      <c r="S191" s="4">
        <f>SUBTOTAL(109,Table6[cnt])</f>
        <v>58304</v>
      </c>
    </row>
    <row r="192" spans="1:19">
      <c r="A192" s="4">
        <v>191</v>
      </c>
      <c r="B192" s="5">
        <v>40552</v>
      </c>
      <c r="C192" s="4">
        <v>1</v>
      </c>
      <c r="D192" s="4">
        <v>0</v>
      </c>
      <c r="E192" s="4">
        <v>1</v>
      </c>
      <c r="F192" s="4">
        <v>5</v>
      </c>
      <c r="G192" s="4" t="b">
        <v>0</v>
      </c>
      <c r="H192" s="4">
        <v>0</v>
      </c>
      <c r="I192" s="4">
        <v>1</v>
      </c>
      <c r="J192" s="4">
        <v>0.08</v>
      </c>
      <c r="K192" s="4">
        <v>9.0899999999999995E-2</v>
      </c>
      <c r="L192" s="4">
        <v>0.53</v>
      </c>
      <c r="M192" s="4">
        <v>0.19400000000000001</v>
      </c>
      <c r="N192" s="4">
        <v>0</v>
      </c>
      <c r="O192" s="4">
        <v>1</v>
      </c>
      <c r="P192" s="4">
        <v>1</v>
      </c>
      <c r="Q192" s="4">
        <f>SUBTOTAL(109,Table6[casual])</f>
        <v>4921</v>
      </c>
      <c r="R192" s="4">
        <f>SUBTOTAL(109,Table6[registered])</f>
        <v>53383</v>
      </c>
      <c r="S192" s="4">
        <f>SUBTOTAL(109,Table6[cnt])</f>
        <v>58304</v>
      </c>
    </row>
    <row r="193" spans="1:19">
      <c r="A193" s="4">
        <v>192</v>
      </c>
      <c r="B193" s="5">
        <v>40552</v>
      </c>
      <c r="C193" s="4">
        <v>1</v>
      </c>
      <c r="D193" s="4">
        <v>0</v>
      </c>
      <c r="E193" s="4">
        <v>1</v>
      </c>
      <c r="F193" s="4">
        <v>6</v>
      </c>
      <c r="G193" s="4" t="b">
        <v>0</v>
      </c>
      <c r="H193" s="4">
        <v>0</v>
      </c>
      <c r="I193" s="4">
        <v>1</v>
      </c>
      <c r="J193" s="4">
        <v>0.1</v>
      </c>
      <c r="K193" s="4">
        <v>9.0899999999999995E-2</v>
      </c>
      <c r="L193" s="4">
        <v>0.49</v>
      </c>
      <c r="M193" s="4">
        <v>0.28360000000000002</v>
      </c>
      <c r="N193" s="4">
        <v>0</v>
      </c>
      <c r="O193" s="4">
        <v>1</v>
      </c>
      <c r="P193" s="4">
        <v>1</v>
      </c>
      <c r="Q193" s="4">
        <f>SUBTOTAL(109,Table6[casual])</f>
        <v>4921</v>
      </c>
      <c r="R193" s="4">
        <f>SUBTOTAL(109,Table6[registered])</f>
        <v>53383</v>
      </c>
      <c r="S193" s="4">
        <f>SUBTOTAL(109,Table6[cnt])</f>
        <v>58304</v>
      </c>
    </row>
    <row r="194" spans="1:19">
      <c r="A194" s="4">
        <v>193</v>
      </c>
      <c r="B194" s="5">
        <v>40552</v>
      </c>
      <c r="C194" s="4">
        <v>1</v>
      </c>
      <c r="D194" s="4">
        <v>0</v>
      </c>
      <c r="E194" s="4">
        <v>1</v>
      </c>
      <c r="F194" s="4">
        <v>7</v>
      </c>
      <c r="G194" s="4" t="b">
        <v>0</v>
      </c>
      <c r="H194" s="4">
        <v>0</v>
      </c>
      <c r="I194" s="4">
        <v>1</v>
      </c>
      <c r="J194" s="4">
        <v>0.08</v>
      </c>
      <c r="K194" s="4">
        <v>9.0899999999999995E-2</v>
      </c>
      <c r="L194" s="4">
        <v>0.53</v>
      </c>
      <c r="M194" s="4">
        <v>0.19400000000000001</v>
      </c>
      <c r="N194" s="4">
        <v>1</v>
      </c>
      <c r="O194" s="4">
        <v>5</v>
      </c>
      <c r="P194" s="4">
        <v>6</v>
      </c>
      <c r="Q194" s="4">
        <f>SUBTOTAL(109,Table6[casual])</f>
        <v>4921</v>
      </c>
      <c r="R194" s="4">
        <f>SUBTOTAL(109,Table6[registered])</f>
        <v>53383</v>
      </c>
      <c r="S194" s="4">
        <f>SUBTOTAL(109,Table6[cnt])</f>
        <v>58304</v>
      </c>
    </row>
    <row r="195" spans="1:19">
      <c r="A195" s="4">
        <v>194</v>
      </c>
      <c r="B195" s="5">
        <v>40552</v>
      </c>
      <c r="C195" s="4">
        <v>1</v>
      </c>
      <c r="D195" s="4">
        <v>0</v>
      </c>
      <c r="E195" s="4">
        <v>1</v>
      </c>
      <c r="F195" s="4">
        <v>8</v>
      </c>
      <c r="G195" s="4" t="b">
        <v>0</v>
      </c>
      <c r="H195" s="4">
        <v>0</v>
      </c>
      <c r="I195" s="4">
        <v>1</v>
      </c>
      <c r="J195" s="4">
        <v>0.1</v>
      </c>
      <c r="K195" s="4">
        <v>9.0899999999999995E-2</v>
      </c>
      <c r="L195" s="4">
        <v>0.49</v>
      </c>
      <c r="M195" s="4">
        <v>0.28360000000000002</v>
      </c>
      <c r="N195" s="4">
        <v>0</v>
      </c>
      <c r="O195" s="4">
        <v>10</v>
      </c>
      <c r="P195" s="4">
        <v>10</v>
      </c>
      <c r="Q195" s="4">
        <f>SUBTOTAL(109,Table6[casual])</f>
        <v>4921</v>
      </c>
      <c r="R195" s="4">
        <f>SUBTOTAL(109,Table6[registered])</f>
        <v>53383</v>
      </c>
      <c r="S195" s="4">
        <f>SUBTOTAL(109,Table6[cnt])</f>
        <v>58304</v>
      </c>
    </row>
    <row r="196" spans="1:19">
      <c r="A196" s="4">
        <v>195</v>
      </c>
      <c r="B196" s="5">
        <v>40552</v>
      </c>
      <c r="C196" s="4">
        <v>1</v>
      </c>
      <c r="D196" s="4">
        <v>0</v>
      </c>
      <c r="E196" s="4">
        <v>1</v>
      </c>
      <c r="F196" s="4">
        <v>9</v>
      </c>
      <c r="G196" s="4" t="b">
        <v>0</v>
      </c>
      <c r="H196" s="4">
        <v>0</v>
      </c>
      <c r="I196" s="4">
        <v>1</v>
      </c>
      <c r="J196" s="4">
        <v>0.12</v>
      </c>
      <c r="K196" s="4">
        <v>7.5800000000000006E-2</v>
      </c>
      <c r="L196" s="4">
        <v>0.46</v>
      </c>
      <c r="M196" s="4">
        <v>0.52239999999999998</v>
      </c>
      <c r="N196" s="4">
        <v>0</v>
      </c>
      <c r="O196" s="4">
        <v>19</v>
      </c>
      <c r="P196" s="4">
        <v>19</v>
      </c>
      <c r="Q196" s="4">
        <f>SUBTOTAL(109,Table6[casual])</f>
        <v>4921</v>
      </c>
      <c r="R196" s="4">
        <f>SUBTOTAL(109,Table6[registered])</f>
        <v>53383</v>
      </c>
      <c r="S196" s="4">
        <f>SUBTOTAL(109,Table6[cnt])</f>
        <v>58304</v>
      </c>
    </row>
    <row r="197" spans="1:19">
      <c r="A197" s="4">
        <v>196</v>
      </c>
      <c r="B197" s="5">
        <v>40552</v>
      </c>
      <c r="C197" s="4">
        <v>1</v>
      </c>
      <c r="D197" s="4">
        <v>0</v>
      </c>
      <c r="E197" s="4">
        <v>1</v>
      </c>
      <c r="F197" s="4">
        <v>10</v>
      </c>
      <c r="G197" s="4" t="b">
        <v>0</v>
      </c>
      <c r="H197" s="4">
        <v>0</v>
      </c>
      <c r="I197" s="4">
        <v>1</v>
      </c>
      <c r="J197" s="4">
        <v>0.14000000000000001</v>
      </c>
      <c r="K197" s="4">
        <v>0.1061</v>
      </c>
      <c r="L197" s="4">
        <v>0.43</v>
      </c>
      <c r="M197" s="4">
        <v>0.3881</v>
      </c>
      <c r="N197" s="4">
        <v>0</v>
      </c>
      <c r="O197" s="4">
        <v>49</v>
      </c>
      <c r="P197" s="4">
        <v>49</v>
      </c>
      <c r="Q197" s="4">
        <f>SUBTOTAL(109,Table6[casual])</f>
        <v>4921</v>
      </c>
      <c r="R197" s="4">
        <f>SUBTOTAL(109,Table6[registered])</f>
        <v>53383</v>
      </c>
      <c r="S197" s="4">
        <f>SUBTOTAL(109,Table6[cnt])</f>
        <v>58304</v>
      </c>
    </row>
    <row r="198" spans="1:19">
      <c r="A198" s="4">
        <v>197</v>
      </c>
      <c r="B198" s="5">
        <v>40552</v>
      </c>
      <c r="C198" s="4">
        <v>1</v>
      </c>
      <c r="D198" s="4">
        <v>0</v>
      </c>
      <c r="E198" s="4">
        <v>1</v>
      </c>
      <c r="F198" s="4">
        <v>11</v>
      </c>
      <c r="G198" s="4" t="b">
        <v>0</v>
      </c>
      <c r="H198" s="4">
        <v>0</v>
      </c>
      <c r="I198" s="4">
        <v>1</v>
      </c>
      <c r="J198" s="4">
        <v>0.16</v>
      </c>
      <c r="K198" s="4">
        <v>0.1212</v>
      </c>
      <c r="L198" s="4">
        <v>0.4</v>
      </c>
      <c r="M198" s="4">
        <v>0.52239999999999998</v>
      </c>
      <c r="N198" s="4">
        <v>2</v>
      </c>
      <c r="O198" s="4">
        <v>47</v>
      </c>
      <c r="P198" s="4">
        <v>49</v>
      </c>
      <c r="Q198" s="4">
        <f>SUBTOTAL(109,Table6[casual])</f>
        <v>4921</v>
      </c>
      <c r="R198" s="4">
        <f>SUBTOTAL(109,Table6[registered])</f>
        <v>53383</v>
      </c>
      <c r="S198" s="4">
        <f>SUBTOTAL(109,Table6[cnt])</f>
        <v>58304</v>
      </c>
    </row>
    <row r="199" spans="1:19">
      <c r="A199" s="4">
        <v>198</v>
      </c>
      <c r="B199" s="5">
        <v>40552</v>
      </c>
      <c r="C199" s="4">
        <v>1</v>
      </c>
      <c r="D199" s="4">
        <v>0</v>
      </c>
      <c r="E199" s="4">
        <v>1</v>
      </c>
      <c r="F199" s="4">
        <v>12</v>
      </c>
      <c r="G199" s="4" t="b">
        <v>0</v>
      </c>
      <c r="H199" s="4">
        <v>0</v>
      </c>
      <c r="I199" s="4">
        <v>1</v>
      </c>
      <c r="J199" s="4">
        <v>0.18</v>
      </c>
      <c r="K199" s="4">
        <v>0.13639999999999999</v>
      </c>
      <c r="L199" s="4">
        <v>0.37</v>
      </c>
      <c r="M199" s="4">
        <v>0.44779999999999998</v>
      </c>
      <c r="N199" s="4">
        <v>4</v>
      </c>
      <c r="O199" s="4">
        <v>79</v>
      </c>
      <c r="P199" s="4">
        <v>83</v>
      </c>
      <c r="Q199" s="4">
        <f>SUBTOTAL(109,Table6[casual])</f>
        <v>4921</v>
      </c>
      <c r="R199" s="4">
        <f>SUBTOTAL(109,Table6[registered])</f>
        <v>53383</v>
      </c>
      <c r="S199" s="4">
        <f>SUBTOTAL(109,Table6[cnt])</f>
        <v>58304</v>
      </c>
    </row>
    <row r="200" spans="1:19">
      <c r="A200" s="4">
        <v>199</v>
      </c>
      <c r="B200" s="5">
        <v>40552</v>
      </c>
      <c r="C200" s="4">
        <v>1</v>
      </c>
      <c r="D200" s="4">
        <v>0</v>
      </c>
      <c r="E200" s="4">
        <v>1</v>
      </c>
      <c r="F200" s="4">
        <v>13</v>
      </c>
      <c r="G200" s="4" t="b">
        <v>0</v>
      </c>
      <c r="H200" s="4">
        <v>0</v>
      </c>
      <c r="I200" s="4">
        <v>1</v>
      </c>
      <c r="J200" s="4">
        <v>0.2</v>
      </c>
      <c r="K200" s="4">
        <v>0.16669999999999999</v>
      </c>
      <c r="L200" s="4">
        <v>0.34</v>
      </c>
      <c r="M200" s="4">
        <v>0.44779999999999998</v>
      </c>
      <c r="N200" s="4">
        <v>6</v>
      </c>
      <c r="O200" s="4">
        <v>69</v>
      </c>
      <c r="P200" s="4">
        <v>75</v>
      </c>
      <c r="Q200" s="4">
        <f>SUBTOTAL(109,Table6[casual])</f>
        <v>4921</v>
      </c>
      <c r="R200" s="4">
        <f>SUBTOTAL(109,Table6[registered])</f>
        <v>53383</v>
      </c>
      <c r="S200" s="4">
        <f>SUBTOTAL(109,Table6[cnt])</f>
        <v>58304</v>
      </c>
    </row>
    <row r="201" spans="1:19">
      <c r="A201" s="4">
        <v>200</v>
      </c>
      <c r="B201" s="5">
        <v>40552</v>
      </c>
      <c r="C201" s="4">
        <v>1</v>
      </c>
      <c r="D201" s="4">
        <v>0</v>
      </c>
      <c r="E201" s="4">
        <v>1</v>
      </c>
      <c r="F201" s="4">
        <v>14</v>
      </c>
      <c r="G201" s="4" t="b">
        <v>0</v>
      </c>
      <c r="H201" s="4">
        <v>0</v>
      </c>
      <c r="I201" s="4">
        <v>1</v>
      </c>
      <c r="J201" s="4">
        <v>0.22</v>
      </c>
      <c r="K201" s="4">
        <v>0.18179999999999999</v>
      </c>
      <c r="L201" s="4">
        <v>0.32</v>
      </c>
      <c r="M201" s="4">
        <v>0.4627</v>
      </c>
      <c r="N201" s="4">
        <v>8</v>
      </c>
      <c r="O201" s="4">
        <v>64</v>
      </c>
      <c r="P201" s="4">
        <v>72</v>
      </c>
      <c r="Q201" s="4">
        <f>SUBTOTAL(109,Table6[casual])</f>
        <v>4921</v>
      </c>
      <c r="R201" s="4">
        <f>SUBTOTAL(109,Table6[registered])</f>
        <v>53383</v>
      </c>
      <c r="S201" s="4">
        <f>SUBTOTAL(109,Table6[cnt])</f>
        <v>58304</v>
      </c>
    </row>
    <row r="202" spans="1:19">
      <c r="A202" s="4">
        <v>201</v>
      </c>
      <c r="B202" s="5">
        <v>40552</v>
      </c>
      <c r="C202" s="4">
        <v>1</v>
      </c>
      <c r="D202" s="4">
        <v>0</v>
      </c>
      <c r="E202" s="4">
        <v>1</v>
      </c>
      <c r="F202" s="4">
        <v>15</v>
      </c>
      <c r="G202" s="4" t="b">
        <v>0</v>
      </c>
      <c r="H202" s="4">
        <v>0</v>
      </c>
      <c r="I202" s="4">
        <v>1</v>
      </c>
      <c r="J202" s="4">
        <v>0.22</v>
      </c>
      <c r="K202" s="4">
        <v>0.19700000000000001</v>
      </c>
      <c r="L202" s="4">
        <v>0.35</v>
      </c>
      <c r="M202" s="4">
        <v>0.35820000000000002</v>
      </c>
      <c r="N202" s="4">
        <v>5</v>
      </c>
      <c r="O202" s="4">
        <v>77</v>
      </c>
      <c r="P202" s="4">
        <v>82</v>
      </c>
      <c r="Q202" s="4">
        <f>SUBTOTAL(109,Table6[casual])</f>
        <v>4921</v>
      </c>
      <c r="R202" s="4">
        <f>SUBTOTAL(109,Table6[registered])</f>
        <v>53383</v>
      </c>
      <c r="S202" s="4">
        <f>SUBTOTAL(109,Table6[cnt])</f>
        <v>58304</v>
      </c>
    </row>
    <row r="203" spans="1:19">
      <c r="A203" s="4">
        <v>202</v>
      </c>
      <c r="B203" s="5">
        <v>40552</v>
      </c>
      <c r="C203" s="4">
        <v>1</v>
      </c>
      <c r="D203" s="4">
        <v>0</v>
      </c>
      <c r="E203" s="4">
        <v>1</v>
      </c>
      <c r="F203" s="4">
        <v>16</v>
      </c>
      <c r="G203" s="4" t="b">
        <v>0</v>
      </c>
      <c r="H203" s="4">
        <v>0</v>
      </c>
      <c r="I203" s="4">
        <v>1</v>
      </c>
      <c r="J203" s="4">
        <v>0.2</v>
      </c>
      <c r="K203" s="4">
        <v>0.16669999999999999</v>
      </c>
      <c r="L203" s="4">
        <v>0.34</v>
      </c>
      <c r="M203" s="4">
        <v>0.44779999999999998</v>
      </c>
      <c r="N203" s="4">
        <v>13</v>
      </c>
      <c r="O203" s="4">
        <v>79</v>
      </c>
      <c r="P203" s="4">
        <v>92</v>
      </c>
      <c r="Q203" s="4">
        <f>SUBTOTAL(109,Table6[casual])</f>
        <v>4921</v>
      </c>
      <c r="R203" s="4">
        <f>SUBTOTAL(109,Table6[registered])</f>
        <v>53383</v>
      </c>
      <c r="S203" s="4">
        <f>SUBTOTAL(109,Table6[cnt])</f>
        <v>58304</v>
      </c>
    </row>
    <row r="204" spans="1:19">
      <c r="A204" s="4">
        <v>203</v>
      </c>
      <c r="B204" s="5">
        <v>40552</v>
      </c>
      <c r="C204" s="4">
        <v>1</v>
      </c>
      <c r="D204" s="4">
        <v>0</v>
      </c>
      <c r="E204" s="4">
        <v>1</v>
      </c>
      <c r="F204" s="4">
        <v>17</v>
      </c>
      <c r="G204" s="4" t="b">
        <v>0</v>
      </c>
      <c r="H204" s="4">
        <v>0</v>
      </c>
      <c r="I204" s="4">
        <v>1</v>
      </c>
      <c r="J204" s="4">
        <v>0.18</v>
      </c>
      <c r="K204" s="4">
        <v>0.1515</v>
      </c>
      <c r="L204" s="4">
        <v>0.37</v>
      </c>
      <c r="M204" s="4">
        <v>0.3881</v>
      </c>
      <c r="N204" s="4">
        <v>3</v>
      </c>
      <c r="O204" s="4">
        <v>59</v>
      </c>
      <c r="P204" s="4">
        <v>62</v>
      </c>
      <c r="Q204" s="4">
        <f>SUBTOTAL(109,Table6[casual])</f>
        <v>4921</v>
      </c>
      <c r="R204" s="4">
        <f>SUBTOTAL(109,Table6[registered])</f>
        <v>53383</v>
      </c>
      <c r="S204" s="4">
        <f>SUBTOTAL(109,Table6[cnt])</f>
        <v>58304</v>
      </c>
    </row>
    <row r="205" spans="1:19">
      <c r="A205" s="4">
        <v>204</v>
      </c>
      <c r="B205" s="5">
        <v>40552</v>
      </c>
      <c r="C205" s="4">
        <v>1</v>
      </c>
      <c r="D205" s="4">
        <v>0</v>
      </c>
      <c r="E205" s="4">
        <v>1</v>
      </c>
      <c r="F205" s="4">
        <v>18</v>
      </c>
      <c r="G205" s="4" t="b">
        <v>0</v>
      </c>
      <c r="H205" s="4">
        <v>0</v>
      </c>
      <c r="I205" s="4">
        <v>1</v>
      </c>
      <c r="J205" s="4">
        <v>0.16</v>
      </c>
      <c r="K205" s="4">
        <v>0.13639999999999999</v>
      </c>
      <c r="L205" s="4">
        <v>0.4</v>
      </c>
      <c r="M205" s="4">
        <v>0.32840000000000003</v>
      </c>
      <c r="N205" s="4">
        <v>4</v>
      </c>
      <c r="O205" s="4">
        <v>44</v>
      </c>
      <c r="P205" s="4">
        <v>48</v>
      </c>
      <c r="Q205" s="4">
        <f>SUBTOTAL(109,Table6[casual])</f>
        <v>4921</v>
      </c>
      <c r="R205" s="4">
        <f>SUBTOTAL(109,Table6[registered])</f>
        <v>53383</v>
      </c>
      <c r="S205" s="4">
        <f>SUBTOTAL(109,Table6[cnt])</f>
        <v>58304</v>
      </c>
    </row>
    <row r="206" spans="1:19">
      <c r="A206" s="4">
        <v>205</v>
      </c>
      <c r="B206" s="5">
        <v>40552</v>
      </c>
      <c r="C206" s="4">
        <v>1</v>
      </c>
      <c r="D206" s="4">
        <v>0</v>
      </c>
      <c r="E206" s="4">
        <v>1</v>
      </c>
      <c r="F206" s="4">
        <v>19</v>
      </c>
      <c r="G206" s="4" t="b">
        <v>0</v>
      </c>
      <c r="H206" s="4">
        <v>0</v>
      </c>
      <c r="I206" s="4">
        <v>1</v>
      </c>
      <c r="J206" s="4">
        <v>0.16</v>
      </c>
      <c r="K206" s="4">
        <v>0.13639999999999999</v>
      </c>
      <c r="L206" s="4">
        <v>0.43</v>
      </c>
      <c r="M206" s="4">
        <v>0.32840000000000003</v>
      </c>
      <c r="N206" s="4">
        <v>1</v>
      </c>
      <c r="O206" s="4">
        <v>40</v>
      </c>
      <c r="P206" s="4">
        <v>41</v>
      </c>
      <c r="Q206" s="4">
        <f>SUBTOTAL(109,Table6[casual])</f>
        <v>4921</v>
      </c>
      <c r="R206" s="4">
        <f>SUBTOTAL(109,Table6[registered])</f>
        <v>53383</v>
      </c>
      <c r="S206" s="4">
        <f>SUBTOTAL(109,Table6[cnt])</f>
        <v>58304</v>
      </c>
    </row>
    <row r="207" spans="1:19">
      <c r="A207" s="4">
        <v>206</v>
      </c>
      <c r="B207" s="5">
        <v>40552</v>
      </c>
      <c r="C207" s="4">
        <v>1</v>
      </c>
      <c r="D207" s="4">
        <v>0</v>
      </c>
      <c r="E207" s="4">
        <v>1</v>
      </c>
      <c r="F207" s="4">
        <v>20</v>
      </c>
      <c r="G207" s="4" t="b">
        <v>0</v>
      </c>
      <c r="H207" s="4">
        <v>0</v>
      </c>
      <c r="I207" s="4">
        <v>1</v>
      </c>
      <c r="J207" s="4">
        <v>0.14000000000000001</v>
      </c>
      <c r="K207" s="4">
        <v>0.1212</v>
      </c>
      <c r="L207" s="4">
        <v>0.46</v>
      </c>
      <c r="M207" s="4">
        <v>0.25369999999999998</v>
      </c>
      <c r="N207" s="4">
        <v>0</v>
      </c>
      <c r="O207" s="4">
        <v>38</v>
      </c>
      <c r="P207" s="4">
        <v>38</v>
      </c>
      <c r="Q207" s="4">
        <f>SUBTOTAL(109,Table6[casual])</f>
        <v>4921</v>
      </c>
      <c r="R207" s="4">
        <f>SUBTOTAL(109,Table6[registered])</f>
        <v>53383</v>
      </c>
      <c r="S207" s="4">
        <f>SUBTOTAL(109,Table6[cnt])</f>
        <v>58304</v>
      </c>
    </row>
    <row r="208" spans="1:19">
      <c r="A208" s="4">
        <v>207</v>
      </c>
      <c r="B208" s="5">
        <v>40552</v>
      </c>
      <c r="C208" s="4">
        <v>1</v>
      </c>
      <c r="D208" s="4">
        <v>0</v>
      </c>
      <c r="E208" s="4">
        <v>1</v>
      </c>
      <c r="F208" s="4">
        <v>21</v>
      </c>
      <c r="G208" s="4" t="b">
        <v>0</v>
      </c>
      <c r="H208" s="4">
        <v>0</v>
      </c>
      <c r="I208" s="4">
        <v>1</v>
      </c>
      <c r="J208" s="4">
        <v>0.14000000000000001</v>
      </c>
      <c r="K208" s="4">
        <v>0.1061</v>
      </c>
      <c r="L208" s="4">
        <v>0.46</v>
      </c>
      <c r="M208" s="4">
        <v>0.41789999999999999</v>
      </c>
      <c r="N208" s="4">
        <v>1</v>
      </c>
      <c r="O208" s="4">
        <v>19</v>
      </c>
      <c r="P208" s="4">
        <v>20</v>
      </c>
      <c r="Q208" s="4">
        <f>SUBTOTAL(109,Table6[casual])</f>
        <v>4921</v>
      </c>
      <c r="R208" s="4">
        <f>SUBTOTAL(109,Table6[registered])</f>
        <v>53383</v>
      </c>
      <c r="S208" s="4">
        <f>SUBTOTAL(109,Table6[cnt])</f>
        <v>58304</v>
      </c>
    </row>
    <row r="209" spans="1:19">
      <c r="A209" s="4">
        <v>208</v>
      </c>
      <c r="B209" s="5">
        <v>40552</v>
      </c>
      <c r="C209" s="4">
        <v>1</v>
      </c>
      <c r="D209" s="4">
        <v>0</v>
      </c>
      <c r="E209" s="4">
        <v>1</v>
      </c>
      <c r="F209" s="4">
        <v>22</v>
      </c>
      <c r="G209" s="4" t="b">
        <v>0</v>
      </c>
      <c r="H209" s="4">
        <v>0</v>
      </c>
      <c r="I209" s="4">
        <v>1</v>
      </c>
      <c r="J209" s="4">
        <v>0.14000000000000001</v>
      </c>
      <c r="K209" s="4">
        <v>0.1212</v>
      </c>
      <c r="L209" s="4">
        <v>0.46</v>
      </c>
      <c r="M209" s="4">
        <v>0.29849999999999999</v>
      </c>
      <c r="N209" s="4">
        <v>5</v>
      </c>
      <c r="O209" s="4">
        <v>10</v>
      </c>
      <c r="P209" s="4">
        <v>15</v>
      </c>
      <c r="Q209" s="4">
        <f>SUBTOTAL(109,Table6[casual])</f>
        <v>4921</v>
      </c>
      <c r="R209" s="4">
        <f>SUBTOTAL(109,Table6[registered])</f>
        <v>53383</v>
      </c>
      <c r="S209" s="4">
        <f>SUBTOTAL(109,Table6[cnt])</f>
        <v>58304</v>
      </c>
    </row>
    <row r="210" spans="1:19">
      <c r="A210" s="4">
        <v>209</v>
      </c>
      <c r="B210" s="5">
        <v>40552</v>
      </c>
      <c r="C210" s="4">
        <v>1</v>
      </c>
      <c r="D210" s="4">
        <v>0</v>
      </c>
      <c r="E210" s="4">
        <v>1</v>
      </c>
      <c r="F210" s="4">
        <v>23</v>
      </c>
      <c r="G210" s="4" t="b">
        <v>0</v>
      </c>
      <c r="H210" s="4">
        <v>0</v>
      </c>
      <c r="I210" s="4">
        <v>1</v>
      </c>
      <c r="J210" s="4">
        <v>0.12</v>
      </c>
      <c r="K210" s="4">
        <v>0.13639999999999999</v>
      </c>
      <c r="L210" s="4">
        <v>0.5</v>
      </c>
      <c r="M210" s="4">
        <v>0.19400000000000001</v>
      </c>
      <c r="N210" s="4">
        <v>0</v>
      </c>
      <c r="O210" s="4">
        <v>6</v>
      </c>
      <c r="P210" s="4">
        <v>6</v>
      </c>
      <c r="Q210" s="4">
        <f>SUBTOTAL(109,Table6[casual])</f>
        <v>4921</v>
      </c>
      <c r="R210" s="4">
        <f>SUBTOTAL(109,Table6[registered])</f>
        <v>53383</v>
      </c>
      <c r="S210" s="4">
        <f>SUBTOTAL(109,Table6[cnt])</f>
        <v>58304</v>
      </c>
    </row>
    <row r="211" spans="1:19">
      <c r="A211" s="4">
        <v>210</v>
      </c>
      <c r="B211" s="5">
        <v>40553</v>
      </c>
      <c r="C211" s="4">
        <v>1</v>
      </c>
      <c r="D211" s="4">
        <v>0</v>
      </c>
      <c r="E211" s="4">
        <v>1</v>
      </c>
      <c r="F211" s="4">
        <v>0</v>
      </c>
      <c r="G211" s="4" t="b">
        <v>0</v>
      </c>
      <c r="H211" s="4">
        <v>1</v>
      </c>
      <c r="I211" s="4">
        <v>1</v>
      </c>
      <c r="J211" s="4">
        <v>0.12</v>
      </c>
      <c r="K211" s="4">
        <v>0.1212</v>
      </c>
      <c r="L211" s="4">
        <v>0.5</v>
      </c>
      <c r="M211" s="4">
        <v>0.28360000000000002</v>
      </c>
      <c r="N211" s="4">
        <v>2</v>
      </c>
      <c r="O211" s="4">
        <v>3</v>
      </c>
      <c r="P211" s="4">
        <v>5</v>
      </c>
      <c r="Q211" s="4">
        <f>SUBTOTAL(109,Table6[casual])</f>
        <v>4921</v>
      </c>
      <c r="R211" s="4">
        <f>SUBTOTAL(109,Table6[registered])</f>
        <v>53383</v>
      </c>
      <c r="S211" s="4">
        <f>SUBTOTAL(109,Table6[cnt])</f>
        <v>58304</v>
      </c>
    </row>
    <row r="212" spans="1:19">
      <c r="A212" s="4">
        <v>211</v>
      </c>
      <c r="B212" s="5">
        <v>40553</v>
      </c>
      <c r="C212" s="4">
        <v>1</v>
      </c>
      <c r="D212" s="4">
        <v>0</v>
      </c>
      <c r="E212" s="4">
        <v>1</v>
      </c>
      <c r="F212" s="4">
        <v>1</v>
      </c>
      <c r="G212" s="4" t="b">
        <v>0</v>
      </c>
      <c r="H212" s="4">
        <v>1</v>
      </c>
      <c r="I212" s="4">
        <v>1</v>
      </c>
      <c r="J212" s="4">
        <v>0.12</v>
      </c>
      <c r="K212" s="4">
        <v>0.1212</v>
      </c>
      <c r="L212" s="4">
        <v>0.5</v>
      </c>
      <c r="M212" s="4">
        <v>0.28360000000000002</v>
      </c>
      <c r="N212" s="4">
        <v>1</v>
      </c>
      <c r="O212" s="4">
        <v>0</v>
      </c>
      <c r="P212" s="4">
        <v>1</v>
      </c>
      <c r="Q212" s="4">
        <f>SUBTOTAL(109,Table6[casual])</f>
        <v>4921</v>
      </c>
      <c r="R212" s="4">
        <f>SUBTOTAL(109,Table6[registered])</f>
        <v>53383</v>
      </c>
      <c r="S212" s="4">
        <f>SUBTOTAL(109,Table6[cnt])</f>
        <v>58304</v>
      </c>
    </row>
    <row r="213" spans="1:19">
      <c r="A213" s="4">
        <v>212</v>
      </c>
      <c r="B213" s="5">
        <v>40553</v>
      </c>
      <c r="C213" s="4">
        <v>1</v>
      </c>
      <c r="D213" s="4">
        <v>0</v>
      </c>
      <c r="E213" s="4">
        <v>1</v>
      </c>
      <c r="F213" s="4">
        <v>2</v>
      </c>
      <c r="G213" s="4" t="b">
        <v>0</v>
      </c>
      <c r="H213" s="4">
        <v>1</v>
      </c>
      <c r="I213" s="4">
        <v>1</v>
      </c>
      <c r="J213" s="4">
        <v>0.12</v>
      </c>
      <c r="K213" s="4">
        <v>0.1212</v>
      </c>
      <c r="L213" s="4">
        <v>0.5</v>
      </c>
      <c r="M213" s="4">
        <v>0.22389999999999999</v>
      </c>
      <c r="N213" s="4">
        <v>0</v>
      </c>
      <c r="O213" s="4">
        <v>3</v>
      </c>
      <c r="P213" s="4">
        <v>3</v>
      </c>
      <c r="Q213" s="4">
        <f>SUBTOTAL(109,Table6[casual])</f>
        <v>4921</v>
      </c>
      <c r="R213" s="4">
        <f>SUBTOTAL(109,Table6[registered])</f>
        <v>53383</v>
      </c>
      <c r="S213" s="4">
        <f>SUBTOTAL(109,Table6[cnt])</f>
        <v>58304</v>
      </c>
    </row>
    <row r="214" spans="1:19">
      <c r="A214" s="4">
        <v>213</v>
      </c>
      <c r="B214" s="5">
        <v>40553</v>
      </c>
      <c r="C214" s="4">
        <v>1</v>
      </c>
      <c r="D214" s="4">
        <v>0</v>
      </c>
      <c r="E214" s="4">
        <v>1</v>
      </c>
      <c r="F214" s="4">
        <v>3</v>
      </c>
      <c r="G214" s="4" t="b">
        <v>0</v>
      </c>
      <c r="H214" s="4">
        <v>1</v>
      </c>
      <c r="I214" s="4">
        <v>1</v>
      </c>
      <c r="J214" s="4">
        <v>0.12</v>
      </c>
      <c r="K214" s="4">
        <v>0.1212</v>
      </c>
      <c r="L214" s="4">
        <v>0.5</v>
      </c>
      <c r="M214" s="4">
        <v>0.22389999999999999</v>
      </c>
      <c r="N214" s="4">
        <v>0</v>
      </c>
      <c r="O214" s="4">
        <v>1</v>
      </c>
      <c r="P214" s="4">
        <v>1</v>
      </c>
      <c r="Q214" s="4">
        <f>SUBTOTAL(109,Table6[casual])</f>
        <v>4921</v>
      </c>
      <c r="R214" s="4">
        <f>SUBTOTAL(109,Table6[registered])</f>
        <v>53383</v>
      </c>
      <c r="S214" s="4">
        <f>SUBTOTAL(109,Table6[cnt])</f>
        <v>58304</v>
      </c>
    </row>
    <row r="215" spans="1:19">
      <c r="A215" s="4">
        <v>214</v>
      </c>
      <c r="B215" s="5">
        <v>40553</v>
      </c>
      <c r="C215" s="4">
        <v>1</v>
      </c>
      <c r="D215" s="4">
        <v>0</v>
      </c>
      <c r="E215" s="4">
        <v>1</v>
      </c>
      <c r="F215" s="4">
        <v>4</v>
      </c>
      <c r="G215" s="4" t="b">
        <v>0</v>
      </c>
      <c r="H215" s="4">
        <v>1</v>
      </c>
      <c r="I215" s="4">
        <v>1</v>
      </c>
      <c r="J215" s="4">
        <v>0.1</v>
      </c>
      <c r="K215" s="4">
        <v>0.1212</v>
      </c>
      <c r="L215" s="4">
        <v>0.54</v>
      </c>
      <c r="M215" s="4">
        <v>0.1343</v>
      </c>
      <c r="N215" s="4">
        <v>1</v>
      </c>
      <c r="O215" s="4">
        <v>2</v>
      </c>
      <c r="P215" s="4">
        <v>3</v>
      </c>
      <c r="Q215" s="4">
        <f>SUBTOTAL(109,Table6[casual])</f>
        <v>4921</v>
      </c>
      <c r="R215" s="4">
        <f>SUBTOTAL(109,Table6[registered])</f>
        <v>53383</v>
      </c>
      <c r="S215" s="4">
        <f>SUBTOTAL(109,Table6[cnt])</f>
        <v>58304</v>
      </c>
    </row>
    <row r="216" spans="1:19">
      <c r="A216" s="4">
        <v>215</v>
      </c>
      <c r="B216" s="5">
        <v>40553</v>
      </c>
      <c r="C216" s="4">
        <v>1</v>
      </c>
      <c r="D216" s="4">
        <v>0</v>
      </c>
      <c r="E216" s="4">
        <v>1</v>
      </c>
      <c r="F216" s="4">
        <v>5</v>
      </c>
      <c r="G216" s="4" t="b">
        <v>0</v>
      </c>
      <c r="H216" s="4">
        <v>1</v>
      </c>
      <c r="I216" s="4">
        <v>1</v>
      </c>
      <c r="J216" s="4">
        <v>0.1</v>
      </c>
      <c r="K216" s="4">
        <v>0.1061</v>
      </c>
      <c r="L216" s="4">
        <v>0.54</v>
      </c>
      <c r="M216" s="4">
        <v>0.25369999999999998</v>
      </c>
      <c r="N216" s="4">
        <v>0</v>
      </c>
      <c r="O216" s="4">
        <v>3</v>
      </c>
      <c r="P216" s="4">
        <v>3</v>
      </c>
      <c r="Q216" s="4">
        <f>SUBTOTAL(109,Table6[casual])</f>
        <v>4921</v>
      </c>
      <c r="R216" s="4">
        <f>SUBTOTAL(109,Table6[registered])</f>
        <v>53383</v>
      </c>
      <c r="S216" s="4">
        <f>SUBTOTAL(109,Table6[cnt])</f>
        <v>58304</v>
      </c>
    </row>
    <row r="217" spans="1:19">
      <c r="A217" s="4">
        <v>216</v>
      </c>
      <c r="B217" s="5">
        <v>40553</v>
      </c>
      <c r="C217" s="4">
        <v>1</v>
      </c>
      <c r="D217" s="4">
        <v>0</v>
      </c>
      <c r="E217" s="4">
        <v>1</v>
      </c>
      <c r="F217" s="4">
        <v>6</v>
      </c>
      <c r="G217" s="4" t="b">
        <v>0</v>
      </c>
      <c r="H217" s="4">
        <v>1</v>
      </c>
      <c r="I217" s="4">
        <v>1</v>
      </c>
      <c r="J217" s="4">
        <v>0.12</v>
      </c>
      <c r="K217" s="4">
        <v>0.1212</v>
      </c>
      <c r="L217" s="4">
        <v>0.5</v>
      </c>
      <c r="M217" s="4">
        <v>0.28360000000000002</v>
      </c>
      <c r="N217" s="4">
        <v>0</v>
      </c>
      <c r="O217" s="4">
        <v>31</v>
      </c>
      <c r="P217" s="4">
        <v>31</v>
      </c>
      <c r="Q217" s="4">
        <f>SUBTOTAL(109,Table6[casual])</f>
        <v>4921</v>
      </c>
      <c r="R217" s="4">
        <f>SUBTOTAL(109,Table6[registered])</f>
        <v>53383</v>
      </c>
      <c r="S217" s="4">
        <f>SUBTOTAL(109,Table6[cnt])</f>
        <v>58304</v>
      </c>
    </row>
    <row r="218" spans="1:19">
      <c r="A218" s="4">
        <v>217</v>
      </c>
      <c r="B218" s="5">
        <v>40553</v>
      </c>
      <c r="C218" s="4">
        <v>1</v>
      </c>
      <c r="D218" s="4">
        <v>0</v>
      </c>
      <c r="E218" s="4">
        <v>1</v>
      </c>
      <c r="F218" s="4">
        <v>7</v>
      </c>
      <c r="G218" s="4" t="b">
        <v>0</v>
      </c>
      <c r="H218" s="4">
        <v>1</v>
      </c>
      <c r="I218" s="4">
        <v>1</v>
      </c>
      <c r="J218" s="4">
        <v>0.12</v>
      </c>
      <c r="K218" s="4">
        <v>0.1212</v>
      </c>
      <c r="L218" s="4">
        <v>0.5</v>
      </c>
      <c r="M218" s="4">
        <v>0.22389999999999999</v>
      </c>
      <c r="N218" s="4">
        <v>2</v>
      </c>
      <c r="O218" s="4">
        <v>75</v>
      </c>
      <c r="P218" s="4">
        <v>77</v>
      </c>
      <c r="Q218" s="4">
        <f>SUBTOTAL(109,Table6[casual])</f>
        <v>4921</v>
      </c>
      <c r="R218" s="4">
        <f>SUBTOTAL(109,Table6[registered])</f>
        <v>53383</v>
      </c>
      <c r="S218" s="4">
        <f>SUBTOTAL(109,Table6[cnt])</f>
        <v>58304</v>
      </c>
    </row>
    <row r="219" spans="1:19">
      <c r="A219" s="4">
        <v>218</v>
      </c>
      <c r="B219" s="5">
        <v>40553</v>
      </c>
      <c r="C219" s="4">
        <v>1</v>
      </c>
      <c r="D219" s="4">
        <v>0</v>
      </c>
      <c r="E219" s="4">
        <v>1</v>
      </c>
      <c r="F219" s="4">
        <v>8</v>
      </c>
      <c r="G219" s="4" t="b">
        <v>0</v>
      </c>
      <c r="H219" s="4">
        <v>1</v>
      </c>
      <c r="I219" s="4">
        <v>2</v>
      </c>
      <c r="J219" s="4">
        <v>0.12</v>
      </c>
      <c r="K219" s="4">
        <v>0.1212</v>
      </c>
      <c r="L219" s="4">
        <v>0.5</v>
      </c>
      <c r="M219" s="4">
        <v>0.28360000000000002</v>
      </c>
      <c r="N219" s="4">
        <v>4</v>
      </c>
      <c r="O219" s="4">
        <v>184</v>
      </c>
      <c r="P219" s="4">
        <v>188</v>
      </c>
      <c r="Q219" s="4">
        <f>SUBTOTAL(109,Table6[casual])</f>
        <v>4921</v>
      </c>
      <c r="R219" s="4">
        <f>SUBTOTAL(109,Table6[registered])</f>
        <v>53383</v>
      </c>
      <c r="S219" s="4">
        <f>SUBTOTAL(109,Table6[cnt])</f>
        <v>58304</v>
      </c>
    </row>
    <row r="220" spans="1:19">
      <c r="A220" s="4">
        <v>219</v>
      </c>
      <c r="B220" s="5">
        <v>40553</v>
      </c>
      <c r="C220" s="4">
        <v>1</v>
      </c>
      <c r="D220" s="4">
        <v>0</v>
      </c>
      <c r="E220" s="4">
        <v>1</v>
      </c>
      <c r="F220" s="4">
        <v>9</v>
      </c>
      <c r="G220" s="4" t="b">
        <v>0</v>
      </c>
      <c r="H220" s="4">
        <v>1</v>
      </c>
      <c r="I220" s="4">
        <v>2</v>
      </c>
      <c r="J220" s="4">
        <v>0.14000000000000001</v>
      </c>
      <c r="K220" s="4">
        <v>0.1212</v>
      </c>
      <c r="L220" s="4">
        <v>0.5</v>
      </c>
      <c r="M220" s="4">
        <v>0.25369999999999998</v>
      </c>
      <c r="N220" s="4">
        <v>2</v>
      </c>
      <c r="O220" s="4">
        <v>92</v>
      </c>
      <c r="P220" s="4">
        <v>94</v>
      </c>
      <c r="Q220" s="4">
        <f>SUBTOTAL(109,Table6[casual])</f>
        <v>4921</v>
      </c>
      <c r="R220" s="4">
        <f>SUBTOTAL(109,Table6[registered])</f>
        <v>53383</v>
      </c>
      <c r="S220" s="4">
        <f>SUBTOTAL(109,Table6[cnt])</f>
        <v>58304</v>
      </c>
    </row>
    <row r="221" spans="1:19">
      <c r="A221" s="4">
        <v>220</v>
      </c>
      <c r="B221" s="5">
        <v>40553</v>
      </c>
      <c r="C221" s="4">
        <v>1</v>
      </c>
      <c r="D221" s="4">
        <v>0</v>
      </c>
      <c r="E221" s="4">
        <v>1</v>
      </c>
      <c r="F221" s="4">
        <v>10</v>
      </c>
      <c r="G221" s="4" t="b">
        <v>0</v>
      </c>
      <c r="H221" s="4">
        <v>1</v>
      </c>
      <c r="I221" s="4">
        <v>2</v>
      </c>
      <c r="J221" s="4">
        <v>0.14000000000000001</v>
      </c>
      <c r="K221" s="4">
        <v>0.1212</v>
      </c>
      <c r="L221" s="4">
        <v>0.5</v>
      </c>
      <c r="M221" s="4">
        <v>0.29849999999999999</v>
      </c>
      <c r="N221" s="4">
        <v>0</v>
      </c>
      <c r="O221" s="4">
        <v>31</v>
      </c>
      <c r="P221" s="4">
        <v>31</v>
      </c>
      <c r="Q221" s="4">
        <f>SUBTOTAL(109,Table6[casual])</f>
        <v>4921</v>
      </c>
      <c r="R221" s="4">
        <f>SUBTOTAL(109,Table6[registered])</f>
        <v>53383</v>
      </c>
      <c r="S221" s="4">
        <f>SUBTOTAL(109,Table6[cnt])</f>
        <v>58304</v>
      </c>
    </row>
    <row r="222" spans="1:19">
      <c r="A222" s="4">
        <v>221</v>
      </c>
      <c r="B222" s="5">
        <v>40553</v>
      </c>
      <c r="C222" s="4">
        <v>1</v>
      </c>
      <c r="D222" s="4">
        <v>0</v>
      </c>
      <c r="E222" s="4">
        <v>1</v>
      </c>
      <c r="F222" s="4">
        <v>11</v>
      </c>
      <c r="G222" s="4" t="b">
        <v>0</v>
      </c>
      <c r="H222" s="4">
        <v>1</v>
      </c>
      <c r="I222" s="4">
        <v>2</v>
      </c>
      <c r="J222" s="4">
        <v>0.16</v>
      </c>
      <c r="K222" s="4">
        <v>0.13639999999999999</v>
      </c>
      <c r="L222" s="4">
        <v>0.47</v>
      </c>
      <c r="M222" s="4">
        <v>0.28360000000000002</v>
      </c>
      <c r="N222" s="4">
        <v>2</v>
      </c>
      <c r="O222" s="4">
        <v>28</v>
      </c>
      <c r="P222" s="4">
        <v>30</v>
      </c>
      <c r="Q222" s="4">
        <f>SUBTOTAL(109,Table6[casual])</f>
        <v>4921</v>
      </c>
      <c r="R222" s="4">
        <f>SUBTOTAL(109,Table6[registered])</f>
        <v>53383</v>
      </c>
      <c r="S222" s="4">
        <f>SUBTOTAL(109,Table6[cnt])</f>
        <v>58304</v>
      </c>
    </row>
    <row r="223" spans="1:19">
      <c r="A223" s="4">
        <v>222</v>
      </c>
      <c r="B223" s="5">
        <v>40553</v>
      </c>
      <c r="C223" s="4">
        <v>1</v>
      </c>
      <c r="D223" s="4">
        <v>0</v>
      </c>
      <c r="E223" s="4">
        <v>1</v>
      </c>
      <c r="F223" s="4">
        <v>12</v>
      </c>
      <c r="G223" s="4" t="b">
        <v>0</v>
      </c>
      <c r="H223" s="4">
        <v>1</v>
      </c>
      <c r="I223" s="4">
        <v>2</v>
      </c>
      <c r="J223" s="4">
        <v>0.2</v>
      </c>
      <c r="K223" s="4">
        <v>0.18179999999999999</v>
      </c>
      <c r="L223" s="4">
        <v>0.4</v>
      </c>
      <c r="M223" s="4">
        <v>0.28360000000000002</v>
      </c>
      <c r="N223" s="4">
        <v>5</v>
      </c>
      <c r="O223" s="4">
        <v>47</v>
      </c>
      <c r="P223" s="4">
        <v>52</v>
      </c>
      <c r="Q223" s="4">
        <f>SUBTOTAL(109,Table6[casual])</f>
        <v>4921</v>
      </c>
      <c r="R223" s="4">
        <f>SUBTOTAL(109,Table6[registered])</f>
        <v>53383</v>
      </c>
      <c r="S223" s="4">
        <f>SUBTOTAL(109,Table6[cnt])</f>
        <v>58304</v>
      </c>
    </row>
    <row r="224" spans="1:19">
      <c r="A224" s="4">
        <v>223</v>
      </c>
      <c r="B224" s="5">
        <v>40553</v>
      </c>
      <c r="C224" s="4">
        <v>1</v>
      </c>
      <c r="D224" s="4">
        <v>0</v>
      </c>
      <c r="E224" s="4">
        <v>1</v>
      </c>
      <c r="F224" s="4">
        <v>13</v>
      </c>
      <c r="G224" s="4" t="b">
        <v>0</v>
      </c>
      <c r="H224" s="4">
        <v>1</v>
      </c>
      <c r="I224" s="4">
        <v>2</v>
      </c>
      <c r="J224" s="4">
        <v>0.2</v>
      </c>
      <c r="K224" s="4">
        <v>0.18179999999999999</v>
      </c>
      <c r="L224" s="4">
        <v>0.4</v>
      </c>
      <c r="M224" s="4">
        <v>0.28360000000000002</v>
      </c>
      <c r="N224" s="4">
        <v>4</v>
      </c>
      <c r="O224" s="4">
        <v>50</v>
      </c>
      <c r="P224" s="4">
        <v>54</v>
      </c>
      <c r="Q224" s="4">
        <f>SUBTOTAL(109,Table6[casual])</f>
        <v>4921</v>
      </c>
      <c r="R224" s="4">
        <f>SUBTOTAL(109,Table6[registered])</f>
        <v>53383</v>
      </c>
      <c r="S224" s="4">
        <f>SUBTOTAL(109,Table6[cnt])</f>
        <v>58304</v>
      </c>
    </row>
    <row r="225" spans="1:19">
      <c r="A225" s="4">
        <v>224</v>
      </c>
      <c r="B225" s="5">
        <v>40553</v>
      </c>
      <c r="C225" s="4">
        <v>1</v>
      </c>
      <c r="D225" s="4">
        <v>0</v>
      </c>
      <c r="E225" s="4">
        <v>1</v>
      </c>
      <c r="F225" s="4">
        <v>14</v>
      </c>
      <c r="G225" s="4" t="b">
        <v>0</v>
      </c>
      <c r="H225" s="4">
        <v>1</v>
      </c>
      <c r="I225" s="4">
        <v>2</v>
      </c>
      <c r="J225" s="4">
        <v>0.2</v>
      </c>
      <c r="K225" s="4">
        <v>0.19700000000000001</v>
      </c>
      <c r="L225" s="4">
        <v>0.4</v>
      </c>
      <c r="M225" s="4">
        <v>0.22389999999999999</v>
      </c>
      <c r="N225" s="4">
        <v>0</v>
      </c>
      <c r="O225" s="4">
        <v>47</v>
      </c>
      <c r="P225" s="4">
        <v>47</v>
      </c>
      <c r="Q225" s="4">
        <f>SUBTOTAL(109,Table6[casual])</f>
        <v>4921</v>
      </c>
      <c r="R225" s="4">
        <f>SUBTOTAL(109,Table6[registered])</f>
        <v>53383</v>
      </c>
      <c r="S225" s="4">
        <f>SUBTOTAL(109,Table6[cnt])</f>
        <v>58304</v>
      </c>
    </row>
    <row r="226" spans="1:19">
      <c r="A226" s="4">
        <v>225</v>
      </c>
      <c r="B226" s="5">
        <v>40553</v>
      </c>
      <c r="C226" s="4">
        <v>1</v>
      </c>
      <c r="D226" s="4">
        <v>0</v>
      </c>
      <c r="E226" s="4">
        <v>1</v>
      </c>
      <c r="F226" s="4">
        <v>15</v>
      </c>
      <c r="G226" s="4" t="b">
        <v>0</v>
      </c>
      <c r="H226" s="4">
        <v>1</v>
      </c>
      <c r="I226" s="4">
        <v>2</v>
      </c>
      <c r="J226" s="4">
        <v>0.2</v>
      </c>
      <c r="K226" s="4">
        <v>0.19700000000000001</v>
      </c>
      <c r="L226" s="4">
        <v>0.4</v>
      </c>
      <c r="M226" s="4">
        <v>0.22389999999999999</v>
      </c>
      <c r="N226" s="4">
        <v>2</v>
      </c>
      <c r="O226" s="4">
        <v>43</v>
      </c>
      <c r="P226" s="4">
        <v>45</v>
      </c>
      <c r="Q226" s="4">
        <f>SUBTOTAL(109,Table6[casual])</f>
        <v>4921</v>
      </c>
      <c r="R226" s="4">
        <f>SUBTOTAL(109,Table6[registered])</f>
        <v>53383</v>
      </c>
      <c r="S226" s="4">
        <f>SUBTOTAL(109,Table6[cnt])</f>
        <v>58304</v>
      </c>
    </row>
    <row r="227" spans="1:19">
      <c r="A227" s="4">
        <v>226</v>
      </c>
      <c r="B227" s="5">
        <v>40553</v>
      </c>
      <c r="C227" s="4">
        <v>1</v>
      </c>
      <c r="D227" s="4">
        <v>0</v>
      </c>
      <c r="E227" s="4">
        <v>1</v>
      </c>
      <c r="F227" s="4">
        <v>16</v>
      </c>
      <c r="G227" s="4" t="b">
        <v>0</v>
      </c>
      <c r="H227" s="4">
        <v>1</v>
      </c>
      <c r="I227" s="4">
        <v>1</v>
      </c>
      <c r="J227" s="4">
        <v>0.2</v>
      </c>
      <c r="K227" s="4">
        <v>0.21210000000000001</v>
      </c>
      <c r="L227" s="4">
        <v>0.4</v>
      </c>
      <c r="M227" s="4">
        <v>0.1343</v>
      </c>
      <c r="N227" s="4">
        <v>4</v>
      </c>
      <c r="O227" s="4">
        <v>70</v>
      </c>
      <c r="P227" s="4">
        <v>74</v>
      </c>
      <c r="Q227" s="4">
        <f>SUBTOTAL(109,Table6[casual])</f>
        <v>4921</v>
      </c>
      <c r="R227" s="4">
        <f>SUBTOTAL(109,Table6[registered])</f>
        <v>53383</v>
      </c>
      <c r="S227" s="4">
        <f>SUBTOTAL(109,Table6[cnt])</f>
        <v>58304</v>
      </c>
    </row>
    <row r="228" spans="1:19">
      <c r="A228" s="4">
        <v>227</v>
      </c>
      <c r="B228" s="5">
        <v>40553</v>
      </c>
      <c r="C228" s="4">
        <v>1</v>
      </c>
      <c r="D228" s="4">
        <v>0</v>
      </c>
      <c r="E228" s="4">
        <v>1</v>
      </c>
      <c r="F228" s="4">
        <v>17</v>
      </c>
      <c r="G228" s="4" t="b">
        <v>0</v>
      </c>
      <c r="H228" s="4">
        <v>1</v>
      </c>
      <c r="I228" s="4">
        <v>1</v>
      </c>
      <c r="J228" s="4">
        <v>0.2</v>
      </c>
      <c r="K228" s="4">
        <v>0.2273</v>
      </c>
      <c r="L228" s="4">
        <v>0.4</v>
      </c>
      <c r="M228" s="4">
        <v>0.1045</v>
      </c>
      <c r="N228" s="4">
        <v>4</v>
      </c>
      <c r="O228" s="4">
        <v>174</v>
      </c>
      <c r="P228" s="4">
        <v>178</v>
      </c>
      <c r="Q228" s="4">
        <f>SUBTOTAL(109,Table6[casual])</f>
        <v>4921</v>
      </c>
      <c r="R228" s="4">
        <f>SUBTOTAL(109,Table6[registered])</f>
        <v>53383</v>
      </c>
      <c r="S228" s="4">
        <f>SUBTOTAL(109,Table6[cnt])</f>
        <v>58304</v>
      </c>
    </row>
    <row r="229" spans="1:19">
      <c r="A229" s="4">
        <v>228</v>
      </c>
      <c r="B229" s="5">
        <v>40553</v>
      </c>
      <c r="C229" s="4">
        <v>1</v>
      </c>
      <c r="D229" s="4">
        <v>0</v>
      </c>
      <c r="E229" s="4">
        <v>1</v>
      </c>
      <c r="F229" s="4">
        <v>18</v>
      </c>
      <c r="G229" s="4" t="b">
        <v>0</v>
      </c>
      <c r="H229" s="4">
        <v>1</v>
      </c>
      <c r="I229" s="4">
        <v>1</v>
      </c>
      <c r="J229" s="4">
        <v>0.2</v>
      </c>
      <c r="K229" s="4">
        <v>0.19700000000000001</v>
      </c>
      <c r="L229" s="4">
        <v>0.4</v>
      </c>
      <c r="M229" s="4">
        <v>0.22389999999999999</v>
      </c>
      <c r="N229" s="4">
        <v>1</v>
      </c>
      <c r="O229" s="4">
        <v>154</v>
      </c>
      <c r="P229" s="4">
        <v>155</v>
      </c>
      <c r="Q229" s="4">
        <f>SUBTOTAL(109,Table6[casual])</f>
        <v>4921</v>
      </c>
      <c r="R229" s="4">
        <f>SUBTOTAL(109,Table6[registered])</f>
        <v>53383</v>
      </c>
      <c r="S229" s="4">
        <f>SUBTOTAL(109,Table6[cnt])</f>
        <v>58304</v>
      </c>
    </row>
    <row r="230" spans="1:19">
      <c r="A230" s="4">
        <v>229</v>
      </c>
      <c r="B230" s="5">
        <v>40553</v>
      </c>
      <c r="C230" s="4">
        <v>1</v>
      </c>
      <c r="D230" s="4">
        <v>0</v>
      </c>
      <c r="E230" s="4">
        <v>1</v>
      </c>
      <c r="F230" s="4">
        <v>19</v>
      </c>
      <c r="G230" s="4" t="b">
        <v>0</v>
      </c>
      <c r="H230" s="4">
        <v>1</v>
      </c>
      <c r="I230" s="4">
        <v>1</v>
      </c>
      <c r="J230" s="4">
        <v>0.16</v>
      </c>
      <c r="K230" s="4">
        <v>0.16669999999999999</v>
      </c>
      <c r="L230" s="4">
        <v>0.47</v>
      </c>
      <c r="M230" s="4">
        <v>0.16420000000000001</v>
      </c>
      <c r="N230" s="4">
        <v>3</v>
      </c>
      <c r="O230" s="4">
        <v>92</v>
      </c>
      <c r="P230" s="4">
        <v>95</v>
      </c>
      <c r="Q230" s="4">
        <f>SUBTOTAL(109,Table6[casual])</f>
        <v>4921</v>
      </c>
      <c r="R230" s="4">
        <f>SUBTOTAL(109,Table6[registered])</f>
        <v>53383</v>
      </c>
      <c r="S230" s="4">
        <f>SUBTOTAL(109,Table6[cnt])</f>
        <v>58304</v>
      </c>
    </row>
    <row r="231" spans="1:19">
      <c r="A231" s="4">
        <v>230</v>
      </c>
      <c r="B231" s="5">
        <v>40553</v>
      </c>
      <c r="C231" s="4">
        <v>1</v>
      </c>
      <c r="D231" s="4">
        <v>0</v>
      </c>
      <c r="E231" s="4">
        <v>1</v>
      </c>
      <c r="F231" s="4">
        <v>20</v>
      </c>
      <c r="G231" s="4" t="b">
        <v>0</v>
      </c>
      <c r="H231" s="4">
        <v>1</v>
      </c>
      <c r="I231" s="4">
        <v>1</v>
      </c>
      <c r="J231" s="4">
        <v>0.16</v>
      </c>
      <c r="K231" s="4">
        <v>0.16669999999999999</v>
      </c>
      <c r="L231" s="4">
        <v>0.5</v>
      </c>
      <c r="M231" s="4">
        <v>0.16420000000000001</v>
      </c>
      <c r="N231" s="4">
        <v>1</v>
      </c>
      <c r="O231" s="4">
        <v>73</v>
      </c>
      <c r="P231" s="4">
        <v>74</v>
      </c>
      <c r="Q231" s="4">
        <f>SUBTOTAL(109,Table6[casual])</f>
        <v>4921</v>
      </c>
      <c r="R231" s="4">
        <f>SUBTOTAL(109,Table6[registered])</f>
        <v>53383</v>
      </c>
      <c r="S231" s="4">
        <f>SUBTOTAL(109,Table6[cnt])</f>
        <v>58304</v>
      </c>
    </row>
    <row r="232" spans="1:19">
      <c r="A232" s="4">
        <v>231</v>
      </c>
      <c r="B232" s="5">
        <v>40553</v>
      </c>
      <c r="C232" s="4">
        <v>1</v>
      </c>
      <c r="D232" s="4">
        <v>0</v>
      </c>
      <c r="E232" s="4">
        <v>1</v>
      </c>
      <c r="F232" s="4">
        <v>21</v>
      </c>
      <c r="G232" s="4" t="b">
        <v>0</v>
      </c>
      <c r="H232" s="4">
        <v>1</v>
      </c>
      <c r="I232" s="4">
        <v>1</v>
      </c>
      <c r="J232" s="4">
        <v>0.14000000000000001</v>
      </c>
      <c r="K232" s="4">
        <v>0.13639999999999999</v>
      </c>
      <c r="L232" s="4">
        <v>0.59</v>
      </c>
      <c r="M232" s="4">
        <v>0.19400000000000001</v>
      </c>
      <c r="N232" s="4">
        <v>1</v>
      </c>
      <c r="O232" s="4">
        <v>37</v>
      </c>
      <c r="P232" s="4">
        <v>38</v>
      </c>
      <c r="Q232" s="4">
        <f>SUBTOTAL(109,Table6[casual])</f>
        <v>4921</v>
      </c>
      <c r="R232" s="4">
        <f>SUBTOTAL(109,Table6[registered])</f>
        <v>53383</v>
      </c>
      <c r="S232" s="4">
        <f>SUBTOTAL(109,Table6[cnt])</f>
        <v>58304</v>
      </c>
    </row>
    <row r="233" spans="1:19">
      <c r="A233" s="4">
        <v>232</v>
      </c>
      <c r="B233" s="5">
        <v>40553</v>
      </c>
      <c r="C233" s="4">
        <v>1</v>
      </c>
      <c r="D233" s="4">
        <v>0</v>
      </c>
      <c r="E233" s="4">
        <v>1</v>
      </c>
      <c r="F233" s="4">
        <v>22</v>
      </c>
      <c r="G233" s="4" t="b">
        <v>0</v>
      </c>
      <c r="H233" s="4">
        <v>1</v>
      </c>
      <c r="I233" s="4">
        <v>1</v>
      </c>
      <c r="J233" s="4">
        <v>0.14000000000000001</v>
      </c>
      <c r="K233" s="4">
        <v>0.1515</v>
      </c>
      <c r="L233" s="4">
        <v>0.59</v>
      </c>
      <c r="M233" s="4">
        <v>0.16420000000000001</v>
      </c>
      <c r="N233" s="4">
        <v>2</v>
      </c>
      <c r="O233" s="4">
        <v>22</v>
      </c>
      <c r="P233" s="4">
        <v>24</v>
      </c>
      <c r="Q233" s="4">
        <f>SUBTOTAL(109,Table6[casual])</f>
        <v>4921</v>
      </c>
      <c r="R233" s="4">
        <f>SUBTOTAL(109,Table6[registered])</f>
        <v>53383</v>
      </c>
      <c r="S233" s="4">
        <f>SUBTOTAL(109,Table6[cnt])</f>
        <v>58304</v>
      </c>
    </row>
    <row r="234" spans="1:19">
      <c r="A234" s="4">
        <v>233</v>
      </c>
      <c r="B234" s="5">
        <v>40553</v>
      </c>
      <c r="C234" s="4">
        <v>1</v>
      </c>
      <c r="D234" s="4">
        <v>0</v>
      </c>
      <c r="E234" s="4">
        <v>1</v>
      </c>
      <c r="F234" s="4">
        <v>23</v>
      </c>
      <c r="G234" s="4" t="b">
        <v>0</v>
      </c>
      <c r="H234" s="4">
        <v>1</v>
      </c>
      <c r="I234" s="4">
        <v>1</v>
      </c>
      <c r="J234" s="4">
        <v>0.14000000000000001</v>
      </c>
      <c r="K234" s="4">
        <v>0.1515</v>
      </c>
      <c r="L234" s="4">
        <v>0.59</v>
      </c>
      <c r="M234" s="4">
        <v>0.16420000000000001</v>
      </c>
      <c r="N234" s="4">
        <v>0</v>
      </c>
      <c r="O234" s="4">
        <v>18</v>
      </c>
      <c r="P234" s="4">
        <v>18</v>
      </c>
      <c r="Q234" s="4">
        <f>SUBTOTAL(109,Table6[casual])</f>
        <v>4921</v>
      </c>
      <c r="R234" s="4">
        <f>SUBTOTAL(109,Table6[registered])</f>
        <v>53383</v>
      </c>
      <c r="S234" s="4">
        <f>SUBTOTAL(109,Table6[cnt])</f>
        <v>58304</v>
      </c>
    </row>
    <row r="235" spans="1:19">
      <c r="A235" s="4">
        <v>234</v>
      </c>
      <c r="B235" s="5">
        <v>40554</v>
      </c>
      <c r="C235" s="4">
        <v>1</v>
      </c>
      <c r="D235" s="4">
        <v>0</v>
      </c>
      <c r="E235" s="4">
        <v>1</v>
      </c>
      <c r="F235" s="4">
        <v>0</v>
      </c>
      <c r="G235" s="4" t="b">
        <v>0</v>
      </c>
      <c r="H235" s="4">
        <v>2</v>
      </c>
      <c r="I235" s="4">
        <v>1</v>
      </c>
      <c r="J235" s="4">
        <v>0.14000000000000001</v>
      </c>
      <c r="K235" s="4">
        <v>0.16669999999999999</v>
      </c>
      <c r="L235" s="4">
        <v>0.59</v>
      </c>
      <c r="M235" s="4">
        <v>0.1045</v>
      </c>
      <c r="N235" s="4">
        <v>2</v>
      </c>
      <c r="O235" s="4">
        <v>10</v>
      </c>
      <c r="P235" s="4">
        <v>12</v>
      </c>
      <c r="Q235" s="4">
        <f>SUBTOTAL(109,Table6[casual])</f>
        <v>4921</v>
      </c>
      <c r="R235" s="4">
        <f>SUBTOTAL(109,Table6[registered])</f>
        <v>53383</v>
      </c>
      <c r="S235" s="4">
        <f>SUBTOTAL(109,Table6[cnt])</f>
        <v>58304</v>
      </c>
    </row>
    <row r="236" spans="1:19">
      <c r="A236" s="4">
        <v>235</v>
      </c>
      <c r="B236" s="5">
        <v>40554</v>
      </c>
      <c r="C236" s="4">
        <v>1</v>
      </c>
      <c r="D236" s="4">
        <v>0</v>
      </c>
      <c r="E236" s="4">
        <v>1</v>
      </c>
      <c r="F236" s="4">
        <v>1</v>
      </c>
      <c r="G236" s="4" t="b">
        <v>0</v>
      </c>
      <c r="H236" s="4">
        <v>2</v>
      </c>
      <c r="I236" s="4">
        <v>1</v>
      </c>
      <c r="J236" s="4">
        <v>0.14000000000000001</v>
      </c>
      <c r="K236" s="4">
        <v>0.1515</v>
      </c>
      <c r="L236" s="4">
        <v>0.59</v>
      </c>
      <c r="M236" s="4">
        <v>0.16420000000000001</v>
      </c>
      <c r="N236" s="4">
        <v>0</v>
      </c>
      <c r="O236" s="4">
        <v>3</v>
      </c>
      <c r="P236" s="4">
        <v>3</v>
      </c>
      <c r="Q236" s="4">
        <f>SUBTOTAL(109,Table6[casual])</f>
        <v>4921</v>
      </c>
      <c r="R236" s="4">
        <f>SUBTOTAL(109,Table6[registered])</f>
        <v>53383</v>
      </c>
      <c r="S236" s="4">
        <f>SUBTOTAL(109,Table6[cnt])</f>
        <v>58304</v>
      </c>
    </row>
    <row r="237" spans="1:19">
      <c r="A237" s="4">
        <v>236</v>
      </c>
      <c r="B237" s="5">
        <v>40554</v>
      </c>
      <c r="C237" s="4">
        <v>1</v>
      </c>
      <c r="D237" s="4">
        <v>0</v>
      </c>
      <c r="E237" s="4">
        <v>1</v>
      </c>
      <c r="F237" s="4">
        <v>2</v>
      </c>
      <c r="G237" s="4" t="b">
        <v>0</v>
      </c>
      <c r="H237" s="4">
        <v>2</v>
      </c>
      <c r="I237" s="4">
        <v>2</v>
      </c>
      <c r="J237" s="4">
        <v>0.16</v>
      </c>
      <c r="K237" s="4">
        <v>0.1515</v>
      </c>
      <c r="L237" s="4">
        <v>0.55000000000000004</v>
      </c>
      <c r="M237" s="4">
        <v>0.19400000000000001</v>
      </c>
      <c r="N237" s="4">
        <v>0</v>
      </c>
      <c r="O237" s="4">
        <v>3</v>
      </c>
      <c r="P237" s="4">
        <v>3</v>
      </c>
      <c r="Q237" s="4">
        <f>SUBTOTAL(109,Table6[casual])</f>
        <v>4921</v>
      </c>
      <c r="R237" s="4">
        <f>SUBTOTAL(109,Table6[registered])</f>
        <v>53383</v>
      </c>
      <c r="S237" s="4">
        <f>SUBTOTAL(109,Table6[cnt])</f>
        <v>58304</v>
      </c>
    </row>
    <row r="238" spans="1:19">
      <c r="A238" s="4">
        <v>237</v>
      </c>
      <c r="B238" s="5">
        <v>40554</v>
      </c>
      <c r="C238" s="4">
        <v>1</v>
      </c>
      <c r="D238" s="4">
        <v>0</v>
      </c>
      <c r="E238" s="4">
        <v>1</v>
      </c>
      <c r="F238" s="4">
        <v>5</v>
      </c>
      <c r="G238" s="4" t="b">
        <v>0</v>
      </c>
      <c r="H238" s="4">
        <v>2</v>
      </c>
      <c r="I238" s="4">
        <v>2</v>
      </c>
      <c r="J238" s="4">
        <v>0.16</v>
      </c>
      <c r="K238" s="4">
        <v>0.18179999999999999</v>
      </c>
      <c r="L238" s="4">
        <v>0.55000000000000004</v>
      </c>
      <c r="M238" s="4">
        <v>0.1343</v>
      </c>
      <c r="N238" s="4">
        <v>0</v>
      </c>
      <c r="O238" s="4">
        <v>6</v>
      </c>
      <c r="P238" s="4">
        <v>6</v>
      </c>
      <c r="Q238" s="4">
        <f>SUBTOTAL(109,Table6[casual])</f>
        <v>4921</v>
      </c>
      <c r="R238" s="4">
        <f>SUBTOTAL(109,Table6[registered])</f>
        <v>53383</v>
      </c>
      <c r="S238" s="4">
        <f>SUBTOTAL(109,Table6[cnt])</f>
        <v>58304</v>
      </c>
    </row>
    <row r="239" spans="1:19">
      <c r="A239" s="4">
        <v>238</v>
      </c>
      <c r="B239" s="5">
        <v>40554</v>
      </c>
      <c r="C239" s="4">
        <v>1</v>
      </c>
      <c r="D239" s="4">
        <v>0</v>
      </c>
      <c r="E239" s="4">
        <v>1</v>
      </c>
      <c r="F239" s="4">
        <v>6</v>
      </c>
      <c r="G239" s="4" t="b">
        <v>0</v>
      </c>
      <c r="H239" s="4">
        <v>2</v>
      </c>
      <c r="I239" s="4">
        <v>2</v>
      </c>
      <c r="J239" s="4">
        <v>0.16</v>
      </c>
      <c r="K239" s="4">
        <v>0.18179999999999999</v>
      </c>
      <c r="L239" s="4">
        <v>0.55000000000000004</v>
      </c>
      <c r="M239" s="4">
        <v>0.1343</v>
      </c>
      <c r="N239" s="4">
        <v>0</v>
      </c>
      <c r="O239" s="4">
        <v>27</v>
      </c>
      <c r="P239" s="4">
        <v>27</v>
      </c>
      <c r="Q239" s="4">
        <f>SUBTOTAL(109,Table6[casual])</f>
        <v>4921</v>
      </c>
      <c r="R239" s="4">
        <f>SUBTOTAL(109,Table6[registered])</f>
        <v>53383</v>
      </c>
      <c r="S239" s="4">
        <f>SUBTOTAL(109,Table6[cnt])</f>
        <v>58304</v>
      </c>
    </row>
    <row r="240" spans="1:19">
      <c r="A240" s="4">
        <v>239</v>
      </c>
      <c r="B240" s="5">
        <v>40554</v>
      </c>
      <c r="C240" s="4">
        <v>1</v>
      </c>
      <c r="D240" s="4">
        <v>0</v>
      </c>
      <c r="E240" s="4">
        <v>1</v>
      </c>
      <c r="F240" s="4">
        <v>7</v>
      </c>
      <c r="G240" s="4" t="b">
        <v>0</v>
      </c>
      <c r="H240" s="4">
        <v>2</v>
      </c>
      <c r="I240" s="4">
        <v>2</v>
      </c>
      <c r="J240" s="4">
        <v>0.16</v>
      </c>
      <c r="K240" s="4">
        <v>0.2273</v>
      </c>
      <c r="L240" s="4">
        <v>0.55000000000000004</v>
      </c>
      <c r="M240" s="4">
        <v>0</v>
      </c>
      <c r="N240" s="4">
        <v>2</v>
      </c>
      <c r="O240" s="4">
        <v>97</v>
      </c>
      <c r="P240" s="4">
        <v>99</v>
      </c>
      <c r="Q240" s="4">
        <f>SUBTOTAL(109,Table6[casual])</f>
        <v>4921</v>
      </c>
      <c r="R240" s="4">
        <f>SUBTOTAL(109,Table6[registered])</f>
        <v>53383</v>
      </c>
      <c r="S240" s="4">
        <f>SUBTOTAL(109,Table6[cnt])</f>
        <v>58304</v>
      </c>
    </row>
    <row r="241" spans="1:19">
      <c r="A241" s="4">
        <v>240</v>
      </c>
      <c r="B241" s="5">
        <v>40554</v>
      </c>
      <c r="C241" s="4">
        <v>1</v>
      </c>
      <c r="D241" s="4">
        <v>0</v>
      </c>
      <c r="E241" s="4">
        <v>1</v>
      </c>
      <c r="F241" s="4">
        <v>8</v>
      </c>
      <c r="G241" s="4" t="b">
        <v>0</v>
      </c>
      <c r="H241" s="4">
        <v>2</v>
      </c>
      <c r="I241" s="4">
        <v>2</v>
      </c>
      <c r="J241" s="4">
        <v>0.18</v>
      </c>
      <c r="K241" s="4">
        <v>0.21210000000000001</v>
      </c>
      <c r="L241" s="4">
        <v>0.51</v>
      </c>
      <c r="M241" s="4">
        <v>8.9599999999999999E-2</v>
      </c>
      <c r="N241" s="4">
        <v>3</v>
      </c>
      <c r="O241" s="4">
        <v>214</v>
      </c>
      <c r="P241" s="4">
        <v>217</v>
      </c>
      <c r="Q241" s="4">
        <f>SUBTOTAL(109,Table6[casual])</f>
        <v>4921</v>
      </c>
      <c r="R241" s="4">
        <f>SUBTOTAL(109,Table6[registered])</f>
        <v>53383</v>
      </c>
      <c r="S241" s="4">
        <f>SUBTOTAL(109,Table6[cnt])</f>
        <v>58304</v>
      </c>
    </row>
    <row r="242" spans="1:19">
      <c r="A242" s="4">
        <v>241</v>
      </c>
      <c r="B242" s="5">
        <v>40554</v>
      </c>
      <c r="C242" s="4">
        <v>1</v>
      </c>
      <c r="D242" s="4">
        <v>0</v>
      </c>
      <c r="E242" s="4">
        <v>1</v>
      </c>
      <c r="F242" s="4">
        <v>9</v>
      </c>
      <c r="G242" s="4" t="b">
        <v>0</v>
      </c>
      <c r="H242" s="4">
        <v>2</v>
      </c>
      <c r="I242" s="4">
        <v>2</v>
      </c>
      <c r="J242" s="4">
        <v>0.18</v>
      </c>
      <c r="K242" s="4">
        <v>0.19700000000000001</v>
      </c>
      <c r="L242" s="4">
        <v>0.51</v>
      </c>
      <c r="M242" s="4">
        <v>0.16420000000000001</v>
      </c>
      <c r="N242" s="4">
        <v>3</v>
      </c>
      <c r="O242" s="4">
        <v>127</v>
      </c>
      <c r="P242" s="4">
        <v>130</v>
      </c>
      <c r="Q242" s="4">
        <f>SUBTOTAL(109,Table6[casual])</f>
        <v>4921</v>
      </c>
      <c r="R242" s="4">
        <f>SUBTOTAL(109,Table6[registered])</f>
        <v>53383</v>
      </c>
      <c r="S242" s="4">
        <f>SUBTOTAL(109,Table6[cnt])</f>
        <v>58304</v>
      </c>
    </row>
    <row r="243" spans="1:19">
      <c r="A243" s="4">
        <v>242</v>
      </c>
      <c r="B243" s="5">
        <v>40554</v>
      </c>
      <c r="C243" s="4">
        <v>1</v>
      </c>
      <c r="D243" s="4">
        <v>0</v>
      </c>
      <c r="E243" s="4">
        <v>1</v>
      </c>
      <c r="F243" s="4">
        <v>10</v>
      </c>
      <c r="G243" s="4" t="b">
        <v>0</v>
      </c>
      <c r="H243" s="4">
        <v>2</v>
      </c>
      <c r="I243" s="4">
        <v>2</v>
      </c>
      <c r="J243" s="4">
        <v>0.2</v>
      </c>
      <c r="K243" s="4">
        <v>0.21210000000000001</v>
      </c>
      <c r="L243" s="4">
        <v>0.51</v>
      </c>
      <c r="M243" s="4">
        <v>0.16420000000000001</v>
      </c>
      <c r="N243" s="4">
        <v>3</v>
      </c>
      <c r="O243" s="4">
        <v>51</v>
      </c>
      <c r="P243" s="4">
        <v>54</v>
      </c>
      <c r="Q243" s="4">
        <f>SUBTOTAL(109,Table6[casual])</f>
        <v>4921</v>
      </c>
      <c r="R243" s="4">
        <f>SUBTOTAL(109,Table6[registered])</f>
        <v>53383</v>
      </c>
      <c r="S243" s="4">
        <f>SUBTOTAL(109,Table6[cnt])</f>
        <v>58304</v>
      </c>
    </row>
    <row r="244" spans="1:19">
      <c r="A244" s="4">
        <v>243</v>
      </c>
      <c r="B244" s="5">
        <v>40554</v>
      </c>
      <c r="C244" s="4">
        <v>1</v>
      </c>
      <c r="D244" s="4">
        <v>0</v>
      </c>
      <c r="E244" s="4">
        <v>1</v>
      </c>
      <c r="F244" s="4">
        <v>11</v>
      </c>
      <c r="G244" s="4" t="b">
        <v>0</v>
      </c>
      <c r="H244" s="4">
        <v>2</v>
      </c>
      <c r="I244" s="4">
        <v>2</v>
      </c>
      <c r="J244" s="4">
        <v>0.2</v>
      </c>
      <c r="K244" s="4">
        <v>0.21210000000000001</v>
      </c>
      <c r="L244" s="4">
        <v>0.47</v>
      </c>
      <c r="M244" s="4">
        <v>0.1343</v>
      </c>
      <c r="N244" s="4">
        <v>4</v>
      </c>
      <c r="O244" s="4">
        <v>31</v>
      </c>
      <c r="P244" s="4">
        <v>35</v>
      </c>
      <c r="Q244" s="4">
        <f>SUBTOTAL(109,Table6[casual])</f>
        <v>4921</v>
      </c>
      <c r="R244" s="4">
        <f>SUBTOTAL(109,Table6[registered])</f>
        <v>53383</v>
      </c>
      <c r="S244" s="4">
        <f>SUBTOTAL(109,Table6[cnt])</f>
        <v>58304</v>
      </c>
    </row>
    <row r="245" spans="1:19">
      <c r="A245" s="4">
        <v>244</v>
      </c>
      <c r="B245" s="5">
        <v>40554</v>
      </c>
      <c r="C245" s="4">
        <v>1</v>
      </c>
      <c r="D245" s="4">
        <v>0</v>
      </c>
      <c r="E245" s="4">
        <v>1</v>
      </c>
      <c r="F245" s="4">
        <v>12</v>
      </c>
      <c r="G245" s="4" t="b">
        <v>0</v>
      </c>
      <c r="H245" s="4">
        <v>2</v>
      </c>
      <c r="I245" s="4">
        <v>2</v>
      </c>
      <c r="J245" s="4">
        <v>0.2</v>
      </c>
      <c r="K245" s="4">
        <v>0.2273</v>
      </c>
      <c r="L245" s="4">
        <v>0.51</v>
      </c>
      <c r="M245" s="4">
        <v>0.1045</v>
      </c>
      <c r="N245" s="4">
        <v>2</v>
      </c>
      <c r="O245" s="4">
        <v>55</v>
      </c>
      <c r="P245" s="4">
        <v>57</v>
      </c>
      <c r="Q245" s="4">
        <f>SUBTOTAL(109,Table6[casual])</f>
        <v>4921</v>
      </c>
      <c r="R245" s="4">
        <f>SUBTOTAL(109,Table6[registered])</f>
        <v>53383</v>
      </c>
      <c r="S245" s="4">
        <f>SUBTOTAL(109,Table6[cnt])</f>
        <v>58304</v>
      </c>
    </row>
    <row r="246" spans="1:19">
      <c r="A246" s="4">
        <v>245</v>
      </c>
      <c r="B246" s="5">
        <v>40554</v>
      </c>
      <c r="C246" s="4">
        <v>1</v>
      </c>
      <c r="D246" s="4">
        <v>0</v>
      </c>
      <c r="E246" s="4">
        <v>1</v>
      </c>
      <c r="F246" s="4">
        <v>13</v>
      </c>
      <c r="G246" s="4" t="b">
        <v>0</v>
      </c>
      <c r="H246" s="4">
        <v>2</v>
      </c>
      <c r="I246" s="4">
        <v>2</v>
      </c>
      <c r="J246" s="4">
        <v>0.2</v>
      </c>
      <c r="K246" s="4">
        <v>0.2273</v>
      </c>
      <c r="L246" s="4">
        <v>0.59</v>
      </c>
      <c r="M246" s="4">
        <v>8.9599999999999999E-2</v>
      </c>
      <c r="N246" s="4">
        <v>6</v>
      </c>
      <c r="O246" s="4">
        <v>46</v>
      </c>
      <c r="P246" s="4">
        <v>52</v>
      </c>
      <c r="Q246" s="4">
        <f>SUBTOTAL(109,Table6[casual])</f>
        <v>4921</v>
      </c>
      <c r="R246" s="4">
        <f>SUBTOTAL(109,Table6[registered])</f>
        <v>53383</v>
      </c>
      <c r="S246" s="4">
        <f>SUBTOTAL(109,Table6[cnt])</f>
        <v>58304</v>
      </c>
    </row>
    <row r="247" spans="1:19">
      <c r="A247" s="4">
        <v>246</v>
      </c>
      <c r="B247" s="5">
        <v>40554</v>
      </c>
      <c r="C247" s="4">
        <v>1</v>
      </c>
      <c r="D247" s="4">
        <v>0</v>
      </c>
      <c r="E247" s="4">
        <v>1</v>
      </c>
      <c r="F247" s="4">
        <v>14</v>
      </c>
      <c r="G247" s="4" t="b">
        <v>0</v>
      </c>
      <c r="H247" s="4">
        <v>2</v>
      </c>
      <c r="I247" s="4">
        <v>2</v>
      </c>
      <c r="J247" s="4">
        <v>0.2</v>
      </c>
      <c r="K247" s="4">
        <v>0.2273</v>
      </c>
      <c r="L247" s="4">
        <v>0.59</v>
      </c>
      <c r="M247" s="4">
        <v>8.9599999999999999E-2</v>
      </c>
      <c r="N247" s="4">
        <v>3</v>
      </c>
      <c r="O247" s="4">
        <v>60</v>
      </c>
      <c r="P247" s="4">
        <v>63</v>
      </c>
      <c r="Q247" s="4">
        <f>SUBTOTAL(109,Table6[casual])</f>
        <v>4921</v>
      </c>
      <c r="R247" s="4">
        <f>SUBTOTAL(109,Table6[registered])</f>
        <v>53383</v>
      </c>
      <c r="S247" s="4">
        <f>SUBTOTAL(109,Table6[cnt])</f>
        <v>58304</v>
      </c>
    </row>
    <row r="248" spans="1:19">
      <c r="A248" s="4">
        <v>247</v>
      </c>
      <c r="B248" s="5">
        <v>40554</v>
      </c>
      <c r="C248" s="4">
        <v>1</v>
      </c>
      <c r="D248" s="4">
        <v>0</v>
      </c>
      <c r="E248" s="4">
        <v>1</v>
      </c>
      <c r="F248" s="4">
        <v>15</v>
      </c>
      <c r="G248" s="4" t="b">
        <v>0</v>
      </c>
      <c r="H248" s="4">
        <v>2</v>
      </c>
      <c r="I248" s="4">
        <v>2</v>
      </c>
      <c r="J248" s="4">
        <v>0.16</v>
      </c>
      <c r="K248" s="4">
        <v>0.19700000000000001</v>
      </c>
      <c r="L248" s="4">
        <v>0.8</v>
      </c>
      <c r="M248" s="4">
        <v>8.9599999999999999E-2</v>
      </c>
      <c r="N248" s="4">
        <v>2</v>
      </c>
      <c r="O248" s="4">
        <v>45</v>
      </c>
      <c r="P248" s="4">
        <v>47</v>
      </c>
      <c r="Q248" s="4">
        <f>SUBTOTAL(109,Table6[casual])</f>
        <v>4921</v>
      </c>
      <c r="R248" s="4">
        <f>SUBTOTAL(109,Table6[registered])</f>
        <v>53383</v>
      </c>
      <c r="S248" s="4">
        <f>SUBTOTAL(109,Table6[cnt])</f>
        <v>58304</v>
      </c>
    </row>
    <row r="249" spans="1:19">
      <c r="A249" s="4">
        <v>248</v>
      </c>
      <c r="B249" s="5">
        <v>40554</v>
      </c>
      <c r="C249" s="4">
        <v>1</v>
      </c>
      <c r="D249" s="4">
        <v>0</v>
      </c>
      <c r="E249" s="4">
        <v>1</v>
      </c>
      <c r="F249" s="4">
        <v>16</v>
      </c>
      <c r="G249" s="4" t="b">
        <v>0</v>
      </c>
      <c r="H249" s="4">
        <v>2</v>
      </c>
      <c r="I249" s="4">
        <v>2</v>
      </c>
      <c r="J249" s="4">
        <v>0.16</v>
      </c>
      <c r="K249" s="4">
        <v>0.1515</v>
      </c>
      <c r="L249" s="4">
        <v>0.86</v>
      </c>
      <c r="M249" s="4">
        <v>0.22389999999999999</v>
      </c>
      <c r="N249" s="4">
        <v>4</v>
      </c>
      <c r="O249" s="4">
        <v>72</v>
      </c>
      <c r="P249" s="4">
        <v>76</v>
      </c>
      <c r="Q249" s="4">
        <f>SUBTOTAL(109,Table6[casual])</f>
        <v>4921</v>
      </c>
      <c r="R249" s="4">
        <f>SUBTOTAL(109,Table6[registered])</f>
        <v>53383</v>
      </c>
      <c r="S249" s="4">
        <f>SUBTOTAL(109,Table6[cnt])</f>
        <v>58304</v>
      </c>
    </row>
    <row r="250" spans="1:19">
      <c r="A250" s="4">
        <v>249</v>
      </c>
      <c r="B250" s="5">
        <v>40554</v>
      </c>
      <c r="C250" s="4">
        <v>1</v>
      </c>
      <c r="D250" s="4">
        <v>0</v>
      </c>
      <c r="E250" s="4">
        <v>1</v>
      </c>
      <c r="F250" s="4">
        <v>17</v>
      </c>
      <c r="G250" s="4" t="b">
        <v>0</v>
      </c>
      <c r="H250" s="4">
        <v>2</v>
      </c>
      <c r="I250" s="4">
        <v>2</v>
      </c>
      <c r="J250" s="4">
        <v>0.16</v>
      </c>
      <c r="K250" s="4">
        <v>0.1515</v>
      </c>
      <c r="L250" s="4">
        <v>0.86</v>
      </c>
      <c r="M250" s="4">
        <v>0.22389999999999999</v>
      </c>
      <c r="N250" s="4">
        <v>6</v>
      </c>
      <c r="O250" s="4">
        <v>130</v>
      </c>
      <c r="P250" s="4">
        <v>136</v>
      </c>
      <c r="Q250" s="4">
        <f>SUBTOTAL(109,Table6[casual])</f>
        <v>4921</v>
      </c>
      <c r="R250" s="4">
        <f>SUBTOTAL(109,Table6[registered])</f>
        <v>53383</v>
      </c>
      <c r="S250" s="4">
        <f>SUBTOTAL(109,Table6[cnt])</f>
        <v>58304</v>
      </c>
    </row>
    <row r="251" spans="1:19">
      <c r="A251" s="4">
        <v>250</v>
      </c>
      <c r="B251" s="5">
        <v>40554</v>
      </c>
      <c r="C251" s="4">
        <v>1</v>
      </c>
      <c r="D251" s="4">
        <v>0</v>
      </c>
      <c r="E251" s="4">
        <v>1</v>
      </c>
      <c r="F251" s="4">
        <v>18</v>
      </c>
      <c r="G251" s="4" t="b">
        <v>0</v>
      </c>
      <c r="H251" s="4">
        <v>2</v>
      </c>
      <c r="I251" s="4">
        <v>3</v>
      </c>
      <c r="J251" s="4">
        <v>0.16</v>
      </c>
      <c r="K251" s="4">
        <v>0.18179999999999999</v>
      </c>
      <c r="L251" s="4">
        <v>0.93</v>
      </c>
      <c r="M251" s="4">
        <v>0.1045</v>
      </c>
      <c r="N251" s="4">
        <v>1</v>
      </c>
      <c r="O251" s="4">
        <v>94</v>
      </c>
      <c r="P251" s="4">
        <v>95</v>
      </c>
      <c r="Q251" s="4">
        <f>SUBTOTAL(109,Table6[casual])</f>
        <v>4921</v>
      </c>
      <c r="R251" s="4">
        <f>SUBTOTAL(109,Table6[registered])</f>
        <v>53383</v>
      </c>
      <c r="S251" s="4">
        <f>SUBTOTAL(109,Table6[cnt])</f>
        <v>58304</v>
      </c>
    </row>
    <row r="252" spans="1:19">
      <c r="A252" s="4">
        <v>251</v>
      </c>
      <c r="B252" s="5">
        <v>40554</v>
      </c>
      <c r="C252" s="4">
        <v>1</v>
      </c>
      <c r="D252" s="4">
        <v>0</v>
      </c>
      <c r="E252" s="4">
        <v>1</v>
      </c>
      <c r="F252" s="4">
        <v>19</v>
      </c>
      <c r="G252" s="4" t="b">
        <v>0</v>
      </c>
      <c r="H252" s="4">
        <v>2</v>
      </c>
      <c r="I252" s="4">
        <v>3</v>
      </c>
      <c r="J252" s="4">
        <v>0.16</v>
      </c>
      <c r="K252" s="4">
        <v>0.2273</v>
      </c>
      <c r="L252" s="4">
        <v>0.93</v>
      </c>
      <c r="M252" s="4">
        <v>0</v>
      </c>
      <c r="N252" s="4">
        <v>0</v>
      </c>
      <c r="O252" s="4">
        <v>51</v>
      </c>
      <c r="P252" s="4">
        <v>51</v>
      </c>
      <c r="Q252" s="4">
        <f>SUBTOTAL(109,Table6[casual])</f>
        <v>4921</v>
      </c>
      <c r="R252" s="4">
        <f>SUBTOTAL(109,Table6[registered])</f>
        <v>53383</v>
      </c>
      <c r="S252" s="4">
        <f>SUBTOTAL(109,Table6[cnt])</f>
        <v>58304</v>
      </c>
    </row>
    <row r="253" spans="1:19">
      <c r="A253" s="4">
        <v>252</v>
      </c>
      <c r="B253" s="5">
        <v>40554</v>
      </c>
      <c r="C253" s="4">
        <v>1</v>
      </c>
      <c r="D253" s="4">
        <v>0</v>
      </c>
      <c r="E253" s="4">
        <v>1</v>
      </c>
      <c r="F253" s="4">
        <v>20</v>
      </c>
      <c r="G253" s="4" t="b">
        <v>0</v>
      </c>
      <c r="H253" s="4">
        <v>2</v>
      </c>
      <c r="I253" s="4">
        <v>3</v>
      </c>
      <c r="J253" s="4">
        <v>0.16</v>
      </c>
      <c r="K253" s="4">
        <v>0.1515</v>
      </c>
      <c r="L253" s="4">
        <v>0.93</v>
      </c>
      <c r="M253" s="4">
        <v>0.19400000000000001</v>
      </c>
      <c r="N253" s="4">
        <v>0</v>
      </c>
      <c r="O253" s="4">
        <v>32</v>
      </c>
      <c r="P253" s="4">
        <v>32</v>
      </c>
      <c r="Q253" s="4">
        <f>SUBTOTAL(109,Table6[casual])</f>
        <v>4921</v>
      </c>
      <c r="R253" s="4">
        <f>SUBTOTAL(109,Table6[registered])</f>
        <v>53383</v>
      </c>
      <c r="S253" s="4">
        <f>SUBTOTAL(109,Table6[cnt])</f>
        <v>58304</v>
      </c>
    </row>
    <row r="254" spans="1:19">
      <c r="A254" s="4">
        <v>253</v>
      </c>
      <c r="B254" s="5">
        <v>40554</v>
      </c>
      <c r="C254" s="4">
        <v>1</v>
      </c>
      <c r="D254" s="4">
        <v>0</v>
      </c>
      <c r="E254" s="4">
        <v>1</v>
      </c>
      <c r="F254" s="4">
        <v>21</v>
      </c>
      <c r="G254" s="4" t="b">
        <v>0</v>
      </c>
      <c r="H254" s="4">
        <v>2</v>
      </c>
      <c r="I254" s="4">
        <v>3</v>
      </c>
      <c r="J254" s="4">
        <v>0.16</v>
      </c>
      <c r="K254" s="4">
        <v>0.19700000000000001</v>
      </c>
      <c r="L254" s="4">
        <v>0.86</v>
      </c>
      <c r="M254" s="4">
        <v>8.9599999999999999E-2</v>
      </c>
      <c r="N254" s="4">
        <v>0</v>
      </c>
      <c r="O254" s="4">
        <v>20</v>
      </c>
      <c r="P254" s="4">
        <v>20</v>
      </c>
      <c r="Q254" s="4">
        <f>SUBTOTAL(109,Table6[casual])</f>
        <v>4921</v>
      </c>
      <c r="R254" s="4">
        <f>SUBTOTAL(109,Table6[registered])</f>
        <v>53383</v>
      </c>
      <c r="S254" s="4">
        <f>SUBTOTAL(109,Table6[cnt])</f>
        <v>58304</v>
      </c>
    </row>
    <row r="255" spans="1:19">
      <c r="A255" s="4">
        <v>254</v>
      </c>
      <c r="B255" s="5">
        <v>40554</v>
      </c>
      <c r="C255" s="4">
        <v>1</v>
      </c>
      <c r="D255" s="4">
        <v>0</v>
      </c>
      <c r="E255" s="4">
        <v>1</v>
      </c>
      <c r="F255" s="4">
        <v>22</v>
      </c>
      <c r="G255" s="4" t="b">
        <v>0</v>
      </c>
      <c r="H255" s="4">
        <v>2</v>
      </c>
      <c r="I255" s="4">
        <v>3</v>
      </c>
      <c r="J255" s="4">
        <v>0.16</v>
      </c>
      <c r="K255" s="4">
        <v>0.18179999999999999</v>
      </c>
      <c r="L255" s="4">
        <v>0.93</v>
      </c>
      <c r="M255" s="4">
        <v>0.1045</v>
      </c>
      <c r="N255" s="4">
        <v>1</v>
      </c>
      <c r="O255" s="4">
        <v>28</v>
      </c>
      <c r="P255" s="4">
        <v>29</v>
      </c>
      <c r="Q255" s="4">
        <f>SUBTOTAL(109,Table6[casual])</f>
        <v>4921</v>
      </c>
      <c r="R255" s="4">
        <f>SUBTOTAL(109,Table6[registered])</f>
        <v>53383</v>
      </c>
      <c r="S255" s="4">
        <f>SUBTOTAL(109,Table6[cnt])</f>
        <v>58304</v>
      </c>
    </row>
    <row r="256" spans="1:19">
      <c r="A256" s="4">
        <v>255</v>
      </c>
      <c r="B256" s="5">
        <v>40554</v>
      </c>
      <c r="C256" s="4">
        <v>1</v>
      </c>
      <c r="D256" s="4">
        <v>0</v>
      </c>
      <c r="E256" s="4">
        <v>1</v>
      </c>
      <c r="F256" s="4">
        <v>23</v>
      </c>
      <c r="G256" s="4" t="b">
        <v>0</v>
      </c>
      <c r="H256" s="4">
        <v>2</v>
      </c>
      <c r="I256" s="4">
        <v>3</v>
      </c>
      <c r="J256" s="4">
        <v>0.16</v>
      </c>
      <c r="K256" s="4">
        <v>0.19700000000000001</v>
      </c>
      <c r="L256" s="4">
        <v>0.93</v>
      </c>
      <c r="M256" s="4">
        <v>8.9599999999999999E-2</v>
      </c>
      <c r="N256" s="4">
        <v>1</v>
      </c>
      <c r="O256" s="4">
        <v>18</v>
      </c>
      <c r="P256" s="4">
        <v>19</v>
      </c>
      <c r="Q256" s="4">
        <f>SUBTOTAL(109,Table6[casual])</f>
        <v>4921</v>
      </c>
      <c r="R256" s="4">
        <f>SUBTOTAL(109,Table6[registered])</f>
        <v>53383</v>
      </c>
      <c r="S256" s="4">
        <f>SUBTOTAL(109,Table6[cnt])</f>
        <v>58304</v>
      </c>
    </row>
    <row r="257" spans="1:19">
      <c r="A257" s="4">
        <v>256</v>
      </c>
      <c r="B257" s="5">
        <v>40555</v>
      </c>
      <c r="C257" s="4">
        <v>1</v>
      </c>
      <c r="D257" s="4">
        <v>0</v>
      </c>
      <c r="E257" s="4">
        <v>1</v>
      </c>
      <c r="F257" s="4">
        <v>0</v>
      </c>
      <c r="G257" s="4" t="b">
        <v>0</v>
      </c>
      <c r="H257" s="4">
        <v>3</v>
      </c>
      <c r="I257" s="4">
        <v>2</v>
      </c>
      <c r="J257" s="4">
        <v>0.16</v>
      </c>
      <c r="K257" s="4">
        <v>0.19700000000000001</v>
      </c>
      <c r="L257" s="4">
        <v>0.86</v>
      </c>
      <c r="M257" s="4">
        <v>8.9599999999999999E-2</v>
      </c>
      <c r="N257" s="4">
        <v>0</v>
      </c>
      <c r="O257" s="4">
        <v>7</v>
      </c>
      <c r="P257" s="4">
        <v>7</v>
      </c>
      <c r="Q257" s="4">
        <f>SUBTOTAL(109,Table6[casual])</f>
        <v>4921</v>
      </c>
      <c r="R257" s="4">
        <f>SUBTOTAL(109,Table6[registered])</f>
        <v>53383</v>
      </c>
      <c r="S257" s="4">
        <f>SUBTOTAL(109,Table6[cnt])</f>
        <v>58304</v>
      </c>
    </row>
    <row r="258" spans="1:19">
      <c r="A258" s="4">
        <v>257</v>
      </c>
      <c r="B258" s="5">
        <v>40555</v>
      </c>
      <c r="C258" s="4">
        <v>1</v>
      </c>
      <c r="D258" s="4">
        <v>0</v>
      </c>
      <c r="E258" s="4">
        <v>1</v>
      </c>
      <c r="F258" s="4">
        <v>1</v>
      </c>
      <c r="G258" s="4" t="b">
        <v>0</v>
      </c>
      <c r="H258" s="4">
        <v>3</v>
      </c>
      <c r="I258" s="4">
        <v>2</v>
      </c>
      <c r="J258" s="4">
        <v>0.16</v>
      </c>
      <c r="K258" s="4">
        <v>0.18179999999999999</v>
      </c>
      <c r="L258" s="4">
        <v>0.86</v>
      </c>
      <c r="M258" s="4">
        <v>0.1045</v>
      </c>
      <c r="N258" s="4">
        <v>0</v>
      </c>
      <c r="O258" s="4">
        <v>6</v>
      </c>
      <c r="P258" s="4">
        <v>6</v>
      </c>
      <c r="Q258" s="4">
        <f>SUBTOTAL(109,Table6[casual])</f>
        <v>4921</v>
      </c>
      <c r="R258" s="4">
        <f>SUBTOTAL(109,Table6[registered])</f>
        <v>53383</v>
      </c>
      <c r="S258" s="4">
        <f>SUBTOTAL(109,Table6[cnt])</f>
        <v>58304</v>
      </c>
    </row>
    <row r="259" spans="1:19">
      <c r="A259" s="4">
        <v>258</v>
      </c>
      <c r="B259" s="5">
        <v>40555</v>
      </c>
      <c r="C259" s="4">
        <v>1</v>
      </c>
      <c r="D259" s="4">
        <v>0</v>
      </c>
      <c r="E259" s="4">
        <v>1</v>
      </c>
      <c r="F259" s="4">
        <v>2</v>
      </c>
      <c r="G259" s="4" t="b">
        <v>0</v>
      </c>
      <c r="H259" s="4">
        <v>3</v>
      </c>
      <c r="I259" s="4">
        <v>1</v>
      </c>
      <c r="J259" s="4">
        <v>0.14000000000000001</v>
      </c>
      <c r="K259" s="4">
        <v>0.1515</v>
      </c>
      <c r="L259" s="4">
        <v>0.86</v>
      </c>
      <c r="M259" s="4">
        <v>0.1343</v>
      </c>
      <c r="N259" s="4">
        <v>0</v>
      </c>
      <c r="O259" s="4">
        <v>1</v>
      </c>
      <c r="P259" s="4">
        <v>1</v>
      </c>
      <c r="Q259" s="4">
        <f>SUBTOTAL(109,Table6[casual])</f>
        <v>4921</v>
      </c>
      <c r="R259" s="4">
        <f>SUBTOTAL(109,Table6[registered])</f>
        <v>53383</v>
      </c>
      <c r="S259" s="4">
        <f>SUBTOTAL(109,Table6[cnt])</f>
        <v>58304</v>
      </c>
    </row>
    <row r="260" spans="1:19">
      <c r="A260" s="4">
        <v>259</v>
      </c>
      <c r="B260" s="5">
        <v>40555</v>
      </c>
      <c r="C260" s="4">
        <v>1</v>
      </c>
      <c r="D260" s="4">
        <v>0</v>
      </c>
      <c r="E260" s="4">
        <v>1</v>
      </c>
      <c r="F260" s="4">
        <v>5</v>
      </c>
      <c r="G260" s="4" t="b">
        <v>0</v>
      </c>
      <c r="H260" s="4">
        <v>3</v>
      </c>
      <c r="I260" s="4">
        <v>1</v>
      </c>
      <c r="J260" s="4">
        <v>0.14000000000000001</v>
      </c>
      <c r="K260" s="4">
        <v>0.1515</v>
      </c>
      <c r="L260" s="4">
        <v>0.86</v>
      </c>
      <c r="M260" s="4">
        <v>0.16420000000000001</v>
      </c>
      <c r="N260" s="4">
        <v>0</v>
      </c>
      <c r="O260" s="4">
        <v>5</v>
      </c>
      <c r="P260" s="4">
        <v>5</v>
      </c>
      <c r="Q260" s="4">
        <f>SUBTOTAL(109,Table6[casual])</f>
        <v>4921</v>
      </c>
      <c r="R260" s="4">
        <f>SUBTOTAL(109,Table6[registered])</f>
        <v>53383</v>
      </c>
      <c r="S260" s="4">
        <f>SUBTOTAL(109,Table6[cnt])</f>
        <v>58304</v>
      </c>
    </row>
    <row r="261" spans="1:19">
      <c r="A261" s="4">
        <v>260</v>
      </c>
      <c r="B261" s="5">
        <v>40555</v>
      </c>
      <c r="C261" s="4">
        <v>1</v>
      </c>
      <c r="D261" s="4">
        <v>0</v>
      </c>
      <c r="E261" s="4">
        <v>1</v>
      </c>
      <c r="F261" s="4">
        <v>6</v>
      </c>
      <c r="G261" s="4" t="b">
        <v>0</v>
      </c>
      <c r="H261" s="4">
        <v>3</v>
      </c>
      <c r="I261" s="4">
        <v>1</v>
      </c>
      <c r="J261" s="4">
        <v>0.12</v>
      </c>
      <c r="K261" s="4">
        <v>0.1515</v>
      </c>
      <c r="L261" s="4">
        <v>0.93</v>
      </c>
      <c r="M261" s="4">
        <v>0.1343</v>
      </c>
      <c r="N261" s="4">
        <v>0</v>
      </c>
      <c r="O261" s="4">
        <v>16</v>
      </c>
      <c r="P261" s="4">
        <v>16</v>
      </c>
      <c r="Q261" s="4">
        <f>SUBTOTAL(109,Table6[casual])</f>
        <v>4921</v>
      </c>
      <c r="R261" s="4">
        <f>SUBTOTAL(109,Table6[registered])</f>
        <v>53383</v>
      </c>
      <c r="S261" s="4">
        <f>SUBTOTAL(109,Table6[cnt])</f>
        <v>58304</v>
      </c>
    </row>
    <row r="262" spans="1:19">
      <c r="A262" s="4">
        <v>261</v>
      </c>
      <c r="B262" s="5">
        <v>40555</v>
      </c>
      <c r="C262" s="4">
        <v>1</v>
      </c>
      <c r="D262" s="4">
        <v>0</v>
      </c>
      <c r="E262" s="4">
        <v>1</v>
      </c>
      <c r="F262" s="4">
        <v>7</v>
      </c>
      <c r="G262" s="4" t="b">
        <v>0</v>
      </c>
      <c r="H262" s="4">
        <v>3</v>
      </c>
      <c r="I262" s="4">
        <v>1</v>
      </c>
      <c r="J262" s="4">
        <v>0.14000000000000001</v>
      </c>
      <c r="K262" s="4">
        <v>0.1515</v>
      </c>
      <c r="L262" s="4">
        <v>0.69</v>
      </c>
      <c r="M262" s="4">
        <v>0.1343</v>
      </c>
      <c r="N262" s="4">
        <v>0</v>
      </c>
      <c r="O262" s="4">
        <v>54</v>
      </c>
      <c r="P262" s="4">
        <v>54</v>
      </c>
      <c r="Q262" s="4">
        <f>SUBTOTAL(109,Table6[casual])</f>
        <v>4921</v>
      </c>
      <c r="R262" s="4">
        <f>SUBTOTAL(109,Table6[registered])</f>
        <v>53383</v>
      </c>
      <c r="S262" s="4">
        <f>SUBTOTAL(109,Table6[cnt])</f>
        <v>58304</v>
      </c>
    </row>
    <row r="263" spans="1:19">
      <c r="A263" s="4">
        <v>262</v>
      </c>
      <c r="B263" s="5">
        <v>40555</v>
      </c>
      <c r="C263" s="4">
        <v>1</v>
      </c>
      <c r="D263" s="4">
        <v>0</v>
      </c>
      <c r="E263" s="4">
        <v>1</v>
      </c>
      <c r="F263" s="4">
        <v>8</v>
      </c>
      <c r="G263" s="4" t="b">
        <v>0</v>
      </c>
      <c r="H263" s="4">
        <v>3</v>
      </c>
      <c r="I263" s="4">
        <v>1</v>
      </c>
      <c r="J263" s="4">
        <v>0.16</v>
      </c>
      <c r="K263" s="4">
        <v>0.16669999999999999</v>
      </c>
      <c r="L263" s="4">
        <v>0.59</v>
      </c>
      <c r="M263" s="4">
        <v>0.16420000000000001</v>
      </c>
      <c r="N263" s="4">
        <v>3</v>
      </c>
      <c r="O263" s="4">
        <v>125</v>
      </c>
      <c r="P263" s="4">
        <v>128</v>
      </c>
      <c r="Q263" s="4">
        <f>SUBTOTAL(109,Table6[casual])</f>
        <v>4921</v>
      </c>
      <c r="R263" s="4">
        <f>SUBTOTAL(109,Table6[registered])</f>
        <v>53383</v>
      </c>
      <c r="S263" s="4">
        <f>SUBTOTAL(109,Table6[cnt])</f>
        <v>58304</v>
      </c>
    </row>
    <row r="264" spans="1:19">
      <c r="A264" s="4">
        <v>263</v>
      </c>
      <c r="B264" s="5">
        <v>40555</v>
      </c>
      <c r="C264" s="4">
        <v>1</v>
      </c>
      <c r="D264" s="4">
        <v>0</v>
      </c>
      <c r="E264" s="4">
        <v>1</v>
      </c>
      <c r="F264" s="4">
        <v>9</v>
      </c>
      <c r="G264" s="4" t="b">
        <v>0</v>
      </c>
      <c r="H264" s="4">
        <v>3</v>
      </c>
      <c r="I264" s="4">
        <v>1</v>
      </c>
      <c r="J264" s="4">
        <v>0.16</v>
      </c>
      <c r="K264" s="4">
        <v>0.13639999999999999</v>
      </c>
      <c r="L264" s="4">
        <v>0.59</v>
      </c>
      <c r="M264" s="4">
        <v>0.32840000000000003</v>
      </c>
      <c r="N264" s="4">
        <v>3</v>
      </c>
      <c r="O264" s="4">
        <v>78</v>
      </c>
      <c r="P264" s="4">
        <v>81</v>
      </c>
      <c r="Q264" s="4">
        <f>SUBTOTAL(109,Table6[casual])</f>
        <v>4921</v>
      </c>
      <c r="R264" s="4">
        <f>SUBTOTAL(109,Table6[registered])</f>
        <v>53383</v>
      </c>
      <c r="S264" s="4">
        <f>SUBTOTAL(109,Table6[cnt])</f>
        <v>58304</v>
      </c>
    </row>
    <row r="265" spans="1:19">
      <c r="A265" s="4">
        <v>264</v>
      </c>
      <c r="B265" s="5">
        <v>40555</v>
      </c>
      <c r="C265" s="4">
        <v>1</v>
      </c>
      <c r="D265" s="4">
        <v>0</v>
      </c>
      <c r="E265" s="4">
        <v>1</v>
      </c>
      <c r="F265" s="4">
        <v>10</v>
      </c>
      <c r="G265" s="4" t="b">
        <v>0</v>
      </c>
      <c r="H265" s="4">
        <v>3</v>
      </c>
      <c r="I265" s="4">
        <v>1</v>
      </c>
      <c r="J265" s="4">
        <v>0.18</v>
      </c>
      <c r="K265" s="4">
        <v>0.18179999999999999</v>
      </c>
      <c r="L265" s="4">
        <v>0.55000000000000004</v>
      </c>
      <c r="M265" s="4">
        <v>0.22389999999999999</v>
      </c>
      <c r="N265" s="4">
        <v>0</v>
      </c>
      <c r="O265" s="4">
        <v>39</v>
      </c>
      <c r="P265" s="4">
        <v>39</v>
      </c>
      <c r="Q265" s="4">
        <f>SUBTOTAL(109,Table6[casual])</f>
        <v>4921</v>
      </c>
      <c r="R265" s="4">
        <f>SUBTOTAL(109,Table6[registered])</f>
        <v>53383</v>
      </c>
      <c r="S265" s="4">
        <f>SUBTOTAL(109,Table6[cnt])</f>
        <v>58304</v>
      </c>
    </row>
    <row r="266" spans="1:19">
      <c r="A266" s="4">
        <v>265</v>
      </c>
      <c r="B266" s="5">
        <v>40555</v>
      </c>
      <c r="C266" s="4">
        <v>1</v>
      </c>
      <c r="D266" s="4">
        <v>0</v>
      </c>
      <c r="E266" s="4">
        <v>1</v>
      </c>
      <c r="F266" s="4">
        <v>11</v>
      </c>
      <c r="G266" s="4" t="b">
        <v>0</v>
      </c>
      <c r="H266" s="4">
        <v>3</v>
      </c>
      <c r="I266" s="4">
        <v>1</v>
      </c>
      <c r="J266" s="4">
        <v>0.2</v>
      </c>
      <c r="K266" s="4">
        <v>0.18179999999999999</v>
      </c>
      <c r="L266" s="4">
        <v>0.51</v>
      </c>
      <c r="M266" s="4">
        <v>0.3881</v>
      </c>
      <c r="N266" s="4">
        <v>3</v>
      </c>
      <c r="O266" s="4">
        <v>32</v>
      </c>
      <c r="P266" s="4">
        <v>35</v>
      </c>
      <c r="Q266" s="4">
        <f>SUBTOTAL(109,Table6[casual])</f>
        <v>4921</v>
      </c>
      <c r="R266" s="4">
        <f>SUBTOTAL(109,Table6[registered])</f>
        <v>53383</v>
      </c>
      <c r="S266" s="4">
        <f>SUBTOTAL(109,Table6[cnt])</f>
        <v>58304</v>
      </c>
    </row>
    <row r="267" spans="1:19">
      <c r="A267" s="4">
        <v>266</v>
      </c>
      <c r="B267" s="5">
        <v>40555</v>
      </c>
      <c r="C267" s="4">
        <v>1</v>
      </c>
      <c r="D267" s="4">
        <v>0</v>
      </c>
      <c r="E267" s="4">
        <v>1</v>
      </c>
      <c r="F267" s="4">
        <v>12</v>
      </c>
      <c r="G267" s="4" t="b">
        <v>0</v>
      </c>
      <c r="H267" s="4">
        <v>3</v>
      </c>
      <c r="I267" s="4">
        <v>1</v>
      </c>
      <c r="J267" s="4">
        <v>0.2</v>
      </c>
      <c r="K267" s="4">
        <v>0.1515</v>
      </c>
      <c r="L267" s="4">
        <v>0.47</v>
      </c>
      <c r="M267" s="4">
        <v>0.58209999999999995</v>
      </c>
      <c r="N267" s="4">
        <v>3</v>
      </c>
      <c r="O267" s="4">
        <v>52</v>
      </c>
      <c r="P267" s="4">
        <v>55</v>
      </c>
      <c r="Q267" s="4">
        <f>SUBTOTAL(109,Table6[casual])</f>
        <v>4921</v>
      </c>
      <c r="R267" s="4">
        <f>SUBTOTAL(109,Table6[registered])</f>
        <v>53383</v>
      </c>
      <c r="S267" s="4">
        <f>SUBTOTAL(109,Table6[cnt])</f>
        <v>58304</v>
      </c>
    </row>
    <row r="268" spans="1:19">
      <c r="A268" s="4">
        <v>267</v>
      </c>
      <c r="B268" s="5">
        <v>40555</v>
      </c>
      <c r="C268" s="4">
        <v>1</v>
      </c>
      <c r="D268" s="4">
        <v>0</v>
      </c>
      <c r="E268" s="4">
        <v>1</v>
      </c>
      <c r="F268" s="4">
        <v>13</v>
      </c>
      <c r="G268" s="4" t="b">
        <v>0</v>
      </c>
      <c r="H268" s="4">
        <v>3</v>
      </c>
      <c r="I268" s="4">
        <v>1</v>
      </c>
      <c r="J268" s="4">
        <v>0.22</v>
      </c>
      <c r="K268" s="4">
        <v>0.19700000000000001</v>
      </c>
      <c r="L268" s="4">
        <v>0.44</v>
      </c>
      <c r="M268" s="4">
        <v>0.35820000000000002</v>
      </c>
      <c r="N268" s="4">
        <v>0</v>
      </c>
      <c r="O268" s="4">
        <v>49</v>
      </c>
      <c r="P268" s="4">
        <v>49</v>
      </c>
      <c r="Q268" s="4">
        <f>SUBTOTAL(109,Table6[casual])</f>
        <v>4921</v>
      </c>
      <c r="R268" s="4">
        <f>SUBTOTAL(109,Table6[registered])</f>
        <v>53383</v>
      </c>
      <c r="S268" s="4">
        <f>SUBTOTAL(109,Table6[cnt])</f>
        <v>58304</v>
      </c>
    </row>
    <row r="269" spans="1:19">
      <c r="A269" s="4">
        <v>268</v>
      </c>
      <c r="B269" s="5">
        <v>40555</v>
      </c>
      <c r="C269" s="4">
        <v>1</v>
      </c>
      <c r="D269" s="4">
        <v>0</v>
      </c>
      <c r="E269" s="4">
        <v>1</v>
      </c>
      <c r="F269" s="4">
        <v>14</v>
      </c>
      <c r="G269" s="4" t="b">
        <v>0</v>
      </c>
      <c r="H269" s="4">
        <v>3</v>
      </c>
      <c r="I269" s="4">
        <v>1</v>
      </c>
      <c r="J269" s="4">
        <v>0.2</v>
      </c>
      <c r="K269" s="4">
        <v>0.18179999999999999</v>
      </c>
      <c r="L269" s="4">
        <v>0.47</v>
      </c>
      <c r="M269" s="4">
        <v>0.32840000000000003</v>
      </c>
      <c r="N269" s="4">
        <v>0</v>
      </c>
      <c r="O269" s="4">
        <v>44</v>
      </c>
      <c r="P269" s="4">
        <v>44</v>
      </c>
      <c r="Q269" s="4">
        <f>SUBTOTAL(109,Table6[casual])</f>
        <v>4921</v>
      </c>
      <c r="R269" s="4">
        <f>SUBTOTAL(109,Table6[registered])</f>
        <v>53383</v>
      </c>
      <c r="S269" s="4">
        <f>SUBTOTAL(109,Table6[cnt])</f>
        <v>58304</v>
      </c>
    </row>
    <row r="270" spans="1:19">
      <c r="A270" s="4">
        <v>269</v>
      </c>
      <c r="B270" s="5">
        <v>40555</v>
      </c>
      <c r="C270" s="4">
        <v>1</v>
      </c>
      <c r="D270" s="4">
        <v>0</v>
      </c>
      <c r="E270" s="4">
        <v>1</v>
      </c>
      <c r="F270" s="4">
        <v>15</v>
      </c>
      <c r="G270" s="4" t="b">
        <v>0</v>
      </c>
      <c r="H270" s="4">
        <v>3</v>
      </c>
      <c r="I270" s="4">
        <v>1</v>
      </c>
      <c r="J270" s="4">
        <v>0.2</v>
      </c>
      <c r="K270" s="4">
        <v>0.16669999999999999</v>
      </c>
      <c r="L270" s="4">
        <v>0.47</v>
      </c>
      <c r="M270" s="4">
        <v>0.41789999999999999</v>
      </c>
      <c r="N270" s="4">
        <v>1</v>
      </c>
      <c r="O270" s="4">
        <v>48</v>
      </c>
      <c r="P270" s="4">
        <v>49</v>
      </c>
      <c r="Q270" s="4">
        <f>SUBTOTAL(109,Table6[casual])</f>
        <v>4921</v>
      </c>
      <c r="R270" s="4">
        <f>SUBTOTAL(109,Table6[registered])</f>
        <v>53383</v>
      </c>
      <c r="S270" s="4">
        <f>SUBTOTAL(109,Table6[cnt])</f>
        <v>58304</v>
      </c>
    </row>
    <row r="271" spans="1:19">
      <c r="A271" s="4">
        <v>270</v>
      </c>
      <c r="B271" s="5">
        <v>40555</v>
      </c>
      <c r="C271" s="4">
        <v>1</v>
      </c>
      <c r="D271" s="4">
        <v>0</v>
      </c>
      <c r="E271" s="4">
        <v>1</v>
      </c>
      <c r="F271" s="4">
        <v>16</v>
      </c>
      <c r="G271" s="4" t="b">
        <v>0</v>
      </c>
      <c r="H271" s="4">
        <v>3</v>
      </c>
      <c r="I271" s="4">
        <v>1</v>
      </c>
      <c r="J271" s="4">
        <v>0.22</v>
      </c>
      <c r="K271" s="4">
        <v>0.19700000000000001</v>
      </c>
      <c r="L271" s="4">
        <v>0.44</v>
      </c>
      <c r="M271" s="4">
        <v>0.32840000000000003</v>
      </c>
      <c r="N271" s="4">
        <v>5</v>
      </c>
      <c r="O271" s="4">
        <v>63</v>
      </c>
      <c r="P271" s="4">
        <v>68</v>
      </c>
      <c r="Q271" s="4">
        <f>SUBTOTAL(109,Table6[casual])</f>
        <v>4921</v>
      </c>
      <c r="R271" s="4">
        <f>SUBTOTAL(109,Table6[registered])</f>
        <v>53383</v>
      </c>
      <c r="S271" s="4">
        <f>SUBTOTAL(109,Table6[cnt])</f>
        <v>58304</v>
      </c>
    </row>
    <row r="272" spans="1:19">
      <c r="A272" s="4">
        <v>271</v>
      </c>
      <c r="B272" s="5">
        <v>40555</v>
      </c>
      <c r="C272" s="4">
        <v>1</v>
      </c>
      <c r="D272" s="4">
        <v>0</v>
      </c>
      <c r="E272" s="4">
        <v>1</v>
      </c>
      <c r="F272" s="4">
        <v>17</v>
      </c>
      <c r="G272" s="4" t="b">
        <v>0</v>
      </c>
      <c r="H272" s="4">
        <v>3</v>
      </c>
      <c r="I272" s="4">
        <v>1</v>
      </c>
      <c r="J272" s="4">
        <v>0.2</v>
      </c>
      <c r="K272" s="4">
        <v>0.18179999999999999</v>
      </c>
      <c r="L272" s="4">
        <v>0.47</v>
      </c>
      <c r="M272" s="4">
        <v>0.35820000000000002</v>
      </c>
      <c r="N272" s="4">
        <v>0</v>
      </c>
      <c r="O272" s="4">
        <v>139</v>
      </c>
      <c r="P272" s="4">
        <v>139</v>
      </c>
      <c r="Q272" s="4">
        <f>SUBTOTAL(109,Table6[casual])</f>
        <v>4921</v>
      </c>
      <c r="R272" s="4">
        <f>SUBTOTAL(109,Table6[registered])</f>
        <v>53383</v>
      </c>
      <c r="S272" s="4">
        <f>SUBTOTAL(109,Table6[cnt])</f>
        <v>58304</v>
      </c>
    </row>
    <row r="273" spans="1:19">
      <c r="A273" s="4">
        <v>272</v>
      </c>
      <c r="B273" s="5">
        <v>40555</v>
      </c>
      <c r="C273" s="4">
        <v>1</v>
      </c>
      <c r="D273" s="4">
        <v>0</v>
      </c>
      <c r="E273" s="4">
        <v>1</v>
      </c>
      <c r="F273" s="4">
        <v>18</v>
      </c>
      <c r="G273" s="4" t="b">
        <v>0</v>
      </c>
      <c r="H273" s="4">
        <v>3</v>
      </c>
      <c r="I273" s="4">
        <v>1</v>
      </c>
      <c r="J273" s="4">
        <v>0.2</v>
      </c>
      <c r="K273" s="4">
        <v>0.1515</v>
      </c>
      <c r="L273" s="4">
        <v>0.47</v>
      </c>
      <c r="M273" s="4">
        <v>0.52239999999999998</v>
      </c>
      <c r="N273" s="4">
        <v>2</v>
      </c>
      <c r="O273" s="4">
        <v>135</v>
      </c>
      <c r="P273" s="4">
        <v>137</v>
      </c>
      <c r="Q273" s="4">
        <f>SUBTOTAL(109,Table6[casual])</f>
        <v>4921</v>
      </c>
      <c r="R273" s="4">
        <f>SUBTOTAL(109,Table6[registered])</f>
        <v>53383</v>
      </c>
      <c r="S273" s="4">
        <f>SUBTOTAL(109,Table6[cnt])</f>
        <v>58304</v>
      </c>
    </row>
    <row r="274" spans="1:19">
      <c r="A274" s="4">
        <v>273</v>
      </c>
      <c r="B274" s="5">
        <v>40555</v>
      </c>
      <c r="C274" s="4">
        <v>1</v>
      </c>
      <c r="D274" s="4">
        <v>0</v>
      </c>
      <c r="E274" s="4">
        <v>1</v>
      </c>
      <c r="F274" s="4">
        <v>19</v>
      </c>
      <c r="G274" s="4" t="b">
        <v>0</v>
      </c>
      <c r="H274" s="4">
        <v>3</v>
      </c>
      <c r="I274" s="4">
        <v>1</v>
      </c>
      <c r="J274" s="4">
        <v>0.18</v>
      </c>
      <c r="K274" s="4">
        <v>0.1515</v>
      </c>
      <c r="L274" s="4">
        <v>0.47</v>
      </c>
      <c r="M274" s="4">
        <v>0.41789999999999999</v>
      </c>
      <c r="N274" s="4">
        <v>1</v>
      </c>
      <c r="O274" s="4">
        <v>82</v>
      </c>
      <c r="P274" s="4">
        <v>83</v>
      </c>
      <c r="Q274" s="4">
        <f>SUBTOTAL(109,Table6[casual])</f>
        <v>4921</v>
      </c>
      <c r="R274" s="4">
        <f>SUBTOTAL(109,Table6[registered])</f>
        <v>53383</v>
      </c>
      <c r="S274" s="4">
        <f>SUBTOTAL(109,Table6[cnt])</f>
        <v>58304</v>
      </c>
    </row>
    <row r="275" spans="1:19">
      <c r="A275" s="4">
        <v>274</v>
      </c>
      <c r="B275" s="5">
        <v>40555</v>
      </c>
      <c r="C275" s="4">
        <v>1</v>
      </c>
      <c r="D275" s="4">
        <v>0</v>
      </c>
      <c r="E275" s="4">
        <v>1</v>
      </c>
      <c r="F275" s="4">
        <v>20</v>
      </c>
      <c r="G275" s="4" t="b">
        <v>0</v>
      </c>
      <c r="H275" s="4">
        <v>3</v>
      </c>
      <c r="I275" s="4">
        <v>1</v>
      </c>
      <c r="J275" s="4">
        <v>0.16</v>
      </c>
      <c r="K275" s="4">
        <v>0.13639999999999999</v>
      </c>
      <c r="L275" s="4">
        <v>0.5</v>
      </c>
      <c r="M275" s="4">
        <v>0.32840000000000003</v>
      </c>
      <c r="N275" s="4">
        <v>2</v>
      </c>
      <c r="O275" s="4">
        <v>54</v>
      </c>
      <c r="P275" s="4">
        <v>56</v>
      </c>
      <c r="Q275" s="4">
        <f>SUBTOTAL(109,Table6[casual])</f>
        <v>4921</v>
      </c>
      <c r="R275" s="4">
        <f>SUBTOTAL(109,Table6[registered])</f>
        <v>53383</v>
      </c>
      <c r="S275" s="4">
        <f>SUBTOTAL(109,Table6[cnt])</f>
        <v>58304</v>
      </c>
    </row>
    <row r="276" spans="1:19">
      <c r="A276" s="4">
        <v>275</v>
      </c>
      <c r="B276" s="5">
        <v>40555</v>
      </c>
      <c r="C276" s="4">
        <v>1</v>
      </c>
      <c r="D276" s="4">
        <v>0</v>
      </c>
      <c r="E276" s="4">
        <v>1</v>
      </c>
      <c r="F276" s="4">
        <v>21</v>
      </c>
      <c r="G276" s="4" t="b">
        <v>0</v>
      </c>
      <c r="H276" s="4">
        <v>3</v>
      </c>
      <c r="I276" s="4">
        <v>1</v>
      </c>
      <c r="J276" s="4">
        <v>0.16</v>
      </c>
      <c r="K276" s="4">
        <v>0.13639999999999999</v>
      </c>
      <c r="L276" s="4">
        <v>0.55000000000000004</v>
      </c>
      <c r="M276" s="4">
        <v>0.32840000000000003</v>
      </c>
      <c r="N276" s="4">
        <v>0</v>
      </c>
      <c r="O276" s="4">
        <v>57</v>
      </c>
      <c r="P276" s="4">
        <v>57</v>
      </c>
      <c r="Q276" s="4">
        <f>SUBTOTAL(109,Table6[casual])</f>
        <v>4921</v>
      </c>
      <c r="R276" s="4">
        <f>SUBTOTAL(109,Table6[registered])</f>
        <v>53383</v>
      </c>
      <c r="S276" s="4">
        <f>SUBTOTAL(109,Table6[cnt])</f>
        <v>58304</v>
      </c>
    </row>
    <row r="277" spans="1:19">
      <c r="A277" s="4">
        <v>276</v>
      </c>
      <c r="B277" s="5">
        <v>40555</v>
      </c>
      <c r="C277" s="4">
        <v>1</v>
      </c>
      <c r="D277" s="4">
        <v>0</v>
      </c>
      <c r="E277" s="4">
        <v>1</v>
      </c>
      <c r="F277" s="4">
        <v>22</v>
      </c>
      <c r="G277" s="4" t="b">
        <v>0</v>
      </c>
      <c r="H277" s="4">
        <v>3</v>
      </c>
      <c r="I277" s="4">
        <v>1</v>
      </c>
      <c r="J277" s="4">
        <v>0.16</v>
      </c>
      <c r="K277" s="4">
        <v>0.1212</v>
      </c>
      <c r="L277" s="4">
        <v>0.55000000000000004</v>
      </c>
      <c r="M277" s="4">
        <v>0.44779999999999998</v>
      </c>
      <c r="N277" s="4">
        <v>1</v>
      </c>
      <c r="O277" s="4">
        <v>32</v>
      </c>
      <c r="P277" s="4">
        <v>33</v>
      </c>
      <c r="Q277" s="4">
        <f>SUBTOTAL(109,Table6[casual])</f>
        <v>4921</v>
      </c>
      <c r="R277" s="4">
        <f>SUBTOTAL(109,Table6[registered])</f>
        <v>53383</v>
      </c>
      <c r="S277" s="4">
        <f>SUBTOTAL(109,Table6[cnt])</f>
        <v>58304</v>
      </c>
    </row>
    <row r="278" spans="1:19">
      <c r="A278" s="4">
        <v>277</v>
      </c>
      <c r="B278" s="5">
        <v>40555</v>
      </c>
      <c r="C278" s="4">
        <v>1</v>
      </c>
      <c r="D278" s="4">
        <v>0</v>
      </c>
      <c r="E278" s="4">
        <v>1</v>
      </c>
      <c r="F278" s="4">
        <v>23</v>
      </c>
      <c r="G278" s="4" t="b">
        <v>0</v>
      </c>
      <c r="H278" s="4">
        <v>3</v>
      </c>
      <c r="I278" s="4">
        <v>1</v>
      </c>
      <c r="J278" s="4">
        <v>0.14000000000000001</v>
      </c>
      <c r="K278" s="4">
        <v>0.1061</v>
      </c>
      <c r="L278" s="4">
        <v>0.59</v>
      </c>
      <c r="M278" s="4">
        <v>0.41789999999999999</v>
      </c>
      <c r="N278" s="4">
        <v>1</v>
      </c>
      <c r="O278" s="4">
        <v>19</v>
      </c>
      <c r="P278" s="4">
        <v>20</v>
      </c>
      <c r="Q278" s="4">
        <f>SUBTOTAL(109,Table6[casual])</f>
        <v>4921</v>
      </c>
      <c r="R278" s="4">
        <f>SUBTOTAL(109,Table6[registered])</f>
        <v>53383</v>
      </c>
      <c r="S278" s="4">
        <f>SUBTOTAL(109,Table6[cnt])</f>
        <v>58304</v>
      </c>
    </row>
    <row r="279" spans="1:19">
      <c r="A279" s="4">
        <v>278</v>
      </c>
      <c r="B279" s="5">
        <v>40556</v>
      </c>
      <c r="C279" s="4">
        <v>1</v>
      </c>
      <c r="D279" s="4">
        <v>0</v>
      </c>
      <c r="E279" s="4">
        <v>1</v>
      </c>
      <c r="F279" s="4">
        <v>0</v>
      </c>
      <c r="G279" s="4" t="b">
        <v>0</v>
      </c>
      <c r="H279" s="4">
        <v>4</v>
      </c>
      <c r="I279" s="4">
        <v>1</v>
      </c>
      <c r="J279" s="4">
        <v>0.14000000000000001</v>
      </c>
      <c r="K279" s="4">
        <v>0.1212</v>
      </c>
      <c r="L279" s="4">
        <v>0.59</v>
      </c>
      <c r="M279" s="4">
        <v>0.28360000000000002</v>
      </c>
      <c r="N279" s="4">
        <v>1</v>
      </c>
      <c r="O279" s="4">
        <v>6</v>
      </c>
      <c r="P279" s="4">
        <v>7</v>
      </c>
      <c r="Q279" s="4">
        <f>SUBTOTAL(109,Table6[casual])</f>
        <v>4921</v>
      </c>
      <c r="R279" s="4">
        <f>SUBTOTAL(109,Table6[registered])</f>
        <v>53383</v>
      </c>
      <c r="S279" s="4">
        <f>SUBTOTAL(109,Table6[cnt])</f>
        <v>58304</v>
      </c>
    </row>
    <row r="280" spans="1:19">
      <c r="A280" s="4">
        <v>279</v>
      </c>
      <c r="B280" s="5">
        <v>40556</v>
      </c>
      <c r="C280" s="4">
        <v>1</v>
      </c>
      <c r="D280" s="4">
        <v>0</v>
      </c>
      <c r="E280" s="4">
        <v>1</v>
      </c>
      <c r="F280" s="4">
        <v>1</v>
      </c>
      <c r="G280" s="4" t="b">
        <v>0</v>
      </c>
      <c r="H280" s="4">
        <v>4</v>
      </c>
      <c r="I280" s="4">
        <v>1</v>
      </c>
      <c r="J280" s="4">
        <v>0.14000000000000001</v>
      </c>
      <c r="K280" s="4">
        <v>0.1212</v>
      </c>
      <c r="L280" s="4">
        <v>0.5</v>
      </c>
      <c r="M280" s="4">
        <v>0.28360000000000002</v>
      </c>
      <c r="N280" s="4">
        <v>0</v>
      </c>
      <c r="O280" s="4">
        <v>2</v>
      </c>
      <c r="P280" s="4">
        <v>2</v>
      </c>
      <c r="Q280" s="4">
        <f>SUBTOTAL(109,Table6[casual])</f>
        <v>4921</v>
      </c>
      <c r="R280" s="4">
        <f>SUBTOTAL(109,Table6[registered])</f>
        <v>53383</v>
      </c>
      <c r="S280" s="4">
        <f>SUBTOTAL(109,Table6[cnt])</f>
        <v>58304</v>
      </c>
    </row>
    <row r="281" spans="1:19">
      <c r="A281" s="4">
        <v>280</v>
      </c>
      <c r="B281" s="5">
        <v>40556</v>
      </c>
      <c r="C281" s="4">
        <v>1</v>
      </c>
      <c r="D281" s="4">
        <v>0</v>
      </c>
      <c r="E281" s="4">
        <v>1</v>
      </c>
      <c r="F281" s="4">
        <v>2</v>
      </c>
      <c r="G281" s="4" t="b">
        <v>0</v>
      </c>
      <c r="H281" s="4">
        <v>4</v>
      </c>
      <c r="I281" s="4">
        <v>1</v>
      </c>
      <c r="J281" s="4">
        <v>0.14000000000000001</v>
      </c>
      <c r="K281" s="4">
        <v>0.1212</v>
      </c>
      <c r="L281" s="4">
        <v>0.5</v>
      </c>
      <c r="M281" s="4">
        <v>0.35820000000000002</v>
      </c>
      <c r="N281" s="4">
        <v>0</v>
      </c>
      <c r="O281" s="4">
        <v>2</v>
      </c>
      <c r="P281" s="4">
        <v>2</v>
      </c>
      <c r="Q281" s="4">
        <f>SUBTOTAL(109,Table6[casual])</f>
        <v>4921</v>
      </c>
      <c r="R281" s="4">
        <f>SUBTOTAL(109,Table6[registered])</f>
        <v>53383</v>
      </c>
      <c r="S281" s="4">
        <f>SUBTOTAL(109,Table6[cnt])</f>
        <v>58304</v>
      </c>
    </row>
    <row r="282" spans="1:19">
      <c r="A282" s="4">
        <v>281</v>
      </c>
      <c r="B282" s="5">
        <v>40556</v>
      </c>
      <c r="C282" s="4">
        <v>1</v>
      </c>
      <c r="D282" s="4">
        <v>0</v>
      </c>
      <c r="E282" s="4">
        <v>1</v>
      </c>
      <c r="F282" s="4">
        <v>3</v>
      </c>
      <c r="G282" s="4" t="b">
        <v>0</v>
      </c>
      <c r="H282" s="4">
        <v>4</v>
      </c>
      <c r="I282" s="4">
        <v>1</v>
      </c>
      <c r="J282" s="4">
        <v>0.14000000000000001</v>
      </c>
      <c r="K282" s="4">
        <v>0.1212</v>
      </c>
      <c r="L282" s="4">
        <v>0.5</v>
      </c>
      <c r="M282" s="4">
        <v>0.32840000000000003</v>
      </c>
      <c r="N282" s="4">
        <v>0</v>
      </c>
      <c r="O282" s="4">
        <v>3</v>
      </c>
      <c r="P282" s="4">
        <v>3</v>
      </c>
      <c r="Q282" s="4">
        <f>SUBTOTAL(109,Table6[casual])</f>
        <v>4921</v>
      </c>
      <c r="R282" s="4">
        <f>SUBTOTAL(109,Table6[registered])</f>
        <v>53383</v>
      </c>
      <c r="S282" s="4">
        <f>SUBTOTAL(109,Table6[cnt])</f>
        <v>58304</v>
      </c>
    </row>
    <row r="283" spans="1:19">
      <c r="A283" s="4">
        <v>282</v>
      </c>
      <c r="B283" s="5">
        <v>40556</v>
      </c>
      <c r="C283" s="4">
        <v>1</v>
      </c>
      <c r="D283" s="4">
        <v>0</v>
      </c>
      <c r="E283" s="4">
        <v>1</v>
      </c>
      <c r="F283" s="4">
        <v>4</v>
      </c>
      <c r="G283" s="4" t="b">
        <v>0</v>
      </c>
      <c r="H283" s="4">
        <v>4</v>
      </c>
      <c r="I283" s="4">
        <v>1</v>
      </c>
      <c r="J283" s="4">
        <v>0.14000000000000001</v>
      </c>
      <c r="K283" s="4">
        <v>0.1212</v>
      </c>
      <c r="L283" s="4">
        <v>0.5</v>
      </c>
      <c r="M283" s="4">
        <v>0.25369999999999998</v>
      </c>
      <c r="N283" s="4">
        <v>0</v>
      </c>
      <c r="O283" s="4">
        <v>4</v>
      </c>
      <c r="P283" s="4">
        <v>4</v>
      </c>
      <c r="Q283" s="4">
        <f>SUBTOTAL(109,Table6[casual])</f>
        <v>4921</v>
      </c>
      <c r="R283" s="4">
        <f>SUBTOTAL(109,Table6[registered])</f>
        <v>53383</v>
      </c>
      <c r="S283" s="4">
        <f>SUBTOTAL(109,Table6[cnt])</f>
        <v>58304</v>
      </c>
    </row>
    <row r="284" spans="1:19">
      <c r="A284" s="4">
        <v>283</v>
      </c>
      <c r="B284" s="5">
        <v>40556</v>
      </c>
      <c r="C284" s="4">
        <v>1</v>
      </c>
      <c r="D284" s="4">
        <v>0</v>
      </c>
      <c r="E284" s="4">
        <v>1</v>
      </c>
      <c r="F284" s="4">
        <v>5</v>
      </c>
      <c r="G284" s="4" t="b">
        <v>0</v>
      </c>
      <c r="H284" s="4">
        <v>4</v>
      </c>
      <c r="I284" s="4">
        <v>1</v>
      </c>
      <c r="J284" s="4">
        <v>0.14000000000000001</v>
      </c>
      <c r="K284" s="4">
        <v>0.1212</v>
      </c>
      <c r="L284" s="4">
        <v>0.5</v>
      </c>
      <c r="M284" s="4">
        <v>0.29849999999999999</v>
      </c>
      <c r="N284" s="4">
        <v>0</v>
      </c>
      <c r="O284" s="4">
        <v>3</v>
      </c>
      <c r="P284" s="4">
        <v>3</v>
      </c>
      <c r="Q284" s="4">
        <f>SUBTOTAL(109,Table6[casual])</f>
        <v>4921</v>
      </c>
      <c r="R284" s="4">
        <f>SUBTOTAL(109,Table6[registered])</f>
        <v>53383</v>
      </c>
      <c r="S284" s="4">
        <f>SUBTOTAL(109,Table6[cnt])</f>
        <v>58304</v>
      </c>
    </row>
    <row r="285" spans="1:19">
      <c r="A285" s="4">
        <v>284</v>
      </c>
      <c r="B285" s="5">
        <v>40556</v>
      </c>
      <c r="C285" s="4">
        <v>1</v>
      </c>
      <c r="D285" s="4">
        <v>0</v>
      </c>
      <c r="E285" s="4">
        <v>1</v>
      </c>
      <c r="F285" s="4">
        <v>6</v>
      </c>
      <c r="G285" s="4" t="b">
        <v>0</v>
      </c>
      <c r="H285" s="4">
        <v>4</v>
      </c>
      <c r="I285" s="4">
        <v>1</v>
      </c>
      <c r="J285" s="4">
        <v>0.12</v>
      </c>
      <c r="K285" s="4">
        <v>0.1515</v>
      </c>
      <c r="L285" s="4">
        <v>0.54</v>
      </c>
      <c r="M285" s="4">
        <v>0.1343</v>
      </c>
      <c r="N285" s="4">
        <v>0</v>
      </c>
      <c r="O285" s="4">
        <v>28</v>
      </c>
      <c r="P285" s="4">
        <v>28</v>
      </c>
      <c r="Q285" s="4">
        <f>SUBTOTAL(109,Table6[casual])</f>
        <v>4921</v>
      </c>
      <c r="R285" s="4">
        <f>SUBTOTAL(109,Table6[registered])</f>
        <v>53383</v>
      </c>
      <c r="S285" s="4">
        <f>SUBTOTAL(109,Table6[cnt])</f>
        <v>58304</v>
      </c>
    </row>
    <row r="286" spans="1:19">
      <c r="A286" s="4">
        <v>285</v>
      </c>
      <c r="B286" s="5">
        <v>40556</v>
      </c>
      <c r="C286" s="4">
        <v>1</v>
      </c>
      <c r="D286" s="4">
        <v>0</v>
      </c>
      <c r="E286" s="4">
        <v>1</v>
      </c>
      <c r="F286" s="4">
        <v>7</v>
      </c>
      <c r="G286" s="4" t="b">
        <v>0</v>
      </c>
      <c r="H286" s="4">
        <v>4</v>
      </c>
      <c r="I286" s="4">
        <v>1</v>
      </c>
      <c r="J286" s="4">
        <v>0.12</v>
      </c>
      <c r="K286" s="4">
        <v>0.1515</v>
      </c>
      <c r="L286" s="4">
        <v>0.54</v>
      </c>
      <c r="M286" s="4">
        <v>0.1343</v>
      </c>
      <c r="N286" s="4">
        <v>0</v>
      </c>
      <c r="O286" s="4">
        <v>72</v>
      </c>
      <c r="P286" s="4">
        <v>72</v>
      </c>
      <c r="Q286" s="4">
        <f>SUBTOTAL(109,Table6[casual])</f>
        <v>4921</v>
      </c>
      <c r="R286" s="4">
        <f>SUBTOTAL(109,Table6[registered])</f>
        <v>53383</v>
      </c>
      <c r="S286" s="4">
        <f>SUBTOTAL(109,Table6[cnt])</f>
        <v>58304</v>
      </c>
    </row>
    <row r="287" spans="1:19">
      <c r="A287" s="4">
        <v>286</v>
      </c>
      <c r="B287" s="5">
        <v>40556</v>
      </c>
      <c r="C287" s="4">
        <v>1</v>
      </c>
      <c r="D287" s="4">
        <v>0</v>
      </c>
      <c r="E287" s="4">
        <v>1</v>
      </c>
      <c r="F287" s="4">
        <v>8</v>
      </c>
      <c r="G287" s="4" t="b">
        <v>0</v>
      </c>
      <c r="H287" s="4">
        <v>4</v>
      </c>
      <c r="I287" s="4">
        <v>1</v>
      </c>
      <c r="J287" s="4">
        <v>0.14000000000000001</v>
      </c>
      <c r="K287" s="4">
        <v>0.13639999999999999</v>
      </c>
      <c r="L287" s="4">
        <v>0.5</v>
      </c>
      <c r="M287" s="4">
        <v>0.19400000000000001</v>
      </c>
      <c r="N287" s="4">
        <v>5</v>
      </c>
      <c r="O287" s="4">
        <v>197</v>
      </c>
      <c r="P287" s="4">
        <v>202</v>
      </c>
      <c r="Q287" s="4">
        <f>SUBTOTAL(109,Table6[casual])</f>
        <v>4921</v>
      </c>
      <c r="R287" s="4">
        <f>SUBTOTAL(109,Table6[registered])</f>
        <v>53383</v>
      </c>
      <c r="S287" s="4">
        <f>SUBTOTAL(109,Table6[cnt])</f>
        <v>58304</v>
      </c>
    </row>
    <row r="288" spans="1:19">
      <c r="A288" s="4">
        <v>287</v>
      </c>
      <c r="B288" s="5">
        <v>40556</v>
      </c>
      <c r="C288" s="4">
        <v>1</v>
      </c>
      <c r="D288" s="4">
        <v>0</v>
      </c>
      <c r="E288" s="4">
        <v>1</v>
      </c>
      <c r="F288" s="4">
        <v>9</v>
      </c>
      <c r="G288" s="4" t="b">
        <v>0</v>
      </c>
      <c r="H288" s="4">
        <v>4</v>
      </c>
      <c r="I288" s="4">
        <v>1</v>
      </c>
      <c r="J288" s="4">
        <v>0.14000000000000001</v>
      </c>
      <c r="K288" s="4">
        <v>0.1212</v>
      </c>
      <c r="L288" s="4">
        <v>0.5</v>
      </c>
      <c r="M288" s="4">
        <v>0.32840000000000003</v>
      </c>
      <c r="N288" s="4">
        <v>2</v>
      </c>
      <c r="O288" s="4">
        <v>137</v>
      </c>
      <c r="P288" s="4">
        <v>139</v>
      </c>
      <c r="Q288" s="4">
        <f>SUBTOTAL(109,Table6[casual])</f>
        <v>4921</v>
      </c>
      <c r="R288" s="4">
        <f>SUBTOTAL(109,Table6[registered])</f>
        <v>53383</v>
      </c>
      <c r="S288" s="4">
        <f>SUBTOTAL(109,Table6[cnt])</f>
        <v>58304</v>
      </c>
    </row>
    <row r="289" spans="1:19">
      <c r="A289" s="4">
        <v>288</v>
      </c>
      <c r="B289" s="5">
        <v>40556</v>
      </c>
      <c r="C289" s="4">
        <v>1</v>
      </c>
      <c r="D289" s="4">
        <v>0</v>
      </c>
      <c r="E289" s="4">
        <v>1</v>
      </c>
      <c r="F289" s="4">
        <v>10</v>
      </c>
      <c r="G289" s="4" t="b">
        <v>0</v>
      </c>
      <c r="H289" s="4">
        <v>4</v>
      </c>
      <c r="I289" s="4">
        <v>2</v>
      </c>
      <c r="J289" s="4">
        <v>0.16</v>
      </c>
      <c r="K289" s="4">
        <v>0.13639999999999999</v>
      </c>
      <c r="L289" s="4">
        <v>0.5</v>
      </c>
      <c r="M289" s="4">
        <v>0.35820000000000002</v>
      </c>
      <c r="N289" s="4">
        <v>2</v>
      </c>
      <c r="O289" s="4">
        <v>36</v>
      </c>
      <c r="P289" s="4">
        <v>38</v>
      </c>
      <c r="Q289" s="4">
        <f>SUBTOTAL(109,Table6[casual])</f>
        <v>4921</v>
      </c>
      <c r="R289" s="4">
        <f>SUBTOTAL(109,Table6[registered])</f>
        <v>53383</v>
      </c>
      <c r="S289" s="4">
        <f>SUBTOTAL(109,Table6[cnt])</f>
        <v>58304</v>
      </c>
    </row>
    <row r="290" spans="1:19">
      <c r="A290" s="4">
        <v>289</v>
      </c>
      <c r="B290" s="5">
        <v>40556</v>
      </c>
      <c r="C290" s="4">
        <v>1</v>
      </c>
      <c r="D290" s="4">
        <v>0</v>
      </c>
      <c r="E290" s="4">
        <v>1</v>
      </c>
      <c r="F290" s="4">
        <v>11</v>
      </c>
      <c r="G290" s="4" t="b">
        <v>0</v>
      </c>
      <c r="H290" s="4">
        <v>4</v>
      </c>
      <c r="I290" s="4">
        <v>2</v>
      </c>
      <c r="J290" s="4">
        <v>0.2</v>
      </c>
      <c r="K290" s="4">
        <v>0.16669999999999999</v>
      </c>
      <c r="L290" s="4">
        <v>0.44</v>
      </c>
      <c r="M290" s="4">
        <v>0.44779999999999998</v>
      </c>
      <c r="N290" s="4">
        <v>4</v>
      </c>
      <c r="O290" s="4">
        <v>33</v>
      </c>
      <c r="P290" s="4">
        <v>37</v>
      </c>
      <c r="Q290" s="4">
        <f>SUBTOTAL(109,Table6[casual])</f>
        <v>4921</v>
      </c>
      <c r="R290" s="4">
        <f>SUBTOTAL(109,Table6[registered])</f>
        <v>53383</v>
      </c>
      <c r="S290" s="4">
        <f>SUBTOTAL(109,Table6[cnt])</f>
        <v>58304</v>
      </c>
    </row>
    <row r="291" spans="1:19">
      <c r="A291" s="4">
        <v>290</v>
      </c>
      <c r="B291" s="5">
        <v>40556</v>
      </c>
      <c r="C291" s="4">
        <v>1</v>
      </c>
      <c r="D291" s="4">
        <v>0</v>
      </c>
      <c r="E291" s="4">
        <v>1</v>
      </c>
      <c r="F291" s="4">
        <v>12</v>
      </c>
      <c r="G291" s="4" t="b">
        <v>0</v>
      </c>
      <c r="H291" s="4">
        <v>4</v>
      </c>
      <c r="I291" s="4">
        <v>1</v>
      </c>
      <c r="J291" s="4">
        <v>0.2</v>
      </c>
      <c r="K291" s="4">
        <v>0.16669999999999999</v>
      </c>
      <c r="L291" s="4">
        <v>0.44</v>
      </c>
      <c r="M291" s="4">
        <v>0.41789999999999999</v>
      </c>
      <c r="N291" s="4">
        <v>3</v>
      </c>
      <c r="O291" s="4">
        <v>49</v>
      </c>
      <c r="P291" s="4">
        <v>52</v>
      </c>
      <c r="Q291" s="4">
        <f>SUBTOTAL(109,Table6[casual])</f>
        <v>4921</v>
      </c>
      <c r="R291" s="4">
        <f>SUBTOTAL(109,Table6[registered])</f>
        <v>53383</v>
      </c>
      <c r="S291" s="4">
        <f>SUBTOTAL(109,Table6[cnt])</f>
        <v>58304</v>
      </c>
    </row>
    <row r="292" spans="1:19">
      <c r="A292" s="4">
        <v>291</v>
      </c>
      <c r="B292" s="5">
        <v>40556</v>
      </c>
      <c r="C292" s="4">
        <v>1</v>
      </c>
      <c r="D292" s="4">
        <v>0</v>
      </c>
      <c r="E292" s="4">
        <v>1</v>
      </c>
      <c r="F292" s="4">
        <v>13</v>
      </c>
      <c r="G292" s="4" t="b">
        <v>0</v>
      </c>
      <c r="H292" s="4">
        <v>4</v>
      </c>
      <c r="I292" s="4">
        <v>1</v>
      </c>
      <c r="J292" s="4">
        <v>0.22</v>
      </c>
      <c r="K292" s="4">
        <v>0.19700000000000001</v>
      </c>
      <c r="L292" s="4">
        <v>0.41</v>
      </c>
      <c r="M292" s="4">
        <v>0.44779999999999998</v>
      </c>
      <c r="N292" s="4">
        <v>2</v>
      </c>
      <c r="O292" s="4">
        <v>81</v>
      </c>
      <c r="P292" s="4">
        <v>83</v>
      </c>
      <c r="Q292" s="4">
        <f>SUBTOTAL(109,Table6[casual])</f>
        <v>4921</v>
      </c>
      <c r="R292" s="4">
        <f>SUBTOTAL(109,Table6[registered])</f>
        <v>53383</v>
      </c>
      <c r="S292" s="4">
        <f>SUBTOTAL(109,Table6[cnt])</f>
        <v>58304</v>
      </c>
    </row>
    <row r="293" spans="1:19">
      <c r="A293" s="4">
        <v>292</v>
      </c>
      <c r="B293" s="5">
        <v>40556</v>
      </c>
      <c r="C293" s="4">
        <v>1</v>
      </c>
      <c r="D293" s="4">
        <v>0</v>
      </c>
      <c r="E293" s="4">
        <v>1</v>
      </c>
      <c r="F293" s="4">
        <v>14</v>
      </c>
      <c r="G293" s="4" t="b">
        <v>0</v>
      </c>
      <c r="H293" s="4">
        <v>4</v>
      </c>
      <c r="I293" s="4">
        <v>1</v>
      </c>
      <c r="J293" s="4">
        <v>0.22</v>
      </c>
      <c r="K293" s="4">
        <v>0.19700000000000001</v>
      </c>
      <c r="L293" s="4">
        <v>0.41</v>
      </c>
      <c r="M293" s="4">
        <v>0.3881</v>
      </c>
      <c r="N293" s="4">
        <v>3</v>
      </c>
      <c r="O293" s="4">
        <v>39</v>
      </c>
      <c r="P293" s="4">
        <v>42</v>
      </c>
      <c r="Q293" s="4">
        <f>SUBTOTAL(109,Table6[casual])</f>
        <v>4921</v>
      </c>
      <c r="R293" s="4">
        <f>SUBTOTAL(109,Table6[registered])</f>
        <v>53383</v>
      </c>
      <c r="S293" s="4">
        <f>SUBTOTAL(109,Table6[cnt])</f>
        <v>58304</v>
      </c>
    </row>
    <row r="294" spans="1:19">
      <c r="A294" s="4">
        <v>293</v>
      </c>
      <c r="B294" s="5">
        <v>40556</v>
      </c>
      <c r="C294" s="4">
        <v>1</v>
      </c>
      <c r="D294" s="4">
        <v>0</v>
      </c>
      <c r="E294" s="4">
        <v>1</v>
      </c>
      <c r="F294" s="4">
        <v>15</v>
      </c>
      <c r="G294" s="4" t="b">
        <v>0</v>
      </c>
      <c r="H294" s="4">
        <v>4</v>
      </c>
      <c r="I294" s="4">
        <v>1</v>
      </c>
      <c r="J294" s="4">
        <v>0.24</v>
      </c>
      <c r="K294" s="4">
        <v>0.21210000000000001</v>
      </c>
      <c r="L294" s="4">
        <v>0.38</v>
      </c>
      <c r="M294" s="4">
        <v>0.29849999999999999</v>
      </c>
      <c r="N294" s="4">
        <v>5</v>
      </c>
      <c r="O294" s="4">
        <v>55</v>
      </c>
      <c r="P294" s="4">
        <v>60</v>
      </c>
      <c r="Q294" s="4">
        <f>SUBTOTAL(109,Table6[casual])</f>
        <v>4921</v>
      </c>
      <c r="R294" s="4">
        <f>SUBTOTAL(109,Table6[registered])</f>
        <v>53383</v>
      </c>
      <c r="S294" s="4">
        <f>SUBTOTAL(109,Table6[cnt])</f>
        <v>58304</v>
      </c>
    </row>
    <row r="295" spans="1:19">
      <c r="A295" s="4">
        <v>294</v>
      </c>
      <c r="B295" s="5">
        <v>40556</v>
      </c>
      <c r="C295" s="4">
        <v>1</v>
      </c>
      <c r="D295" s="4">
        <v>0</v>
      </c>
      <c r="E295" s="4">
        <v>1</v>
      </c>
      <c r="F295" s="4">
        <v>16</v>
      </c>
      <c r="G295" s="4" t="b">
        <v>0</v>
      </c>
      <c r="H295" s="4">
        <v>4</v>
      </c>
      <c r="I295" s="4">
        <v>1</v>
      </c>
      <c r="J295" s="4">
        <v>0.24</v>
      </c>
      <c r="K295" s="4">
        <v>0.21210000000000001</v>
      </c>
      <c r="L295" s="4">
        <v>0.38</v>
      </c>
      <c r="M295" s="4">
        <v>0.35820000000000002</v>
      </c>
      <c r="N295" s="4">
        <v>2</v>
      </c>
      <c r="O295" s="4">
        <v>76</v>
      </c>
      <c r="P295" s="4">
        <v>78</v>
      </c>
      <c r="Q295" s="4">
        <f>SUBTOTAL(109,Table6[casual])</f>
        <v>4921</v>
      </c>
      <c r="R295" s="4">
        <f>SUBTOTAL(109,Table6[registered])</f>
        <v>53383</v>
      </c>
      <c r="S295" s="4">
        <f>SUBTOTAL(109,Table6[cnt])</f>
        <v>58304</v>
      </c>
    </row>
    <row r="296" spans="1:19">
      <c r="A296" s="4">
        <v>295</v>
      </c>
      <c r="B296" s="5">
        <v>40556</v>
      </c>
      <c r="C296" s="4">
        <v>1</v>
      </c>
      <c r="D296" s="4">
        <v>0</v>
      </c>
      <c r="E296" s="4">
        <v>1</v>
      </c>
      <c r="F296" s="4">
        <v>17</v>
      </c>
      <c r="G296" s="4" t="b">
        <v>0</v>
      </c>
      <c r="H296" s="4">
        <v>4</v>
      </c>
      <c r="I296" s="4">
        <v>1</v>
      </c>
      <c r="J296" s="4">
        <v>0.2</v>
      </c>
      <c r="K296" s="4">
        <v>0.18179999999999999</v>
      </c>
      <c r="L296" s="4">
        <v>0.4</v>
      </c>
      <c r="M296" s="4">
        <v>0.28360000000000002</v>
      </c>
      <c r="N296" s="4">
        <v>4</v>
      </c>
      <c r="O296" s="4">
        <v>158</v>
      </c>
      <c r="P296" s="4">
        <v>162</v>
      </c>
      <c r="Q296" s="4">
        <f>SUBTOTAL(109,Table6[casual])</f>
        <v>4921</v>
      </c>
      <c r="R296" s="4">
        <f>SUBTOTAL(109,Table6[registered])</f>
        <v>53383</v>
      </c>
      <c r="S296" s="4">
        <f>SUBTOTAL(109,Table6[cnt])</f>
        <v>58304</v>
      </c>
    </row>
    <row r="297" spans="1:19">
      <c r="A297" s="4">
        <v>296</v>
      </c>
      <c r="B297" s="5">
        <v>40556</v>
      </c>
      <c r="C297" s="4">
        <v>1</v>
      </c>
      <c r="D297" s="4">
        <v>0</v>
      </c>
      <c r="E297" s="4">
        <v>1</v>
      </c>
      <c r="F297" s="4">
        <v>18</v>
      </c>
      <c r="G297" s="4" t="b">
        <v>0</v>
      </c>
      <c r="H297" s="4">
        <v>4</v>
      </c>
      <c r="I297" s="4">
        <v>1</v>
      </c>
      <c r="J297" s="4">
        <v>0.2</v>
      </c>
      <c r="K297" s="4">
        <v>0.18179999999999999</v>
      </c>
      <c r="L297" s="4">
        <v>0.4</v>
      </c>
      <c r="M297" s="4">
        <v>0.32840000000000003</v>
      </c>
      <c r="N297" s="4">
        <v>3</v>
      </c>
      <c r="O297" s="4">
        <v>141</v>
      </c>
      <c r="P297" s="4">
        <v>144</v>
      </c>
      <c r="Q297" s="4">
        <f>SUBTOTAL(109,Table6[casual])</f>
        <v>4921</v>
      </c>
      <c r="R297" s="4">
        <f>SUBTOTAL(109,Table6[registered])</f>
        <v>53383</v>
      </c>
      <c r="S297" s="4">
        <f>SUBTOTAL(109,Table6[cnt])</f>
        <v>58304</v>
      </c>
    </row>
    <row r="298" spans="1:19">
      <c r="A298" s="4">
        <v>297</v>
      </c>
      <c r="B298" s="5">
        <v>40556</v>
      </c>
      <c r="C298" s="4">
        <v>1</v>
      </c>
      <c r="D298" s="4">
        <v>0</v>
      </c>
      <c r="E298" s="4">
        <v>1</v>
      </c>
      <c r="F298" s="4">
        <v>19</v>
      </c>
      <c r="G298" s="4" t="b">
        <v>0</v>
      </c>
      <c r="H298" s="4">
        <v>4</v>
      </c>
      <c r="I298" s="4">
        <v>1</v>
      </c>
      <c r="J298" s="4">
        <v>0.16</v>
      </c>
      <c r="K298" s="4">
        <v>0.1515</v>
      </c>
      <c r="L298" s="4">
        <v>0.47</v>
      </c>
      <c r="M298" s="4">
        <v>0.25369999999999998</v>
      </c>
      <c r="N298" s="4">
        <v>1</v>
      </c>
      <c r="O298" s="4">
        <v>98</v>
      </c>
      <c r="P298" s="4">
        <v>99</v>
      </c>
      <c r="Q298" s="4">
        <f>SUBTOTAL(109,Table6[casual])</f>
        <v>4921</v>
      </c>
      <c r="R298" s="4">
        <f>SUBTOTAL(109,Table6[registered])</f>
        <v>53383</v>
      </c>
      <c r="S298" s="4">
        <f>SUBTOTAL(109,Table6[cnt])</f>
        <v>58304</v>
      </c>
    </row>
    <row r="299" spans="1:19">
      <c r="A299" s="4">
        <v>298</v>
      </c>
      <c r="B299" s="5">
        <v>40556</v>
      </c>
      <c r="C299" s="4">
        <v>1</v>
      </c>
      <c r="D299" s="4">
        <v>0</v>
      </c>
      <c r="E299" s="4">
        <v>1</v>
      </c>
      <c r="F299" s="4">
        <v>20</v>
      </c>
      <c r="G299" s="4" t="b">
        <v>0</v>
      </c>
      <c r="H299" s="4">
        <v>4</v>
      </c>
      <c r="I299" s="4">
        <v>1</v>
      </c>
      <c r="J299" s="4">
        <v>0.16</v>
      </c>
      <c r="K299" s="4">
        <v>0.1515</v>
      </c>
      <c r="L299" s="4">
        <v>0.47</v>
      </c>
      <c r="M299" s="4">
        <v>0.22389999999999999</v>
      </c>
      <c r="N299" s="4">
        <v>0</v>
      </c>
      <c r="O299" s="4">
        <v>64</v>
      </c>
      <c r="P299" s="4">
        <v>64</v>
      </c>
      <c r="Q299" s="4">
        <f>SUBTOTAL(109,Table6[casual])</f>
        <v>4921</v>
      </c>
      <c r="R299" s="4">
        <f>SUBTOTAL(109,Table6[registered])</f>
        <v>53383</v>
      </c>
      <c r="S299" s="4">
        <f>SUBTOTAL(109,Table6[cnt])</f>
        <v>58304</v>
      </c>
    </row>
    <row r="300" spans="1:19">
      <c r="A300" s="4">
        <v>299</v>
      </c>
      <c r="B300" s="5">
        <v>40556</v>
      </c>
      <c r="C300" s="4">
        <v>1</v>
      </c>
      <c r="D300" s="4">
        <v>0</v>
      </c>
      <c r="E300" s="4">
        <v>1</v>
      </c>
      <c r="F300" s="4">
        <v>21</v>
      </c>
      <c r="G300" s="4" t="b">
        <v>0</v>
      </c>
      <c r="H300" s="4">
        <v>4</v>
      </c>
      <c r="I300" s="4">
        <v>1</v>
      </c>
      <c r="J300" s="4">
        <v>0.14000000000000001</v>
      </c>
      <c r="K300" s="4">
        <v>0.1212</v>
      </c>
      <c r="L300" s="4">
        <v>0.46</v>
      </c>
      <c r="M300" s="4">
        <v>0.29849999999999999</v>
      </c>
      <c r="N300" s="4">
        <v>0</v>
      </c>
      <c r="O300" s="4">
        <v>40</v>
      </c>
      <c r="P300" s="4">
        <v>40</v>
      </c>
      <c r="Q300" s="4">
        <f>SUBTOTAL(109,Table6[casual])</f>
        <v>4921</v>
      </c>
      <c r="R300" s="4">
        <f>SUBTOTAL(109,Table6[registered])</f>
        <v>53383</v>
      </c>
      <c r="S300" s="4">
        <f>SUBTOTAL(109,Table6[cnt])</f>
        <v>58304</v>
      </c>
    </row>
    <row r="301" spans="1:19">
      <c r="A301" s="4">
        <v>300</v>
      </c>
      <c r="B301" s="5">
        <v>40556</v>
      </c>
      <c r="C301" s="4">
        <v>1</v>
      </c>
      <c r="D301" s="4">
        <v>0</v>
      </c>
      <c r="E301" s="4">
        <v>1</v>
      </c>
      <c r="F301" s="4">
        <v>22</v>
      </c>
      <c r="G301" s="4" t="b">
        <v>0</v>
      </c>
      <c r="H301" s="4">
        <v>4</v>
      </c>
      <c r="I301" s="4">
        <v>1</v>
      </c>
      <c r="J301" s="4">
        <v>0.14000000000000001</v>
      </c>
      <c r="K301" s="4">
        <v>0.1212</v>
      </c>
      <c r="L301" s="4">
        <v>0.46</v>
      </c>
      <c r="M301" s="4">
        <v>0.32840000000000003</v>
      </c>
      <c r="N301" s="4">
        <v>0</v>
      </c>
      <c r="O301" s="4">
        <v>30</v>
      </c>
      <c r="P301" s="4">
        <v>30</v>
      </c>
      <c r="Q301" s="4">
        <f>SUBTOTAL(109,Table6[casual])</f>
        <v>4921</v>
      </c>
      <c r="R301" s="4">
        <f>SUBTOTAL(109,Table6[registered])</f>
        <v>53383</v>
      </c>
      <c r="S301" s="4">
        <f>SUBTOTAL(109,Table6[cnt])</f>
        <v>58304</v>
      </c>
    </row>
    <row r="302" spans="1:19">
      <c r="A302" s="4">
        <v>301</v>
      </c>
      <c r="B302" s="5">
        <v>40556</v>
      </c>
      <c r="C302" s="4">
        <v>1</v>
      </c>
      <c r="D302" s="4">
        <v>0</v>
      </c>
      <c r="E302" s="4">
        <v>1</v>
      </c>
      <c r="F302" s="4">
        <v>23</v>
      </c>
      <c r="G302" s="4" t="b">
        <v>0</v>
      </c>
      <c r="H302" s="4">
        <v>4</v>
      </c>
      <c r="I302" s="4">
        <v>1</v>
      </c>
      <c r="J302" s="4">
        <v>0.12</v>
      </c>
      <c r="K302" s="4">
        <v>0.13639999999999999</v>
      </c>
      <c r="L302" s="4">
        <v>0.5</v>
      </c>
      <c r="M302" s="4">
        <v>0.19400000000000001</v>
      </c>
      <c r="N302" s="4">
        <v>1</v>
      </c>
      <c r="O302" s="4">
        <v>14</v>
      </c>
      <c r="P302" s="4">
        <v>15</v>
      </c>
      <c r="Q302" s="4">
        <f>SUBTOTAL(109,Table6[casual])</f>
        <v>4921</v>
      </c>
      <c r="R302" s="4">
        <f>SUBTOTAL(109,Table6[registered])</f>
        <v>53383</v>
      </c>
      <c r="S302" s="4">
        <f>SUBTOTAL(109,Table6[cnt])</f>
        <v>58304</v>
      </c>
    </row>
    <row r="303" spans="1:19">
      <c r="A303" s="4">
        <v>302</v>
      </c>
      <c r="B303" s="5">
        <v>40557</v>
      </c>
      <c r="C303" s="4">
        <v>1</v>
      </c>
      <c r="D303" s="4">
        <v>0</v>
      </c>
      <c r="E303" s="4">
        <v>1</v>
      </c>
      <c r="F303" s="4">
        <v>0</v>
      </c>
      <c r="G303" s="4" t="b">
        <v>0</v>
      </c>
      <c r="H303" s="4">
        <v>5</v>
      </c>
      <c r="I303" s="4">
        <v>1</v>
      </c>
      <c r="J303" s="4">
        <v>0.12</v>
      </c>
      <c r="K303" s="4">
        <v>0.13639999999999999</v>
      </c>
      <c r="L303" s="4">
        <v>0.5</v>
      </c>
      <c r="M303" s="4">
        <v>0.19400000000000001</v>
      </c>
      <c r="N303" s="4">
        <v>0</v>
      </c>
      <c r="O303" s="4">
        <v>14</v>
      </c>
      <c r="P303" s="4">
        <v>14</v>
      </c>
      <c r="Q303" s="4">
        <f>SUBTOTAL(109,Table6[casual])</f>
        <v>4921</v>
      </c>
      <c r="R303" s="4">
        <f>SUBTOTAL(109,Table6[registered])</f>
        <v>53383</v>
      </c>
      <c r="S303" s="4">
        <f>SUBTOTAL(109,Table6[cnt])</f>
        <v>58304</v>
      </c>
    </row>
    <row r="304" spans="1:19">
      <c r="A304" s="4">
        <v>303</v>
      </c>
      <c r="B304" s="5">
        <v>40557</v>
      </c>
      <c r="C304" s="4">
        <v>1</v>
      </c>
      <c r="D304" s="4">
        <v>0</v>
      </c>
      <c r="E304" s="4">
        <v>1</v>
      </c>
      <c r="F304" s="4">
        <v>1</v>
      </c>
      <c r="G304" s="4" t="b">
        <v>0</v>
      </c>
      <c r="H304" s="4">
        <v>5</v>
      </c>
      <c r="I304" s="4">
        <v>1</v>
      </c>
      <c r="J304" s="4">
        <v>0.1</v>
      </c>
      <c r="K304" s="4">
        <v>0.1212</v>
      </c>
      <c r="L304" s="4">
        <v>0.54</v>
      </c>
      <c r="M304" s="4">
        <v>0.16420000000000001</v>
      </c>
      <c r="N304" s="4">
        <v>0</v>
      </c>
      <c r="O304" s="4">
        <v>5</v>
      </c>
      <c r="P304" s="4">
        <v>5</v>
      </c>
      <c r="Q304" s="4">
        <f>SUBTOTAL(109,Table6[casual])</f>
        <v>4921</v>
      </c>
      <c r="R304" s="4">
        <f>SUBTOTAL(109,Table6[registered])</f>
        <v>53383</v>
      </c>
      <c r="S304" s="4">
        <f>SUBTOTAL(109,Table6[cnt])</f>
        <v>58304</v>
      </c>
    </row>
    <row r="305" spans="1:19">
      <c r="A305" s="4">
        <v>304</v>
      </c>
      <c r="B305" s="5">
        <v>40557</v>
      </c>
      <c r="C305" s="4">
        <v>1</v>
      </c>
      <c r="D305" s="4">
        <v>0</v>
      </c>
      <c r="E305" s="4">
        <v>1</v>
      </c>
      <c r="F305" s="4">
        <v>2</v>
      </c>
      <c r="G305" s="4" t="b">
        <v>0</v>
      </c>
      <c r="H305" s="4">
        <v>5</v>
      </c>
      <c r="I305" s="4">
        <v>1</v>
      </c>
      <c r="J305" s="4">
        <v>0.1</v>
      </c>
      <c r="K305" s="4">
        <v>0.1212</v>
      </c>
      <c r="L305" s="4">
        <v>0.54</v>
      </c>
      <c r="M305" s="4">
        <v>0.1343</v>
      </c>
      <c r="N305" s="4">
        <v>0</v>
      </c>
      <c r="O305" s="4">
        <v>1</v>
      </c>
      <c r="P305" s="4">
        <v>1</v>
      </c>
      <c r="Q305" s="4">
        <f>SUBTOTAL(109,Table6[casual])</f>
        <v>4921</v>
      </c>
      <c r="R305" s="4">
        <f>SUBTOTAL(109,Table6[registered])</f>
        <v>53383</v>
      </c>
      <c r="S305" s="4">
        <f>SUBTOTAL(109,Table6[cnt])</f>
        <v>58304</v>
      </c>
    </row>
    <row r="306" spans="1:19">
      <c r="A306" s="4">
        <v>305</v>
      </c>
      <c r="B306" s="5">
        <v>40557</v>
      </c>
      <c r="C306" s="4">
        <v>1</v>
      </c>
      <c r="D306" s="4">
        <v>0</v>
      </c>
      <c r="E306" s="4">
        <v>1</v>
      </c>
      <c r="F306" s="4">
        <v>3</v>
      </c>
      <c r="G306" s="4" t="b">
        <v>0</v>
      </c>
      <c r="H306" s="4">
        <v>5</v>
      </c>
      <c r="I306" s="4">
        <v>1</v>
      </c>
      <c r="J306" s="4">
        <v>0.1</v>
      </c>
      <c r="K306" s="4">
        <v>0.13639999999999999</v>
      </c>
      <c r="L306" s="4">
        <v>0.54</v>
      </c>
      <c r="M306" s="4">
        <v>0.1045</v>
      </c>
      <c r="N306" s="4">
        <v>0</v>
      </c>
      <c r="O306" s="4">
        <v>1</v>
      </c>
      <c r="P306" s="4">
        <v>1</v>
      </c>
      <c r="Q306" s="4">
        <f>SUBTOTAL(109,Table6[casual])</f>
        <v>4921</v>
      </c>
      <c r="R306" s="4">
        <f>SUBTOTAL(109,Table6[registered])</f>
        <v>53383</v>
      </c>
      <c r="S306" s="4">
        <f>SUBTOTAL(109,Table6[cnt])</f>
        <v>58304</v>
      </c>
    </row>
    <row r="307" spans="1:19">
      <c r="A307" s="4">
        <v>306</v>
      </c>
      <c r="B307" s="5">
        <v>40557</v>
      </c>
      <c r="C307" s="4">
        <v>1</v>
      </c>
      <c r="D307" s="4">
        <v>0</v>
      </c>
      <c r="E307" s="4">
        <v>1</v>
      </c>
      <c r="F307" s="4">
        <v>5</v>
      </c>
      <c r="G307" s="4" t="b">
        <v>0</v>
      </c>
      <c r="H307" s="4">
        <v>5</v>
      </c>
      <c r="I307" s="4">
        <v>1</v>
      </c>
      <c r="J307" s="4">
        <v>0.1</v>
      </c>
      <c r="K307" s="4">
        <v>0.13639999999999999</v>
      </c>
      <c r="L307" s="4">
        <v>0.54</v>
      </c>
      <c r="M307" s="4">
        <v>8.9599999999999999E-2</v>
      </c>
      <c r="N307" s="4">
        <v>0</v>
      </c>
      <c r="O307" s="4">
        <v>8</v>
      </c>
      <c r="P307" s="4">
        <v>8</v>
      </c>
      <c r="Q307" s="4">
        <f>SUBTOTAL(109,Table6[casual])</f>
        <v>4921</v>
      </c>
      <c r="R307" s="4">
        <f>SUBTOTAL(109,Table6[registered])</f>
        <v>53383</v>
      </c>
      <c r="S307" s="4">
        <f>SUBTOTAL(109,Table6[cnt])</f>
        <v>58304</v>
      </c>
    </row>
    <row r="308" spans="1:19">
      <c r="A308" s="4">
        <v>307</v>
      </c>
      <c r="B308" s="5">
        <v>40557</v>
      </c>
      <c r="C308" s="4">
        <v>1</v>
      </c>
      <c r="D308" s="4">
        <v>0</v>
      </c>
      <c r="E308" s="4">
        <v>1</v>
      </c>
      <c r="F308" s="4">
        <v>6</v>
      </c>
      <c r="G308" s="4" t="b">
        <v>0</v>
      </c>
      <c r="H308" s="4">
        <v>5</v>
      </c>
      <c r="I308" s="4">
        <v>1</v>
      </c>
      <c r="J308" s="4">
        <v>0.1</v>
      </c>
      <c r="K308" s="4">
        <v>0.18179999999999999</v>
      </c>
      <c r="L308" s="4">
        <v>0.54</v>
      </c>
      <c r="M308" s="4">
        <v>0</v>
      </c>
      <c r="N308" s="4">
        <v>0</v>
      </c>
      <c r="O308" s="4">
        <v>17</v>
      </c>
      <c r="P308" s="4">
        <v>17</v>
      </c>
      <c r="Q308" s="4">
        <f>SUBTOTAL(109,Table6[casual])</f>
        <v>4921</v>
      </c>
      <c r="R308" s="4">
        <f>SUBTOTAL(109,Table6[registered])</f>
        <v>53383</v>
      </c>
      <c r="S308" s="4">
        <f>SUBTOTAL(109,Table6[cnt])</f>
        <v>58304</v>
      </c>
    </row>
    <row r="309" spans="1:19">
      <c r="A309" s="4">
        <v>308</v>
      </c>
      <c r="B309" s="5">
        <v>40557</v>
      </c>
      <c r="C309" s="4">
        <v>1</v>
      </c>
      <c r="D309" s="4">
        <v>0</v>
      </c>
      <c r="E309" s="4">
        <v>1</v>
      </c>
      <c r="F309" s="4">
        <v>7</v>
      </c>
      <c r="G309" s="4" t="b">
        <v>0</v>
      </c>
      <c r="H309" s="4">
        <v>5</v>
      </c>
      <c r="I309" s="4">
        <v>1</v>
      </c>
      <c r="J309" s="4">
        <v>0.1</v>
      </c>
      <c r="K309" s="4">
        <v>0.1212</v>
      </c>
      <c r="L309" s="4">
        <v>0.74</v>
      </c>
      <c r="M309" s="4">
        <v>0.16420000000000001</v>
      </c>
      <c r="N309" s="4">
        <v>0</v>
      </c>
      <c r="O309" s="4">
        <v>70</v>
      </c>
      <c r="P309" s="4">
        <v>70</v>
      </c>
      <c r="Q309" s="4">
        <f>SUBTOTAL(109,Table6[casual])</f>
        <v>4921</v>
      </c>
      <c r="R309" s="4">
        <f>SUBTOTAL(109,Table6[registered])</f>
        <v>53383</v>
      </c>
      <c r="S309" s="4">
        <f>SUBTOTAL(109,Table6[cnt])</f>
        <v>58304</v>
      </c>
    </row>
    <row r="310" spans="1:19">
      <c r="A310" s="4">
        <v>309</v>
      </c>
      <c r="B310" s="5">
        <v>40557</v>
      </c>
      <c r="C310" s="4">
        <v>1</v>
      </c>
      <c r="D310" s="4">
        <v>0</v>
      </c>
      <c r="E310" s="4">
        <v>1</v>
      </c>
      <c r="F310" s="4">
        <v>8</v>
      </c>
      <c r="G310" s="4" t="b">
        <v>0</v>
      </c>
      <c r="H310" s="4">
        <v>5</v>
      </c>
      <c r="I310" s="4">
        <v>1</v>
      </c>
      <c r="J310" s="4">
        <v>0.12</v>
      </c>
      <c r="K310" s="4">
        <v>0.16669999999999999</v>
      </c>
      <c r="L310" s="4">
        <v>0.68</v>
      </c>
      <c r="M310" s="4">
        <v>0</v>
      </c>
      <c r="N310" s="4">
        <v>2</v>
      </c>
      <c r="O310" s="4">
        <v>156</v>
      </c>
      <c r="P310" s="4">
        <v>158</v>
      </c>
      <c r="Q310" s="4">
        <f>SUBTOTAL(109,Table6[casual])</f>
        <v>4921</v>
      </c>
      <c r="R310" s="4">
        <f>SUBTOTAL(109,Table6[registered])</f>
        <v>53383</v>
      </c>
      <c r="S310" s="4">
        <f>SUBTOTAL(109,Table6[cnt])</f>
        <v>58304</v>
      </c>
    </row>
    <row r="311" spans="1:19">
      <c r="A311" s="4">
        <v>310</v>
      </c>
      <c r="B311" s="5">
        <v>40557</v>
      </c>
      <c r="C311" s="4">
        <v>1</v>
      </c>
      <c r="D311" s="4">
        <v>0</v>
      </c>
      <c r="E311" s="4">
        <v>1</v>
      </c>
      <c r="F311" s="4">
        <v>9</v>
      </c>
      <c r="G311" s="4" t="b">
        <v>0</v>
      </c>
      <c r="H311" s="4">
        <v>5</v>
      </c>
      <c r="I311" s="4">
        <v>1</v>
      </c>
      <c r="J311" s="4">
        <v>0.14000000000000001</v>
      </c>
      <c r="K311" s="4">
        <v>0.1515</v>
      </c>
      <c r="L311" s="4">
        <v>0.69</v>
      </c>
      <c r="M311" s="4">
        <v>0.1343</v>
      </c>
      <c r="N311" s="4">
        <v>0</v>
      </c>
      <c r="O311" s="4">
        <v>117</v>
      </c>
      <c r="P311" s="4">
        <v>117</v>
      </c>
      <c r="Q311" s="4">
        <f>SUBTOTAL(109,Table6[casual])</f>
        <v>4921</v>
      </c>
      <c r="R311" s="4">
        <f>SUBTOTAL(109,Table6[registered])</f>
        <v>53383</v>
      </c>
      <c r="S311" s="4">
        <f>SUBTOTAL(109,Table6[cnt])</f>
        <v>58304</v>
      </c>
    </row>
    <row r="312" spans="1:19">
      <c r="A312" s="4">
        <v>311</v>
      </c>
      <c r="B312" s="5">
        <v>40557</v>
      </c>
      <c r="C312" s="4">
        <v>1</v>
      </c>
      <c r="D312" s="4">
        <v>0</v>
      </c>
      <c r="E312" s="4">
        <v>1</v>
      </c>
      <c r="F312" s="4">
        <v>10</v>
      </c>
      <c r="G312" s="4" t="b">
        <v>0</v>
      </c>
      <c r="H312" s="4">
        <v>5</v>
      </c>
      <c r="I312" s="4">
        <v>1</v>
      </c>
      <c r="J312" s="4">
        <v>0.18</v>
      </c>
      <c r="K312" s="4">
        <v>0.18179999999999999</v>
      </c>
      <c r="L312" s="4">
        <v>0.55000000000000004</v>
      </c>
      <c r="M312" s="4">
        <v>0.19400000000000001</v>
      </c>
      <c r="N312" s="4">
        <v>4</v>
      </c>
      <c r="O312" s="4">
        <v>40</v>
      </c>
      <c r="P312" s="4">
        <v>44</v>
      </c>
      <c r="Q312" s="4">
        <f>SUBTOTAL(109,Table6[casual])</f>
        <v>4921</v>
      </c>
      <c r="R312" s="4">
        <f>SUBTOTAL(109,Table6[registered])</f>
        <v>53383</v>
      </c>
      <c r="S312" s="4">
        <f>SUBTOTAL(109,Table6[cnt])</f>
        <v>58304</v>
      </c>
    </row>
    <row r="313" spans="1:19">
      <c r="A313" s="4">
        <v>312</v>
      </c>
      <c r="B313" s="5">
        <v>40557</v>
      </c>
      <c r="C313" s="4">
        <v>1</v>
      </c>
      <c r="D313" s="4">
        <v>0</v>
      </c>
      <c r="E313" s="4">
        <v>1</v>
      </c>
      <c r="F313" s="4">
        <v>11</v>
      </c>
      <c r="G313" s="4" t="b">
        <v>0</v>
      </c>
      <c r="H313" s="4">
        <v>5</v>
      </c>
      <c r="I313" s="4">
        <v>1</v>
      </c>
      <c r="J313" s="4">
        <v>0.18</v>
      </c>
      <c r="K313" s="4">
        <v>0.16669999999999999</v>
      </c>
      <c r="L313" s="4">
        <v>0.51</v>
      </c>
      <c r="M313" s="4">
        <v>0.28360000000000002</v>
      </c>
      <c r="N313" s="4">
        <v>6</v>
      </c>
      <c r="O313" s="4">
        <v>47</v>
      </c>
      <c r="P313" s="4">
        <v>53</v>
      </c>
      <c r="Q313" s="4">
        <f>SUBTOTAL(109,Table6[casual])</f>
        <v>4921</v>
      </c>
      <c r="R313" s="4">
        <f>SUBTOTAL(109,Table6[registered])</f>
        <v>53383</v>
      </c>
      <c r="S313" s="4">
        <f>SUBTOTAL(109,Table6[cnt])</f>
        <v>58304</v>
      </c>
    </row>
    <row r="314" spans="1:19">
      <c r="A314" s="4">
        <v>313</v>
      </c>
      <c r="B314" s="5">
        <v>40557</v>
      </c>
      <c r="C314" s="4">
        <v>1</v>
      </c>
      <c r="D314" s="4">
        <v>0</v>
      </c>
      <c r="E314" s="4">
        <v>1</v>
      </c>
      <c r="F314" s="4">
        <v>12</v>
      </c>
      <c r="G314" s="4" t="b">
        <v>0</v>
      </c>
      <c r="H314" s="4">
        <v>5</v>
      </c>
      <c r="I314" s="4">
        <v>1</v>
      </c>
      <c r="J314" s="4">
        <v>0.2</v>
      </c>
      <c r="K314" s="4">
        <v>0.19700000000000001</v>
      </c>
      <c r="L314" s="4">
        <v>0.44</v>
      </c>
      <c r="M314" s="4">
        <v>0.25369999999999998</v>
      </c>
      <c r="N314" s="4">
        <v>2</v>
      </c>
      <c r="O314" s="4">
        <v>59</v>
      </c>
      <c r="P314" s="4">
        <v>61</v>
      </c>
      <c r="Q314" s="4">
        <f>SUBTOTAL(109,Table6[casual])</f>
        <v>4921</v>
      </c>
      <c r="R314" s="4">
        <f>SUBTOTAL(109,Table6[registered])</f>
        <v>53383</v>
      </c>
      <c r="S314" s="4">
        <f>SUBTOTAL(109,Table6[cnt])</f>
        <v>58304</v>
      </c>
    </row>
    <row r="315" spans="1:19">
      <c r="A315" s="4">
        <v>314</v>
      </c>
      <c r="B315" s="5">
        <v>40557</v>
      </c>
      <c r="C315" s="4">
        <v>1</v>
      </c>
      <c r="D315" s="4">
        <v>0</v>
      </c>
      <c r="E315" s="4">
        <v>1</v>
      </c>
      <c r="F315" s="4">
        <v>13</v>
      </c>
      <c r="G315" s="4" t="b">
        <v>0</v>
      </c>
      <c r="H315" s="4">
        <v>5</v>
      </c>
      <c r="I315" s="4">
        <v>1</v>
      </c>
      <c r="J315" s="4">
        <v>0.22</v>
      </c>
      <c r="K315" s="4">
        <v>0.19700000000000001</v>
      </c>
      <c r="L315" s="4">
        <v>0.37</v>
      </c>
      <c r="M315" s="4">
        <v>0.3881</v>
      </c>
      <c r="N315" s="4">
        <v>4</v>
      </c>
      <c r="O315" s="4">
        <v>73</v>
      </c>
      <c r="P315" s="4">
        <v>77</v>
      </c>
      <c r="Q315" s="4">
        <f>SUBTOTAL(109,Table6[casual])</f>
        <v>4921</v>
      </c>
      <c r="R315" s="4">
        <f>SUBTOTAL(109,Table6[registered])</f>
        <v>53383</v>
      </c>
      <c r="S315" s="4">
        <f>SUBTOTAL(109,Table6[cnt])</f>
        <v>58304</v>
      </c>
    </row>
    <row r="316" spans="1:19">
      <c r="A316" s="4">
        <v>315</v>
      </c>
      <c r="B316" s="5">
        <v>40557</v>
      </c>
      <c r="C316" s="4">
        <v>1</v>
      </c>
      <c r="D316" s="4">
        <v>0</v>
      </c>
      <c r="E316" s="4">
        <v>1</v>
      </c>
      <c r="F316" s="4">
        <v>14</v>
      </c>
      <c r="G316" s="4" t="b">
        <v>0</v>
      </c>
      <c r="H316" s="4">
        <v>5</v>
      </c>
      <c r="I316" s="4">
        <v>1</v>
      </c>
      <c r="J316" s="4">
        <v>0.22</v>
      </c>
      <c r="K316" s="4">
        <v>0.21210000000000001</v>
      </c>
      <c r="L316" s="4">
        <v>0.41</v>
      </c>
      <c r="M316" s="4">
        <v>0.28360000000000002</v>
      </c>
      <c r="N316" s="4">
        <v>5</v>
      </c>
      <c r="O316" s="4">
        <v>59</v>
      </c>
      <c r="P316" s="4">
        <v>64</v>
      </c>
      <c r="Q316" s="4">
        <f>SUBTOTAL(109,Table6[casual])</f>
        <v>4921</v>
      </c>
      <c r="R316" s="4">
        <f>SUBTOTAL(109,Table6[registered])</f>
        <v>53383</v>
      </c>
      <c r="S316" s="4">
        <f>SUBTOTAL(109,Table6[cnt])</f>
        <v>58304</v>
      </c>
    </row>
    <row r="317" spans="1:19">
      <c r="A317" s="4">
        <v>316</v>
      </c>
      <c r="B317" s="5">
        <v>40557</v>
      </c>
      <c r="C317" s="4">
        <v>1</v>
      </c>
      <c r="D317" s="4">
        <v>0</v>
      </c>
      <c r="E317" s="4">
        <v>1</v>
      </c>
      <c r="F317" s="4">
        <v>15</v>
      </c>
      <c r="G317" s="4" t="b">
        <v>0</v>
      </c>
      <c r="H317" s="4">
        <v>5</v>
      </c>
      <c r="I317" s="4">
        <v>1</v>
      </c>
      <c r="J317" s="4">
        <v>0.24</v>
      </c>
      <c r="K317" s="4">
        <v>0.2424</v>
      </c>
      <c r="L317" s="4">
        <v>0.38</v>
      </c>
      <c r="M317" s="4">
        <v>0.16420000000000001</v>
      </c>
      <c r="N317" s="4">
        <v>9</v>
      </c>
      <c r="O317" s="4">
        <v>59</v>
      </c>
      <c r="P317" s="4">
        <v>68</v>
      </c>
      <c r="Q317" s="4">
        <f>SUBTOTAL(109,Table6[casual])</f>
        <v>4921</v>
      </c>
      <c r="R317" s="4">
        <f>SUBTOTAL(109,Table6[registered])</f>
        <v>53383</v>
      </c>
      <c r="S317" s="4">
        <f>SUBTOTAL(109,Table6[cnt])</f>
        <v>58304</v>
      </c>
    </row>
    <row r="318" spans="1:19">
      <c r="A318" s="4">
        <v>317</v>
      </c>
      <c r="B318" s="5">
        <v>40557</v>
      </c>
      <c r="C318" s="4">
        <v>1</v>
      </c>
      <c r="D318" s="4">
        <v>0</v>
      </c>
      <c r="E318" s="4">
        <v>1</v>
      </c>
      <c r="F318" s="4">
        <v>16</v>
      </c>
      <c r="G318" s="4" t="b">
        <v>0</v>
      </c>
      <c r="H318" s="4">
        <v>5</v>
      </c>
      <c r="I318" s="4">
        <v>1</v>
      </c>
      <c r="J318" s="4">
        <v>0.22</v>
      </c>
      <c r="K318" s="4">
        <v>0.2424</v>
      </c>
      <c r="L318" s="4">
        <v>0.41</v>
      </c>
      <c r="M318" s="4">
        <v>0.1045</v>
      </c>
      <c r="N318" s="4">
        <v>3</v>
      </c>
      <c r="O318" s="4">
        <v>87</v>
      </c>
      <c r="P318" s="4">
        <v>90</v>
      </c>
      <c r="Q318" s="4">
        <f>SUBTOTAL(109,Table6[casual])</f>
        <v>4921</v>
      </c>
      <c r="R318" s="4">
        <f>SUBTOTAL(109,Table6[registered])</f>
        <v>53383</v>
      </c>
      <c r="S318" s="4">
        <f>SUBTOTAL(109,Table6[cnt])</f>
        <v>58304</v>
      </c>
    </row>
    <row r="319" spans="1:19">
      <c r="A319" s="4">
        <v>318</v>
      </c>
      <c r="B319" s="5">
        <v>40557</v>
      </c>
      <c r="C319" s="4">
        <v>1</v>
      </c>
      <c r="D319" s="4">
        <v>0</v>
      </c>
      <c r="E319" s="4">
        <v>1</v>
      </c>
      <c r="F319" s="4">
        <v>17</v>
      </c>
      <c r="G319" s="4" t="b">
        <v>0</v>
      </c>
      <c r="H319" s="4">
        <v>5</v>
      </c>
      <c r="I319" s="4">
        <v>1</v>
      </c>
      <c r="J319" s="4">
        <v>0.22</v>
      </c>
      <c r="K319" s="4">
        <v>0.2273</v>
      </c>
      <c r="L319" s="4">
        <v>0.41</v>
      </c>
      <c r="M319" s="4">
        <v>0.16420000000000001</v>
      </c>
      <c r="N319" s="4">
        <v>4</v>
      </c>
      <c r="O319" s="4">
        <v>155</v>
      </c>
      <c r="P319" s="4">
        <v>159</v>
      </c>
      <c r="Q319" s="4">
        <f>SUBTOTAL(109,Table6[casual])</f>
        <v>4921</v>
      </c>
      <c r="R319" s="4">
        <f>SUBTOTAL(109,Table6[registered])</f>
        <v>53383</v>
      </c>
      <c r="S319" s="4">
        <f>SUBTOTAL(109,Table6[cnt])</f>
        <v>58304</v>
      </c>
    </row>
    <row r="320" spans="1:19">
      <c r="A320" s="4">
        <v>319</v>
      </c>
      <c r="B320" s="5">
        <v>40557</v>
      </c>
      <c r="C320" s="4">
        <v>1</v>
      </c>
      <c r="D320" s="4">
        <v>0</v>
      </c>
      <c r="E320" s="4">
        <v>1</v>
      </c>
      <c r="F320" s="4">
        <v>18</v>
      </c>
      <c r="G320" s="4" t="b">
        <v>0</v>
      </c>
      <c r="H320" s="4">
        <v>5</v>
      </c>
      <c r="I320" s="4">
        <v>1</v>
      </c>
      <c r="J320" s="4">
        <v>0.2</v>
      </c>
      <c r="K320" s="4">
        <v>0.2576</v>
      </c>
      <c r="L320" s="4">
        <v>0.47</v>
      </c>
      <c r="M320" s="4">
        <v>0</v>
      </c>
      <c r="N320" s="4">
        <v>5</v>
      </c>
      <c r="O320" s="4">
        <v>134</v>
      </c>
      <c r="P320" s="4">
        <v>139</v>
      </c>
      <c r="Q320" s="4">
        <f>SUBTOTAL(109,Table6[casual])</f>
        <v>4921</v>
      </c>
      <c r="R320" s="4">
        <f>SUBTOTAL(109,Table6[registered])</f>
        <v>53383</v>
      </c>
      <c r="S320" s="4">
        <f>SUBTOTAL(109,Table6[cnt])</f>
        <v>58304</v>
      </c>
    </row>
    <row r="321" spans="1:19">
      <c r="A321" s="4">
        <v>320</v>
      </c>
      <c r="B321" s="5">
        <v>40557</v>
      </c>
      <c r="C321" s="4">
        <v>1</v>
      </c>
      <c r="D321" s="4">
        <v>0</v>
      </c>
      <c r="E321" s="4">
        <v>1</v>
      </c>
      <c r="F321" s="4">
        <v>19</v>
      </c>
      <c r="G321" s="4" t="b">
        <v>0</v>
      </c>
      <c r="H321" s="4">
        <v>5</v>
      </c>
      <c r="I321" s="4">
        <v>1</v>
      </c>
      <c r="J321" s="4">
        <v>0.16</v>
      </c>
      <c r="K321" s="4">
        <v>0.19700000000000001</v>
      </c>
      <c r="L321" s="4">
        <v>0.59</v>
      </c>
      <c r="M321" s="4">
        <v>8.9599999999999999E-2</v>
      </c>
      <c r="N321" s="4">
        <v>3</v>
      </c>
      <c r="O321" s="4">
        <v>89</v>
      </c>
      <c r="P321" s="4">
        <v>92</v>
      </c>
      <c r="Q321" s="4">
        <f>SUBTOTAL(109,Table6[casual])</f>
        <v>4921</v>
      </c>
      <c r="R321" s="4">
        <f>SUBTOTAL(109,Table6[registered])</f>
        <v>53383</v>
      </c>
      <c r="S321" s="4">
        <f>SUBTOTAL(109,Table6[cnt])</f>
        <v>58304</v>
      </c>
    </row>
    <row r="322" spans="1:19">
      <c r="A322" s="4">
        <v>321</v>
      </c>
      <c r="B322" s="5">
        <v>40557</v>
      </c>
      <c r="C322" s="4">
        <v>1</v>
      </c>
      <c r="D322" s="4">
        <v>0</v>
      </c>
      <c r="E322" s="4">
        <v>1</v>
      </c>
      <c r="F322" s="4">
        <v>20</v>
      </c>
      <c r="G322" s="4" t="b">
        <v>0</v>
      </c>
      <c r="H322" s="4">
        <v>5</v>
      </c>
      <c r="I322" s="4">
        <v>1</v>
      </c>
      <c r="J322" s="4">
        <v>0.18</v>
      </c>
      <c r="K322" s="4">
        <v>0.2424</v>
      </c>
      <c r="L322" s="4">
        <v>0.59</v>
      </c>
      <c r="M322" s="4">
        <v>0</v>
      </c>
      <c r="N322" s="4">
        <v>0</v>
      </c>
      <c r="O322" s="4">
        <v>68</v>
      </c>
      <c r="P322" s="4">
        <v>68</v>
      </c>
      <c r="Q322" s="4">
        <f>SUBTOTAL(109,Table6[casual])</f>
        <v>4921</v>
      </c>
      <c r="R322" s="4">
        <f>SUBTOTAL(109,Table6[registered])</f>
        <v>53383</v>
      </c>
      <c r="S322" s="4">
        <f>SUBTOTAL(109,Table6[cnt])</f>
        <v>58304</v>
      </c>
    </row>
    <row r="323" spans="1:19">
      <c r="A323" s="4">
        <v>322</v>
      </c>
      <c r="B323" s="5">
        <v>40557</v>
      </c>
      <c r="C323" s="4">
        <v>1</v>
      </c>
      <c r="D323" s="4">
        <v>0</v>
      </c>
      <c r="E323" s="4">
        <v>1</v>
      </c>
      <c r="F323" s="4">
        <v>21</v>
      </c>
      <c r="G323" s="4" t="b">
        <v>0</v>
      </c>
      <c r="H323" s="4">
        <v>5</v>
      </c>
      <c r="I323" s="4">
        <v>1</v>
      </c>
      <c r="J323" s="4">
        <v>0.16</v>
      </c>
      <c r="K323" s="4">
        <v>0.2273</v>
      </c>
      <c r="L323" s="4">
        <v>0.69</v>
      </c>
      <c r="M323" s="4">
        <v>0</v>
      </c>
      <c r="N323" s="4">
        <v>4</v>
      </c>
      <c r="O323" s="4">
        <v>48</v>
      </c>
      <c r="P323" s="4">
        <v>52</v>
      </c>
      <c r="Q323" s="4">
        <f>SUBTOTAL(109,Table6[casual])</f>
        <v>4921</v>
      </c>
      <c r="R323" s="4">
        <f>SUBTOTAL(109,Table6[registered])</f>
        <v>53383</v>
      </c>
      <c r="S323" s="4">
        <f>SUBTOTAL(109,Table6[cnt])</f>
        <v>58304</v>
      </c>
    </row>
    <row r="324" spans="1:19">
      <c r="A324" s="4">
        <v>323</v>
      </c>
      <c r="B324" s="5">
        <v>40557</v>
      </c>
      <c r="C324" s="4">
        <v>1</v>
      </c>
      <c r="D324" s="4">
        <v>0</v>
      </c>
      <c r="E324" s="4">
        <v>1</v>
      </c>
      <c r="F324" s="4">
        <v>22</v>
      </c>
      <c r="G324" s="4" t="b">
        <v>0</v>
      </c>
      <c r="H324" s="4">
        <v>5</v>
      </c>
      <c r="I324" s="4">
        <v>2</v>
      </c>
      <c r="J324" s="4">
        <v>0.16</v>
      </c>
      <c r="K324" s="4">
        <v>0.2273</v>
      </c>
      <c r="L324" s="4">
        <v>0.69</v>
      </c>
      <c r="M324" s="4">
        <v>0</v>
      </c>
      <c r="N324" s="4">
        <v>2</v>
      </c>
      <c r="O324" s="4">
        <v>34</v>
      </c>
      <c r="P324" s="4">
        <v>36</v>
      </c>
      <c r="Q324" s="4">
        <f>SUBTOTAL(109,Table6[casual])</f>
        <v>4921</v>
      </c>
      <c r="R324" s="4">
        <f>SUBTOTAL(109,Table6[registered])</f>
        <v>53383</v>
      </c>
      <c r="S324" s="4">
        <f>SUBTOTAL(109,Table6[cnt])</f>
        <v>58304</v>
      </c>
    </row>
    <row r="325" spans="1:19">
      <c r="A325" s="4">
        <v>324</v>
      </c>
      <c r="B325" s="5">
        <v>40557</v>
      </c>
      <c r="C325" s="4">
        <v>1</v>
      </c>
      <c r="D325" s="4">
        <v>0</v>
      </c>
      <c r="E325" s="4">
        <v>1</v>
      </c>
      <c r="F325" s="4">
        <v>23</v>
      </c>
      <c r="G325" s="4" t="b">
        <v>0</v>
      </c>
      <c r="H325" s="4">
        <v>5</v>
      </c>
      <c r="I325" s="4">
        <v>2</v>
      </c>
      <c r="J325" s="4">
        <v>0.18</v>
      </c>
      <c r="K325" s="4">
        <v>0.2424</v>
      </c>
      <c r="L325" s="4">
        <v>0.55000000000000004</v>
      </c>
      <c r="M325" s="4">
        <v>0</v>
      </c>
      <c r="N325" s="4">
        <v>1</v>
      </c>
      <c r="O325" s="4">
        <v>26</v>
      </c>
      <c r="P325" s="4">
        <v>27</v>
      </c>
      <c r="Q325" s="4">
        <f>SUBTOTAL(109,Table6[casual])</f>
        <v>4921</v>
      </c>
      <c r="R325" s="4">
        <f>SUBTOTAL(109,Table6[registered])</f>
        <v>53383</v>
      </c>
      <c r="S325" s="4">
        <f>SUBTOTAL(109,Table6[cnt])</f>
        <v>58304</v>
      </c>
    </row>
    <row r="326" spans="1:19">
      <c r="A326" s="4">
        <v>325</v>
      </c>
      <c r="B326" s="5">
        <v>40558</v>
      </c>
      <c r="C326" s="4">
        <v>1</v>
      </c>
      <c r="D326" s="4">
        <v>0</v>
      </c>
      <c r="E326" s="4">
        <v>1</v>
      </c>
      <c r="F326" s="4">
        <v>0</v>
      </c>
      <c r="G326" s="4" t="b">
        <v>0</v>
      </c>
      <c r="H326" s="4">
        <v>6</v>
      </c>
      <c r="I326" s="4">
        <v>1</v>
      </c>
      <c r="J326" s="4">
        <v>0.18</v>
      </c>
      <c r="K326" s="4">
        <v>0.2424</v>
      </c>
      <c r="L326" s="4">
        <v>0.55000000000000004</v>
      </c>
      <c r="M326" s="4">
        <v>0</v>
      </c>
      <c r="N326" s="4">
        <v>3</v>
      </c>
      <c r="O326" s="4">
        <v>25</v>
      </c>
      <c r="P326" s="4">
        <v>28</v>
      </c>
      <c r="Q326" s="4">
        <f>SUBTOTAL(109,Table6[casual])</f>
        <v>4921</v>
      </c>
      <c r="R326" s="4">
        <f>SUBTOTAL(109,Table6[registered])</f>
        <v>53383</v>
      </c>
      <c r="S326" s="4">
        <f>SUBTOTAL(109,Table6[cnt])</f>
        <v>58304</v>
      </c>
    </row>
    <row r="327" spans="1:19">
      <c r="A327" s="4">
        <v>326</v>
      </c>
      <c r="B327" s="5">
        <v>40558</v>
      </c>
      <c r="C327" s="4">
        <v>1</v>
      </c>
      <c r="D327" s="4">
        <v>0</v>
      </c>
      <c r="E327" s="4">
        <v>1</v>
      </c>
      <c r="F327" s="4">
        <v>1</v>
      </c>
      <c r="G327" s="4" t="b">
        <v>0</v>
      </c>
      <c r="H327" s="4">
        <v>6</v>
      </c>
      <c r="I327" s="4">
        <v>2</v>
      </c>
      <c r="J327" s="4">
        <v>0.16</v>
      </c>
      <c r="K327" s="4">
        <v>0.19700000000000001</v>
      </c>
      <c r="L327" s="4">
        <v>0.59</v>
      </c>
      <c r="M327" s="4">
        <v>8.9599999999999999E-2</v>
      </c>
      <c r="N327" s="4">
        <v>2</v>
      </c>
      <c r="O327" s="4">
        <v>18</v>
      </c>
      <c r="P327" s="4">
        <v>20</v>
      </c>
      <c r="Q327" s="4">
        <f>SUBTOTAL(109,Table6[casual])</f>
        <v>4921</v>
      </c>
      <c r="R327" s="4">
        <f>SUBTOTAL(109,Table6[registered])</f>
        <v>53383</v>
      </c>
      <c r="S327" s="4">
        <f>SUBTOTAL(109,Table6[cnt])</f>
        <v>58304</v>
      </c>
    </row>
    <row r="328" spans="1:19">
      <c r="A328" s="4">
        <v>327</v>
      </c>
      <c r="B328" s="5">
        <v>40558</v>
      </c>
      <c r="C328" s="4">
        <v>1</v>
      </c>
      <c r="D328" s="4">
        <v>0</v>
      </c>
      <c r="E328" s="4">
        <v>1</v>
      </c>
      <c r="F328" s="4">
        <v>2</v>
      </c>
      <c r="G328" s="4" t="b">
        <v>0</v>
      </c>
      <c r="H328" s="4">
        <v>6</v>
      </c>
      <c r="I328" s="4">
        <v>2</v>
      </c>
      <c r="J328" s="4">
        <v>0.16</v>
      </c>
      <c r="K328" s="4">
        <v>0.19700000000000001</v>
      </c>
      <c r="L328" s="4">
        <v>0.59</v>
      </c>
      <c r="M328" s="4">
        <v>8.9599999999999999E-2</v>
      </c>
      <c r="N328" s="4">
        <v>0</v>
      </c>
      <c r="O328" s="4">
        <v>12</v>
      </c>
      <c r="P328" s="4">
        <v>12</v>
      </c>
      <c r="Q328" s="4">
        <f>SUBTOTAL(109,Table6[casual])</f>
        <v>4921</v>
      </c>
      <c r="R328" s="4">
        <f>SUBTOTAL(109,Table6[registered])</f>
        <v>53383</v>
      </c>
      <c r="S328" s="4">
        <f>SUBTOTAL(109,Table6[cnt])</f>
        <v>58304</v>
      </c>
    </row>
    <row r="329" spans="1:19">
      <c r="A329" s="4">
        <v>328</v>
      </c>
      <c r="B329" s="5">
        <v>40558</v>
      </c>
      <c r="C329" s="4">
        <v>1</v>
      </c>
      <c r="D329" s="4">
        <v>0</v>
      </c>
      <c r="E329" s="4">
        <v>1</v>
      </c>
      <c r="F329" s="4">
        <v>3</v>
      </c>
      <c r="G329" s="4" t="b">
        <v>0</v>
      </c>
      <c r="H329" s="4">
        <v>6</v>
      </c>
      <c r="I329" s="4">
        <v>2</v>
      </c>
      <c r="J329" s="4">
        <v>0.16</v>
      </c>
      <c r="K329" s="4">
        <v>0.2273</v>
      </c>
      <c r="L329" s="4">
        <v>0.59</v>
      </c>
      <c r="M329" s="4">
        <v>0</v>
      </c>
      <c r="N329" s="4">
        <v>1</v>
      </c>
      <c r="O329" s="4">
        <v>7</v>
      </c>
      <c r="P329" s="4">
        <v>8</v>
      </c>
      <c r="Q329" s="4">
        <f>SUBTOTAL(109,Table6[casual])</f>
        <v>4921</v>
      </c>
      <c r="R329" s="4">
        <f>SUBTOTAL(109,Table6[registered])</f>
        <v>53383</v>
      </c>
      <c r="S329" s="4">
        <f>SUBTOTAL(109,Table6[cnt])</f>
        <v>58304</v>
      </c>
    </row>
    <row r="330" spans="1:19">
      <c r="A330" s="4">
        <v>329</v>
      </c>
      <c r="B330" s="5">
        <v>40558</v>
      </c>
      <c r="C330" s="4">
        <v>1</v>
      </c>
      <c r="D330" s="4">
        <v>0</v>
      </c>
      <c r="E330" s="4">
        <v>1</v>
      </c>
      <c r="F330" s="4">
        <v>4</v>
      </c>
      <c r="G330" s="4" t="b">
        <v>0</v>
      </c>
      <c r="H330" s="4">
        <v>6</v>
      </c>
      <c r="I330" s="4">
        <v>2</v>
      </c>
      <c r="J330" s="4">
        <v>0.16</v>
      </c>
      <c r="K330" s="4">
        <v>0.2273</v>
      </c>
      <c r="L330" s="4">
        <v>0.59</v>
      </c>
      <c r="M330" s="4">
        <v>0</v>
      </c>
      <c r="N330" s="4">
        <v>0</v>
      </c>
      <c r="O330" s="4">
        <v>5</v>
      </c>
      <c r="P330" s="4">
        <v>5</v>
      </c>
      <c r="Q330" s="4">
        <f>SUBTOTAL(109,Table6[casual])</f>
        <v>4921</v>
      </c>
      <c r="R330" s="4">
        <f>SUBTOTAL(109,Table6[registered])</f>
        <v>53383</v>
      </c>
      <c r="S330" s="4">
        <f>SUBTOTAL(109,Table6[cnt])</f>
        <v>58304</v>
      </c>
    </row>
    <row r="331" spans="1:19">
      <c r="A331" s="4">
        <v>330</v>
      </c>
      <c r="B331" s="5">
        <v>40558</v>
      </c>
      <c r="C331" s="4">
        <v>1</v>
      </c>
      <c r="D331" s="4">
        <v>0</v>
      </c>
      <c r="E331" s="4">
        <v>1</v>
      </c>
      <c r="F331" s="4">
        <v>5</v>
      </c>
      <c r="G331" s="4" t="b">
        <v>0</v>
      </c>
      <c r="H331" s="4">
        <v>6</v>
      </c>
      <c r="I331" s="4">
        <v>1</v>
      </c>
      <c r="J331" s="4">
        <v>0.16</v>
      </c>
      <c r="K331" s="4">
        <v>0.2273</v>
      </c>
      <c r="L331" s="4">
        <v>0.59</v>
      </c>
      <c r="M331" s="4">
        <v>0</v>
      </c>
      <c r="N331" s="4">
        <v>0</v>
      </c>
      <c r="O331" s="4">
        <v>1</v>
      </c>
      <c r="P331" s="4">
        <v>1</v>
      </c>
      <c r="Q331" s="4">
        <f>SUBTOTAL(109,Table6[casual])</f>
        <v>4921</v>
      </c>
      <c r="R331" s="4">
        <f>SUBTOTAL(109,Table6[registered])</f>
        <v>53383</v>
      </c>
      <c r="S331" s="4">
        <f>SUBTOTAL(109,Table6[cnt])</f>
        <v>58304</v>
      </c>
    </row>
    <row r="332" spans="1:19">
      <c r="A332" s="4">
        <v>331</v>
      </c>
      <c r="B332" s="5">
        <v>40558</v>
      </c>
      <c r="C332" s="4">
        <v>1</v>
      </c>
      <c r="D332" s="4">
        <v>0</v>
      </c>
      <c r="E332" s="4">
        <v>1</v>
      </c>
      <c r="F332" s="4">
        <v>6</v>
      </c>
      <c r="G332" s="4" t="b">
        <v>0</v>
      </c>
      <c r="H332" s="4">
        <v>6</v>
      </c>
      <c r="I332" s="4">
        <v>1</v>
      </c>
      <c r="J332" s="4">
        <v>0.14000000000000001</v>
      </c>
      <c r="K332" s="4">
        <v>0.16669999999999999</v>
      </c>
      <c r="L332" s="4">
        <v>0.63</v>
      </c>
      <c r="M332" s="4">
        <v>0.1045</v>
      </c>
      <c r="N332" s="4">
        <v>1</v>
      </c>
      <c r="O332" s="4">
        <v>2</v>
      </c>
      <c r="P332" s="4">
        <v>3</v>
      </c>
      <c r="Q332" s="4">
        <f>SUBTOTAL(109,Table6[casual])</f>
        <v>4921</v>
      </c>
      <c r="R332" s="4">
        <f>SUBTOTAL(109,Table6[registered])</f>
        <v>53383</v>
      </c>
      <c r="S332" s="4">
        <f>SUBTOTAL(109,Table6[cnt])</f>
        <v>58304</v>
      </c>
    </row>
    <row r="333" spans="1:19">
      <c r="A333" s="4">
        <v>332</v>
      </c>
      <c r="B333" s="5">
        <v>40558</v>
      </c>
      <c r="C333" s="4">
        <v>1</v>
      </c>
      <c r="D333" s="4">
        <v>0</v>
      </c>
      <c r="E333" s="4">
        <v>1</v>
      </c>
      <c r="F333" s="4">
        <v>7</v>
      </c>
      <c r="G333" s="4" t="b">
        <v>0</v>
      </c>
      <c r="H333" s="4">
        <v>6</v>
      </c>
      <c r="I333" s="4">
        <v>1</v>
      </c>
      <c r="J333" s="4">
        <v>0.14000000000000001</v>
      </c>
      <c r="K333" s="4">
        <v>0.21210000000000001</v>
      </c>
      <c r="L333" s="4">
        <v>0.63</v>
      </c>
      <c r="M333" s="4">
        <v>0</v>
      </c>
      <c r="N333" s="4">
        <v>1</v>
      </c>
      <c r="O333" s="4">
        <v>9</v>
      </c>
      <c r="P333" s="4">
        <v>10</v>
      </c>
      <c r="Q333" s="4">
        <f>SUBTOTAL(109,Table6[casual])</f>
        <v>4921</v>
      </c>
      <c r="R333" s="4">
        <f>SUBTOTAL(109,Table6[registered])</f>
        <v>53383</v>
      </c>
      <c r="S333" s="4">
        <f>SUBTOTAL(109,Table6[cnt])</f>
        <v>58304</v>
      </c>
    </row>
    <row r="334" spans="1:19">
      <c r="A334" s="4">
        <v>333</v>
      </c>
      <c r="B334" s="5">
        <v>40558</v>
      </c>
      <c r="C334" s="4">
        <v>1</v>
      </c>
      <c r="D334" s="4">
        <v>0</v>
      </c>
      <c r="E334" s="4">
        <v>1</v>
      </c>
      <c r="F334" s="4">
        <v>8</v>
      </c>
      <c r="G334" s="4" t="b">
        <v>0</v>
      </c>
      <c r="H334" s="4">
        <v>6</v>
      </c>
      <c r="I334" s="4">
        <v>1</v>
      </c>
      <c r="J334" s="4">
        <v>0.14000000000000001</v>
      </c>
      <c r="K334" s="4">
        <v>0.1515</v>
      </c>
      <c r="L334" s="4">
        <v>0.63</v>
      </c>
      <c r="M334" s="4">
        <v>0.1343</v>
      </c>
      <c r="N334" s="4">
        <v>1</v>
      </c>
      <c r="O334" s="4">
        <v>22</v>
      </c>
      <c r="P334" s="4">
        <v>23</v>
      </c>
      <c r="Q334" s="4">
        <f>SUBTOTAL(109,Table6[casual])</f>
        <v>4921</v>
      </c>
      <c r="R334" s="4">
        <f>SUBTOTAL(109,Table6[registered])</f>
        <v>53383</v>
      </c>
      <c r="S334" s="4">
        <f>SUBTOTAL(109,Table6[cnt])</f>
        <v>58304</v>
      </c>
    </row>
    <row r="335" spans="1:19">
      <c r="A335" s="4">
        <v>334</v>
      </c>
      <c r="B335" s="5">
        <v>40558</v>
      </c>
      <c r="C335" s="4">
        <v>1</v>
      </c>
      <c r="D335" s="4">
        <v>0</v>
      </c>
      <c r="E335" s="4">
        <v>1</v>
      </c>
      <c r="F335" s="4">
        <v>9</v>
      </c>
      <c r="G335" s="4" t="b">
        <v>0</v>
      </c>
      <c r="H335" s="4">
        <v>6</v>
      </c>
      <c r="I335" s="4">
        <v>1</v>
      </c>
      <c r="J335" s="4">
        <v>0.16</v>
      </c>
      <c r="K335" s="4">
        <v>0.18179999999999999</v>
      </c>
      <c r="L335" s="4">
        <v>0.64</v>
      </c>
      <c r="M335" s="4">
        <v>0.1343</v>
      </c>
      <c r="N335" s="4">
        <v>2</v>
      </c>
      <c r="O335" s="4">
        <v>31</v>
      </c>
      <c r="P335" s="4">
        <v>33</v>
      </c>
      <c r="Q335" s="4">
        <f>SUBTOTAL(109,Table6[casual])</f>
        <v>4921</v>
      </c>
      <c r="R335" s="4">
        <f>SUBTOTAL(109,Table6[registered])</f>
        <v>53383</v>
      </c>
      <c r="S335" s="4">
        <f>SUBTOTAL(109,Table6[cnt])</f>
        <v>58304</v>
      </c>
    </row>
    <row r="336" spans="1:19">
      <c r="A336" s="4">
        <v>335</v>
      </c>
      <c r="B336" s="5">
        <v>40558</v>
      </c>
      <c r="C336" s="4">
        <v>1</v>
      </c>
      <c r="D336" s="4">
        <v>0</v>
      </c>
      <c r="E336" s="4">
        <v>1</v>
      </c>
      <c r="F336" s="4">
        <v>10</v>
      </c>
      <c r="G336" s="4" t="b">
        <v>0</v>
      </c>
      <c r="H336" s="4">
        <v>6</v>
      </c>
      <c r="I336" s="4">
        <v>1</v>
      </c>
      <c r="J336" s="4">
        <v>0.18</v>
      </c>
      <c r="K336" s="4">
        <v>0.19700000000000001</v>
      </c>
      <c r="L336" s="4">
        <v>0.59</v>
      </c>
      <c r="M336" s="4">
        <v>0.16420000000000001</v>
      </c>
      <c r="N336" s="4">
        <v>2</v>
      </c>
      <c r="O336" s="4">
        <v>57</v>
      </c>
      <c r="P336" s="4">
        <v>59</v>
      </c>
      <c r="Q336" s="4">
        <f>SUBTOTAL(109,Table6[casual])</f>
        <v>4921</v>
      </c>
      <c r="R336" s="4">
        <f>SUBTOTAL(109,Table6[registered])</f>
        <v>53383</v>
      </c>
      <c r="S336" s="4">
        <f>SUBTOTAL(109,Table6[cnt])</f>
        <v>58304</v>
      </c>
    </row>
    <row r="337" spans="1:19">
      <c r="A337" s="4">
        <v>336</v>
      </c>
      <c r="B337" s="5">
        <v>40558</v>
      </c>
      <c r="C337" s="4">
        <v>1</v>
      </c>
      <c r="D337" s="4">
        <v>0</v>
      </c>
      <c r="E337" s="4">
        <v>1</v>
      </c>
      <c r="F337" s="4">
        <v>11</v>
      </c>
      <c r="G337" s="4" t="b">
        <v>0</v>
      </c>
      <c r="H337" s="4">
        <v>6</v>
      </c>
      <c r="I337" s="4">
        <v>1</v>
      </c>
      <c r="J337" s="4">
        <v>0.2</v>
      </c>
      <c r="K337" s="4">
        <v>0.19700000000000001</v>
      </c>
      <c r="L337" s="4">
        <v>0.55000000000000004</v>
      </c>
      <c r="M337" s="4">
        <v>0.22389999999999999</v>
      </c>
      <c r="N337" s="4">
        <v>18</v>
      </c>
      <c r="O337" s="4">
        <v>54</v>
      </c>
      <c r="P337" s="4">
        <v>72</v>
      </c>
      <c r="Q337" s="4">
        <f>SUBTOTAL(109,Table6[casual])</f>
        <v>4921</v>
      </c>
      <c r="R337" s="4">
        <f>SUBTOTAL(109,Table6[registered])</f>
        <v>53383</v>
      </c>
      <c r="S337" s="4">
        <f>SUBTOTAL(109,Table6[cnt])</f>
        <v>58304</v>
      </c>
    </row>
    <row r="338" spans="1:19">
      <c r="A338" s="4">
        <v>337</v>
      </c>
      <c r="B338" s="5">
        <v>40558</v>
      </c>
      <c r="C338" s="4">
        <v>1</v>
      </c>
      <c r="D338" s="4">
        <v>0</v>
      </c>
      <c r="E338" s="4">
        <v>1</v>
      </c>
      <c r="F338" s="4">
        <v>12</v>
      </c>
      <c r="G338" s="4" t="b">
        <v>0</v>
      </c>
      <c r="H338" s="4">
        <v>6</v>
      </c>
      <c r="I338" s="4">
        <v>1</v>
      </c>
      <c r="J338" s="4">
        <v>0.24</v>
      </c>
      <c r="K338" s="4">
        <v>0.2273</v>
      </c>
      <c r="L338" s="4">
        <v>0.48</v>
      </c>
      <c r="M338" s="4">
        <v>0.22389999999999999</v>
      </c>
      <c r="N338" s="4">
        <v>15</v>
      </c>
      <c r="O338" s="4">
        <v>74</v>
      </c>
      <c r="P338" s="4">
        <v>89</v>
      </c>
      <c r="Q338" s="4">
        <f>SUBTOTAL(109,Table6[casual])</f>
        <v>4921</v>
      </c>
      <c r="R338" s="4">
        <f>SUBTOTAL(109,Table6[registered])</f>
        <v>53383</v>
      </c>
      <c r="S338" s="4">
        <f>SUBTOTAL(109,Table6[cnt])</f>
        <v>58304</v>
      </c>
    </row>
    <row r="339" spans="1:19">
      <c r="A339" s="4">
        <v>338</v>
      </c>
      <c r="B339" s="5">
        <v>40558</v>
      </c>
      <c r="C339" s="4">
        <v>1</v>
      </c>
      <c r="D339" s="4">
        <v>0</v>
      </c>
      <c r="E339" s="4">
        <v>1</v>
      </c>
      <c r="F339" s="4">
        <v>13</v>
      </c>
      <c r="G339" s="4" t="b">
        <v>0</v>
      </c>
      <c r="H339" s="4">
        <v>6</v>
      </c>
      <c r="I339" s="4">
        <v>1</v>
      </c>
      <c r="J339" s="4">
        <v>0.28000000000000003</v>
      </c>
      <c r="K339" s="4">
        <v>0.2576</v>
      </c>
      <c r="L339" s="4">
        <v>0.38</v>
      </c>
      <c r="M339" s="4">
        <v>0.29849999999999999</v>
      </c>
      <c r="N339" s="4">
        <v>21</v>
      </c>
      <c r="O339" s="4">
        <v>80</v>
      </c>
      <c r="P339" s="4">
        <v>101</v>
      </c>
      <c r="Q339" s="4">
        <f>SUBTOTAL(109,Table6[casual])</f>
        <v>4921</v>
      </c>
      <c r="R339" s="4">
        <f>SUBTOTAL(109,Table6[registered])</f>
        <v>53383</v>
      </c>
      <c r="S339" s="4">
        <f>SUBTOTAL(109,Table6[cnt])</f>
        <v>58304</v>
      </c>
    </row>
    <row r="340" spans="1:19">
      <c r="A340" s="4">
        <v>339</v>
      </c>
      <c r="B340" s="5">
        <v>40558</v>
      </c>
      <c r="C340" s="4">
        <v>1</v>
      </c>
      <c r="D340" s="4">
        <v>0</v>
      </c>
      <c r="E340" s="4">
        <v>1</v>
      </c>
      <c r="F340" s="4">
        <v>14</v>
      </c>
      <c r="G340" s="4" t="b">
        <v>0</v>
      </c>
      <c r="H340" s="4">
        <v>6</v>
      </c>
      <c r="I340" s="4">
        <v>1</v>
      </c>
      <c r="J340" s="4">
        <v>0.3</v>
      </c>
      <c r="K340" s="4">
        <v>0.28789999999999999</v>
      </c>
      <c r="L340" s="4">
        <v>0.39</v>
      </c>
      <c r="M340" s="4">
        <v>0.28360000000000002</v>
      </c>
      <c r="N340" s="4">
        <v>26</v>
      </c>
      <c r="O340" s="4">
        <v>92</v>
      </c>
      <c r="P340" s="4">
        <v>118</v>
      </c>
      <c r="Q340" s="4">
        <f>SUBTOTAL(109,Table6[casual])</f>
        <v>4921</v>
      </c>
      <c r="R340" s="4">
        <f>SUBTOTAL(109,Table6[registered])</f>
        <v>53383</v>
      </c>
      <c r="S340" s="4">
        <f>SUBTOTAL(109,Table6[cnt])</f>
        <v>58304</v>
      </c>
    </row>
    <row r="341" spans="1:19">
      <c r="A341" s="4">
        <v>340</v>
      </c>
      <c r="B341" s="5">
        <v>40558</v>
      </c>
      <c r="C341" s="4">
        <v>1</v>
      </c>
      <c r="D341" s="4">
        <v>0</v>
      </c>
      <c r="E341" s="4">
        <v>1</v>
      </c>
      <c r="F341" s="4">
        <v>15</v>
      </c>
      <c r="G341" s="4" t="b">
        <v>0</v>
      </c>
      <c r="H341" s="4">
        <v>6</v>
      </c>
      <c r="I341" s="4">
        <v>2</v>
      </c>
      <c r="J341" s="4">
        <v>0.32</v>
      </c>
      <c r="K341" s="4">
        <v>0.31819999999999998</v>
      </c>
      <c r="L341" s="4">
        <v>0.36</v>
      </c>
      <c r="M341" s="4">
        <v>0.19400000000000001</v>
      </c>
      <c r="N341" s="4">
        <v>21</v>
      </c>
      <c r="O341" s="4">
        <v>108</v>
      </c>
      <c r="P341" s="4">
        <v>129</v>
      </c>
      <c r="Q341" s="4">
        <f>SUBTOTAL(109,Table6[casual])</f>
        <v>4921</v>
      </c>
      <c r="R341" s="4">
        <f>SUBTOTAL(109,Table6[registered])</f>
        <v>53383</v>
      </c>
      <c r="S341" s="4">
        <f>SUBTOTAL(109,Table6[cnt])</f>
        <v>58304</v>
      </c>
    </row>
    <row r="342" spans="1:19">
      <c r="A342" s="4">
        <v>341</v>
      </c>
      <c r="B342" s="5">
        <v>40558</v>
      </c>
      <c r="C342" s="4">
        <v>1</v>
      </c>
      <c r="D342" s="4">
        <v>0</v>
      </c>
      <c r="E342" s="4">
        <v>1</v>
      </c>
      <c r="F342" s="4">
        <v>16</v>
      </c>
      <c r="G342" s="4" t="b">
        <v>0</v>
      </c>
      <c r="H342" s="4">
        <v>6</v>
      </c>
      <c r="I342" s="4">
        <v>2</v>
      </c>
      <c r="J342" s="4">
        <v>0.34</v>
      </c>
      <c r="K342" s="4">
        <v>0.33329999999999999</v>
      </c>
      <c r="L342" s="4">
        <v>0.34</v>
      </c>
      <c r="M342" s="4">
        <v>0.19400000000000001</v>
      </c>
      <c r="N342" s="4">
        <v>33</v>
      </c>
      <c r="O342" s="4">
        <v>95</v>
      </c>
      <c r="P342" s="4">
        <v>128</v>
      </c>
      <c r="Q342" s="4">
        <f>SUBTOTAL(109,Table6[casual])</f>
        <v>4921</v>
      </c>
      <c r="R342" s="4">
        <f>SUBTOTAL(109,Table6[registered])</f>
        <v>53383</v>
      </c>
      <c r="S342" s="4">
        <f>SUBTOTAL(109,Table6[cnt])</f>
        <v>58304</v>
      </c>
    </row>
    <row r="343" spans="1:19">
      <c r="A343" s="4">
        <v>342</v>
      </c>
      <c r="B343" s="5">
        <v>40558</v>
      </c>
      <c r="C343" s="4">
        <v>1</v>
      </c>
      <c r="D343" s="4">
        <v>0</v>
      </c>
      <c r="E343" s="4">
        <v>1</v>
      </c>
      <c r="F343" s="4">
        <v>17</v>
      </c>
      <c r="G343" s="4" t="b">
        <v>0</v>
      </c>
      <c r="H343" s="4">
        <v>6</v>
      </c>
      <c r="I343" s="4">
        <v>2</v>
      </c>
      <c r="J343" s="4">
        <v>0.32</v>
      </c>
      <c r="K343" s="4">
        <v>0.30299999999999999</v>
      </c>
      <c r="L343" s="4">
        <v>0.36</v>
      </c>
      <c r="M343" s="4">
        <v>0.28360000000000002</v>
      </c>
      <c r="N343" s="4">
        <v>29</v>
      </c>
      <c r="O343" s="4">
        <v>54</v>
      </c>
      <c r="P343" s="4">
        <v>83</v>
      </c>
      <c r="Q343" s="4">
        <f>SUBTOTAL(109,Table6[casual])</f>
        <v>4921</v>
      </c>
      <c r="R343" s="4">
        <f>SUBTOTAL(109,Table6[registered])</f>
        <v>53383</v>
      </c>
      <c r="S343" s="4">
        <f>SUBTOTAL(109,Table6[cnt])</f>
        <v>58304</v>
      </c>
    </row>
    <row r="344" spans="1:19">
      <c r="A344" s="4">
        <v>343</v>
      </c>
      <c r="B344" s="5">
        <v>40558</v>
      </c>
      <c r="C344" s="4">
        <v>1</v>
      </c>
      <c r="D344" s="4">
        <v>0</v>
      </c>
      <c r="E344" s="4">
        <v>1</v>
      </c>
      <c r="F344" s="4">
        <v>18</v>
      </c>
      <c r="G344" s="4" t="b">
        <v>0</v>
      </c>
      <c r="H344" s="4">
        <v>6</v>
      </c>
      <c r="I344" s="4">
        <v>2</v>
      </c>
      <c r="J344" s="4">
        <v>0.3</v>
      </c>
      <c r="K344" s="4">
        <v>0.28789999999999999</v>
      </c>
      <c r="L344" s="4">
        <v>0.45</v>
      </c>
      <c r="M344" s="4">
        <v>0.25369999999999998</v>
      </c>
      <c r="N344" s="4">
        <v>15</v>
      </c>
      <c r="O344" s="4">
        <v>69</v>
      </c>
      <c r="P344" s="4">
        <v>84</v>
      </c>
      <c r="Q344" s="4">
        <f>SUBTOTAL(109,Table6[casual])</f>
        <v>4921</v>
      </c>
      <c r="R344" s="4">
        <f>SUBTOTAL(109,Table6[registered])</f>
        <v>53383</v>
      </c>
      <c r="S344" s="4">
        <f>SUBTOTAL(109,Table6[cnt])</f>
        <v>58304</v>
      </c>
    </row>
    <row r="345" spans="1:19">
      <c r="A345" s="4">
        <v>344</v>
      </c>
      <c r="B345" s="5">
        <v>40558</v>
      </c>
      <c r="C345" s="4">
        <v>1</v>
      </c>
      <c r="D345" s="4">
        <v>0</v>
      </c>
      <c r="E345" s="4">
        <v>1</v>
      </c>
      <c r="F345" s="4">
        <v>19</v>
      </c>
      <c r="G345" s="4" t="b">
        <v>0</v>
      </c>
      <c r="H345" s="4">
        <v>6</v>
      </c>
      <c r="I345" s="4">
        <v>2</v>
      </c>
      <c r="J345" s="4">
        <v>0.32</v>
      </c>
      <c r="K345" s="4">
        <v>0.30299999999999999</v>
      </c>
      <c r="L345" s="4">
        <v>0.39</v>
      </c>
      <c r="M345" s="4">
        <v>0.25369999999999998</v>
      </c>
      <c r="N345" s="4">
        <v>14</v>
      </c>
      <c r="O345" s="4">
        <v>60</v>
      </c>
      <c r="P345" s="4">
        <v>74</v>
      </c>
      <c r="Q345" s="4">
        <f>SUBTOTAL(109,Table6[casual])</f>
        <v>4921</v>
      </c>
      <c r="R345" s="4">
        <f>SUBTOTAL(109,Table6[registered])</f>
        <v>53383</v>
      </c>
      <c r="S345" s="4">
        <f>SUBTOTAL(109,Table6[cnt])</f>
        <v>58304</v>
      </c>
    </row>
    <row r="346" spans="1:19">
      <c r="A346" s="4">
        <v>345</v>
      </c>
      <c r="B346" s="5">
        <v>40558</v>
      </c>
      <c r="C346" s="4">
        <v>1</v>
      </c>
      <c r="D346" s="4">
        <v>0</v>
      </c>
      <c r="E346" s="4">
        <v>1</v>
      </c>
      <c r="F346" s="4">
        <v>20</v>
      </c>
      <c r="G346" s="4" t="b">
        <v>0</v>
      </c>
      <c r="H346" s="4">
        <v>6</v>
      </c>
      <c r="I346" s="4">
        <v>2</v>
      </c>
      <c r="J346" s="4">
        <v>0.32</v>
      </c>
      <c r="K346" s="4">
        <v>0.30299999999999999</v>
      </c>
      <c r="L346" s="4">
        <v>0.39</v>
      </c>
      <c r="M346" s="4">
        <v>0.25369999999999998</v>
      </c>
      <c r="N346" s="4">
        <v>6</v>
      </c>
      <c r="O346" s="4">
        <v>35</v>
      </c>
      <c r="P346" s="4">
        <v>41</v>
      </c>
      <c r="Q346" s="4">
        <f>SUBTOTAL(109,Table6[casual])</f>
        <v>4921</v>
      </c>
      <c r="R346" s="4">
        <f>SUBTOTAL(109,Table6[registered])</f>
        <v>53383</v>
      </c>
      <c r="S346" s="4">
        <f>SUBTOTAL(109,Table6[cnt])</f>
        <v>58304</v>
      </c>
    </row>
    <row r="347" spans="1:19">
      <c r="A347" s="4">
        <v>346</v>
      </c>
      <c r="B347" s="5">
        <v>40558</v>
      </c>
      <c r="C347" s="4">
        <v>1</v>
      </c>
      <c r="D347" s="4">
        <v>0</v>
      </c>
      <c r="E347" s="4">
        <v>1</v>
      </c>
      <c r="F347" s="4">
        <v>21</v>
      </c>
      <c r="G347" s="4" t="b">
        <v>0</v>
      </c>
      <c r="H347" s="4">
        <v>6</v>
      </c>
      <c r="I347" s="4">
        <v>2</v>
      </c>
      <c r="J347" s="4">
        <v>0.32</v>
      </c>
      <c r="K347" s="4">
        <v>0.30299999999999999</v>
      </c>
      <c r="L347" s="4">
        <v>0.39</v>
      </c>
      <c r="M347" s="4">
        <v>0.22389999999999999</v>
      </c>
      <c r="N347" s="4">
        <v>6</v>
      </c>
      <c r="O347" s="4">
        <v>51</v>
      </c>
      <c r="P347" s="4">
        <v>57</v>
      </c>
      <c r="Q347" s="4">
        <f>SUBTOTAL(109,Table6[casual])</f>
        <v>4921</v>
      </c>
      <c r="R347" s="4">
        <f>SUBTOTAL(109,Table6[registered])</f>
        <v>53383</v>
      </c>
      <c r="S347" s="4">
        <f>SUBTOTAL(109,Table6[cnt])</f>
        <v>58304</v>
      </c>
    </row>
    <row r="348" spans="1:19">
      <c r="A348" s="4">
        <v>347</v>
      </c>
      <c r="B348" s="5">
        <v>40558</v>
      </c>
      <c r="C348" s="4">
        <v>1</v>
      </c>
      <c r="D348" s="4">
        <v>0</v>
      </c>
      <c r="E348" s="4">
        <v>1</v>
      </c>
      <c r="F348" s="4">
        <v>22</v>
      </c>
      <c r="G348" s="4" t="b">
        <v>0</v>
      </c>
      <c r="H348" s="4">
        <v>6</v>
      </c>
      <c r="I348" s="4">
        <v>2</v>
      </c>
      <c r="J348" s="4">
        <v>0.3</v>
      </c>
      <c r="K348" s="4">
        <v>0.31819999999999998</v>
      </c>
      <c r="L348" s="4">
        <v>0.42</v>
      </c>
      <c r="M348" s="4">
        <v>0.1045</v>
      </c>
      <c r="N348" s="4">
        <v>0</v>
      </c>
      <c r="O348" s="4">
        <v>26</v>
      </c>
      <c r="P348" s="4">
        <v>26</v>
      </c>
      <c r="Q348" s="4">
        <f>SUBTOTAL(109,Table6[casual])</f>
        <v>4921</v>
      </c>
      <c r="R348" s="4">
        <f>SUBTOTAL(109,Table6[registered])</f>
        <v>53383</v>
      </c>
      <c r="S348" s="4">
        <f>SUBTOTAL(109,Table6[cnt])</f>
        <v>58304</v>
      </c>
    </row>
    <row r="349" spans="1:19">
      <c r="A349" s="4">
        <v>348</v>
      </c>
      <c r="B349" s="5">
        <v>40558</v>
      </c>
      <c r="C349" s="4">
        <v>1</v>
      </c>
      <c r="D349" s="4">
        <v>0</v>
      </c>
      <c r="E349" s="4">
        <v>1</v>
      </c>
      <c r="F349" s="4">
        <v>23</v>
      </c>
      <c r="G349" s="4" t="b">
        <v>0</v>
      </c>
      <c r="H349" s="4">
        <v>6</v>
      </c>
      <c r="I349" s="4">
        <v>1</v>
      </c>
      <c r="J349" s="4">
        <v>0.3</v>
      </c>
      <c r="K349" s="4">
        <v>0.28789999999999999</v>
      </c>
      <c r="L349" s="4">
        <v>0.45</v>
      </c>
      <c r="M349" s="4">
        <v>0.28360000000000002</v>
      </c>
      <c r="N349" s="4">
        <v>5</v>
      </c>
      <c r="O349" s="4">
        <v>39</v>
      </c>
      <c r="P349" s="4">
        <v>44</v>
      </c>
      <c r="Q349" s="4">
        <f>SUBTOTAL(109,Table6[casual])</f>
        <v>4921</v>
      </c>
      <c r="R349" s="4">
        <f>SUBTOTAL(109,Table6[registered])</f>
        <v>53383</v>
      </c>
      <c r="S349" s="4">
        <f>SUBTOTAL(109,Table6[cnt])</f>
        <v>58304</v>
      </c>
    </row>
    <row r="350" spans="1:19">
      <c r="A350" s="4">
        <v>349</v>
      </c>
      <c r="B350" s="5">
        <v>40559</v>
      </c>
      <c r="C350" s="4">
        <v>1</v>
      </c>
      <c r="D350" s="4">
        <v>0</v>
      </c>
      <c r="E350" s="4">
        <v>1</v>
      </c>
      <c r="F350" s="4">
        <v>0</v>
      </c>
      <c r="G350" s="4" t="b">
        <v>0</v>
      </c>
      <c r="H350" s="4">
        <v>0</v>
      </c>
      <c r="I350" s="4">
        <v>1</v>
      </c>
      <c r="J350" s="4">
        <v>0.26</v>
      </c>
      <c r="K350" s="4">
        <v>0.30299999999999999</v>
      </c>
      <c r="L350" s="4">
        <v>0.56000000000000005</v>
      </c>
      <c r="M350" s="4">
        <v>0</v>
      </c>
      <c r="N350" s="4">
        <v>6</v>
      </c>
      <c r="O350" s="4">
        <v>33</v>
      </c>
      <c r="P350" s="4">
        <v>39</v>
      </c>
      <c r="Q350" s="4">
        <f>SUBTOTAL(109,Table6[casual])</f>
        <v>4921</v>
      </c>
      <c r="R350" s="4">
        <f>SUBTOTAL(109,Table6[registered])</f>
        <v>53383</v>
      </c>
      <c r="S350" s="4">
        <f>SUBTOTAL(109,Table6[cnt])</f>
        <v>58304</v>
      </c>
    </row>
    <row r="351" spans="1:19">
      <c r="A351" s="4">
        <v>350</v>
      </c>
      <c r="B351" s="5">
        <v>40559</v>
      </c>
      <c r="C351" s="4">
        <v>1</v>
      </c>
      <c r="D351" s="4">
        <v>0</v>
      </c>
      <c r="E351" s="4">
        <v>1</v>
      </c>
      <c r="F351" s="4">
        <v>1</v>
      </c>
      <c r="G351" s="4" t="b">
        <v>0</v>
      </c>
      <c r="H351" s="4">
        <v>0</v>
      </c>
      <c r="I351" s="4">
        <v>1</v>
      </c>
      <c r="J351" s="4">
        <v>0.26</v>
      </c>
      <c r="K351" s="4">
        <v>0.2727</v>
      </c>
      <c r="L351" s="4">
        <v>0.56000000000000005</v>
      </c>
      <c r="M351" s="4">
        <v>0.1343</v>
      </c>
      <c r="N351" s="4">
        <v>4</v>
      </c>
      <c r="O351" s="4">
        <v>19</v>
      </c>
      <c r="P351" s="4">
        <v>23</v>
      </c>
      <c r="Q351" s="4">
        <f>SUBTOTAL(109,Table6[casual])</f>
        <v>4921</v>
      </c>
      <c r="R351" s="4">
        <f>SUBTOTAL(109,Table6[registered])</f>
        <v>53383</v>
      </c>
      <c r="S351" s="4">
        <f>SUBTOTAL(109,Table6[cnt])</f>
        <v>58304</v>
      </c>
    </row>
    <row r="352" spans="1:19">
      <c r="A352" s="4">
        <v>351</v>
      </c>
      <c r="B352" s="5">
        <v>40559</v>
      </c>
      <c r="C352" s="4">
        <v>1</v>
      </c>
      <c r="D352" s="4">
        <v>0</v>
      </c>
      <c r="E352" s="4">
        <v>1</v>
      </c>
      <c r="F352" s="4">
        <v>2</v>
      </c>
      <c r="G352" s="4" t="b">
        <v>0</v>
      </c>
      <c r="H352" s="4">
        <v>0</v>
      </c>
      <c r="I352" s="4">
        <v>1</v>
      </c>
      <c r="J352" s="4">
        <v>0.26</v>
      </c>
      <c r="K352" s="4">
        <v>0.28789999999999999</v>
      </c>
      <c r="L352" s="4">
        <v>0.56000000000000005</v>
      </c>
      <c r="M352" s="4">
        <v>8.9599999999999999E-2</v>
      </c>
      <c r="N352" s="4">
        <v>3</v>
      </c>
      <c r="O352" s="4">
        <v>13</v>
      </c>
      <c r="P352" s="4">
        <v>16</v>
      </c>
      <c r="Q352" s="4">
        <f>SUBTOTAL(109,Table6[casual])</f>
        <v>4921</v>
      </c>
      <c r="R352" s="4">
        <f>SUBTOTAL(109,Table6[registered])</f>
        <v>53383</v>
      </c>
      <c r="S352" s="4">
        <f>SUBTOTAL(109,Table6[cnt])</f>
        <v>58304</v>
      </c>
    </row>
    <row r="353" spans="1:19">
      <c r="A353" s="4">
        <v>352</v>
      </c>
      <c r="B353" s="5">
        <v>40559</v>
      </c>
      <c r="C353" s="4">
        <v>1</v>
      </c>
      <c r="D353" s="4">
        <v>0</v>
      </c>
      <c r="E353" s="4">
        <v>1</v>
      </c>
      <c r="F353" s="4">
        <v>3</v>
      </c>
      <c r="G353" s="4" t="b">
        <v>0</v>
      </c>
      <c r="H353" s="4">
        <v>0</v>
      </c>
      <c r="I353" s="4">
        <v>1</v>
      </c>
      <c r="J353" s="4">
        <v>0.22</v>
      </c>
      <c r="K353" s="4">
        <v>0.2727</v>
      </c>
      <c r="L353" s="4">
        <v>0.69</v>
      </c>
      <c r="M353" s="4">
        <v>0</v>
      </c>
      <c r="N353" s="4">
        <v>9</v>
      </c>
      <c r="O353" s="4">
        <v>6</v>
      </c>
      <c r="P353" s="4">
        <v>15</v>
      </c>
      <c r="Q353" s="4">
        <f>SUBTOTAL(109,Table6[casual])</f>
        <v>4921</v>
      </c>
      <c r="R353" s="4">
        <f>SUBTOTAL(109,Table6[registered])</f>
        <v>53383</v>
      </c>
      <c r="S353" s="4">
        <f>SUBTOTAL(109,Table6[cnt])</f>
        <v>58304</v>
      </c>
    </row>
    <row r="354" spans="1:19">
      <c r="A354" s="4">
        <v>353</v>
      </c>
      <c r="B354" s="5">
        <v>40559</v>
      </c>
      <c r="C354" s="4">
        <v>1</v>
      </c>
      <c r="D354" s="4">
        <v>0</v>
      </c>
      <c r="E354" s="4">
        <v>1</v>
      </c>
      <c r="F354" s="4">
        <v>4</v>
      </c>
      <c r="G354" s="4" t="b">
        <v>0</v>
      </c>
      <c r="H354" s="4">
        <v>0</v>
      </c>
      <c r="I354" s="4">
        <v>1</v>
      </c>
      <c r="J354" s="4">
        <v>0.26</v>
      </c>
      <c r="K354" s="4">
        <v>0.2576</v>
      </c>
      <c r="L354" s="4">
        <v>0.56000000000000005</v>
      </c>
      <c r="M354" s="4">
        <v>0.16420000000000001</v>
      </c>
      <c r="N354" s="4">
        <v>0</v>
      </c>
      <c r="O354" s="4">
        <v>1</v>
      </c>
      <c r="P354" s="4">
        <v>1</v>
      </c>
      <c r="Q354" s="4">
        <f>SUBTOTAL(109,Table6[casual])</f>
        <v>4921</v>
      </c>
      <c r="R354" s="4">
        <f>SUBTOTAL(109,Table6[registered])</f>
        <v>53383</v>
      </c>
      <c r="S354" s="4">
        <f>SUBTOTAL(109,Table6[cnt])</f>
        <v>58304</v>
      </c>
    </row>
    <row r="355" spans="1:19">
      <c r="A355" s="4">
        <v>354</v>
      </c>
      <c r="B355" s="5">
        <v>40559</v>
      </c>
      <c r="C355" s="4">
        <v>1</v>
      </c>
      <c r="D355" s="4">
        <v>0</v>
      </c>
      <c r="E355" s="4">
        <v>1</v>
      </c>
      <c r="F355" s="4">
        <v>5</v>
      </c>
      <c r="G355" s="4" t="b">
        <v>0</v>
      </c>
      <c r="H355" s="4">
        <v>0</v>
      </c>
      <c r="I355" s="4">
        <v>2</v>
      </c>
      <c r="J355" s="4">
        <v>0.26</v>
      </c>
      <c r="K355" s="4">
        <v>0.2576</v>
      </c>
      <c r="L355" s="4">
        <v>0.56000000000000005</v>
      </c>
      <c r="M355" s="4">
        <v>0.16420000000000001</v>
      </c>
      <c r="N355" s="4">
        <v>1</v>
      </c>
      <c r="O355" s="4">
        <v>1</v>
      </c>
      <c r="P355" s="4">
        <v>2</v>
      </c>
      <c r="Q355" s="4">
        <f>SUBTOTAL(109,Table6[casual])</f>
        <v>4921</v>
      </c>
      <c r="R355" s="4">
        <f>SUBTOTAL(109,Table6[registered])</f>
        <v>53383</v>
      </c>
      <c r="S355" s="4">
        <f>SUBTOTAL(109,Table6[cnt])</f>
        <v>58304</v>
      </c>
    </row>
    <row r="356" spans="1:19">
      <c r="A356" s="4">
        <v>355</v>
      </c>
      <c r="B356" s="5">
        <v>40559</v>
      </c>
      <c r="C356" s="4">
        <v>1</v>
      </c>
      <c r="D356" s="4">
        <v>0</v>
      </c>
      <c r="E356" s="4">
        <v>1</v>
      </c>
      <c r="F356" s="4">
        <v>6</v>
      </c>
      <c r="G356" s="4" t="b">
        <v>0</v>
      </c>
      <c r="H356" s="4">
        <v>0</v>
      </c>
      <c r="I356" s="4">
        <v>2</v>
      </c>
      <c r="J356" s="4">
        <v>0.26</v>
      </c>
      <c r="K356" s="4">
        <v>0.2576</v>
      </c>
      <c r="L356" s="4">
        <v>0.56000000000000005</v>
      </c>
      <c r="M356" s="4">
        <v>0.16420000000000001</v>
      </c>
      <c r="N356" s="4">
        <v>0</v>
      </c>
      <c r="O356" s="4">
        <v>1</v>
      </c>
      <c r="P356" s="4">
        <v>1</v>
      </c>
      <c r="Q356" s="4">
        <f>SUBTOTAL(109,Table6[casual])</f>
        <v>4921</v>
      </c>
      <c r="R356" s="4">
        <f>SUBTOTAL(109,Table6[registered])</f>
        <v>53383</v>
      </c>
      <c r="S356" s="4">
        <f>SUBTOTAL(109,Table6[cnt])</f>
        <v>58304</v>
      </c>
    </row>
    <row r="357" spans="1:19">
      <c r="A357" s="4">
        <v>356</v>
      </c>
      <c r="B357" s="5">
        <v>40559</v>
      </c>
      <c r="C357" s="4">
        <v>1</v>
      </c>
      <c r="D357" s="4">
        <v>0</v>
      </c>
      <c r="E357" s="4">
        <v>1</v>
      </c>
      <c r="F357" s="4">
        <v>7</v>
      </c>
      <c r="G357" s="4" t="b">
        <v>0</v>
      </c>
      <c r="H357" s="4">
        <v>0</v>
      </c>
      <c r="I357" s="4">
        <v>2</v>
      </c>
      <c r="J357" s="4">
        <v>0.24</v>
      </c>
      <c r="K357" s="4">
        <v>0.21210000000000001</v>
      </c>
      <c r="L357" s="4">
        <v>0.56000000000000005</v>
      </c>
      <c r="M357" s="4">
        <v>0.29849999999999999</v>
      </c>
      <c r="N357" s="4">
        <v>0</v>
      </c>
      <c r="O357" s="4">
        <v>3</v>
      </c>
      <c r="P357" s="4">
        <v>3</v>
      </c>
      <c r="Q357" s="4">
        <f>SUBTOTAL(109,Table6[casual])</f>
        <v>4921</v>
      </c>
      <c r="R357" s="4">
        <f>SUBTOTAL(109,Table6[registered])</f>
        <v>53383</v>
      </c>
      <c r="S357" s="4">
        <f>SUBTOTAL(109,Table6[cnt])</f>
        <v>58304</v>
      </c>
    </row>
    <row r="358" spans="1:19">
      <c r="A358" s="4">
        <v>357</v>
      </c>
      <c r="B358" s="5">
        <v>40559</v>
      </c>
      <c r="C358" s="4">
        <v>1</v>
      </c>
      <c r="D358" s="4">
        <v>0</v>
      </c>
      <c r="E358" s="4">
        <v>1</v>
      </c>
      <c r="F358" s="4">
        <v>8</v>
      </c>
      <c r="G358" s="4" t="b">
        <v>0</v>
      </c>
      <c r="H358" s="4">
        <v>0</v>
      </c>
      <c r="I358" s="4">
        <v>1</v>
      </c>
      <c r="J358" s="4">
        <v>0.22</v>
      </c>
      <c r="K358" s="4">
        <v>0.21210000000000001</v>
      </c>
      <c r="L358" s="4">
        <v>0.55000000000000004</v>
      </c>
      <c r="M358" s="4">
        <v>0.28360000000000002</v>
      </c>
      <c r="N358" s="4">
        <v>0</v>
      </c>
      <c r="O358" s="4">
        <v>18</v>
      </c>
      <c r="P358" s="4">
        <v>18</v>
      </c>
      <c r="Q358" s="4">
        <f>SUBTOTAL(109,Table6[casual])</f>
        <v>4921</v>
      </c>
      <c r="R358" s="4">
        <f>SUBTOTAL(109,Table6[registered])</f>
        <v>53383</v>
      </c>
      <c r="S358" s="4">
        <f>SUBTOTAL(109,Table6[cnt])</f>
        <v>58304</v>
      </c>
    </row>
    <row r="359" spans="1:19">
      <c r="A359" s="4">
        <v>358</v>
      </c>
      <c r="B359" s="5">
        <v>40559</v>
      </c>
      <c r="C359" s="4">
        <v>1</v>
      </c>
      <c r="D359" s="4">
        <v>0</v>
      </c>
      <c r="E359" s="4">
        <v>1</v>
      </c>
      <c r="F359" s="4">
        <v>9</v>
      </c>
      <c r="G359" s="4" t="b">
        <v>0</v>
      </c>
      <c r="H359" s="4">
        <v>0</v>
      </c>
      <c r="I359" s="4">
        <v>1</v>
      </c>
      <c r="J359" s="4">
        <v>0.22</v>
      </c>
      <c r="K359" s="4">
        <v>0.21210000000000001</v>
      </c>
      <c r="L359" s="4">
        <v>0.51</v>
      </c>
      <c r="M359" s="4">
        <v>0.25369999999999998</v>
      </c>
      <c r="N359" s="4">
        <v>3</v>
      </c>
      <c r="O359" s="4">
        <v>29</v>
      </c>
      <c r="P359" s="4">
        <v>32</v>
      </c>
      <c r="Q359" s="4">
        <f>SUBTOTAL(109,Table6[casual])</f>
        <v>4921</v>
      </c>
      <c r="R359" s="4">
        <f>SUBTOTAL(109,Table6[registered])</f>
        <v>53383</v>
      </c>
      <c r="S359" s="4">
        <f>SUBTOTAL(109,Table6[cnt])</f>
        <v>58304</v>
      </c>
    </row>
    <row r="360" spans="1:19">
      <c r="A360" s="4">
        <v>359</v>
      </c>
      <c r="B360" s="5">
        <v>40559</v>
      </c>
      <c r="C360" s="4">
        <v>1</v>
      </c>
      <c r="D360" s="4">
        <v>0</v>
      </c>
      <c r="E360" s="4">
        <v>1</v>
      </c>
      <c r="F360" s="4">
        <v>10</v>
      </c>
      <c r="G360" s="4" t="b">
        <v>0</v>
      </c>
      <c r="H360" s="4">
        <v>0</v>
      </c>
      <c r="I360" s="4">
        <v>1</v>
      </c>
      <c r="J360" s="4">
        <v>0.22</v>
      </c>
      <c r="K360" s="4">
        <v>0.21210000000000001</v>
      </c>
      <c r="L360" s="4">
        <v>0.51</v>
      </c>
      <c r="M360" s="4">
        <v>0.28360000000000002</v>
      </c>
      <c r="N360" s="4">
        <v>8</v>
      </c>
      <c r="O360" s="4">
        <v>71</v>
      </c>
      <c r="P360" s="4">
        <v>79</v>
      </c>
      <c r="Q360" s="4">
        <f>SUBTOTAL(109,Table6[casual])</f>
        <v>4921</v>
      </c>
      <c r="R360" s="4">
        <f>SUBTOTAL(109,Table6[registered])</f>
        <v>53383</v>
      </c>
      <c r="S360" s="4">
        <f>SUBTOTAL(109,Table6[cnt])</f>
        <v>58304</v>
      </c>
    </row>
    <row r="361" spans="1:19">
      <c r="A361" s="4">
        <v>360</v>
      </c>
      <c r="B361" s="5">
        <v>40559</v>
      </c>
      <c r="C361" s="4">
        <v>1</v>
      </c>
      <c r="D361" s="4">
        <v>0</v>
      </c>
      <c r="E361" s="4">
        <v>1</v>
      </c>
      <c r="F361" s="4">
        <v>11</v>
      </c>
      <c r="G361" s="4" t="b">
        <v>0</v>
      </c>
      <c r="H361" s="4">
        <v>0</v>
      </c>
      <c r="I361" s="4">
        <v>1</v>
      </c>
      <c r="J361" s="4">
        <v>0.24</v>
      </c>
      <c r="K361" s="4">
        <v>0.2273</v>
      </c>
      <c r="L361" s="4">
        <v>0.44</v>
      </c>
      <c r="M361" s="4">
        <v>0.25369999999999998</v>
      </c>
      <c r="N361" s="4">
        <v>23</v>
      </c>
      <c r="O361" s="4">
        <v>70</v>
      </c>
      <c r="P361" s="4">
        <v>93</v>
      </c>
      <c r="Q361" s="4">
        <f>SUBTOTAL(109,Table6[casual])</f>
        <v>4921</v>
      </c>
      <c r="R361" s="4">
        <f>SUBTOTAL(109,Table6[registered])</f>
        <v>53383</v>
      </c>
      <c r="S361" s="4">
        <f>SUBTOTAL(109,Table6[cnt])</f>
        <v>58304</v>
      </c>
    </row>
    <row r="362" spans="1:19">
      <c r="A362" s="4">
        <v>361</v>
      </c>
      <c r="B362" s="5">
        <v>40559</v>
      </c>
      <c r="C362" s="4">
        <v>1</v>
      </c>
      <c r="D362" s="4">
        <v>0</v>
      </c>
      <c r="E362" s="4">
        <v>1</v>
      </c>
      <c r="F362" s="4">
        <v>12</v>
      </c>
      <c r="G362" s="4" t="b">
        <v>0</v>
      </c>
      <c r="H362" s="4">
        <v>0</v>
      </c>
      <c r="I362" s="4">
        <v>1</v>
      </c>
      <c r="J362" s="4">
        <v>0.24</v>
      </c>
      <c r="K362" s="4">
        <v>0.21210000000000001</v>
      </c>
      <c r="L362" s="4">
        <v>0.41</v>
      </c>
      <c r="M362" s="4">
        <v>0.28360000000000002</v>
      </c>
      <c r="N362" s="4">
        <v>29</v>
      </c>
      <c r="O362" s="4">
        <v>75</v>
      </c>
      <c r="P362" s="4">
        <v>104</v>
      </c>
      <c r="Q362" s="4">
        <f>SUBTOTAL(109,Table6[casual])</f>
        <v>4921</v>
      </c>
      <c r="R362" s="4">
        <f>SUBTOTAL(109,Table6[registered])</f>
        <v>53383</v>
      </c>
      <c r="S362" s="4">
        <f>SUBTOTAL(109,Table6[cnt])</f>
        <v>58304</v>
      </c>
    </row>
    <row r="363" spans="1:19">
      <c r="A363" s="4">
        <v>362</v>
      </c>
      <c r="B363" s="5">
        <v>40559</v>
      </c>
      <c r="C363" s="4">
        <v>1</v>
      </c>
      <c r="D363" s="4">
        <v>0</v>
      </c>
      <c r="E363" s="4">
        <v>1</v>
      </c>
      <c r="F363" s="4">
        <v>13</v>
      </c>
      <c r="G363" s="4" t="b">
        <v>0</v>
      </c>
      <c r="H363" s="4">
        <v>0</v>
      </c>
      <c r="I363" s="4">
        <v>1</v>
      </c>
      <c r="J363" s="4">
        <v>0.26</v>
      </c>
      <c r="K363" s="4">
        <v>0.2273</v>
      </c>
      <c r="L363" s="4">
        <v>0.35</v>
      </c>
      <c r="M363" s="4">
        <v>0.29849999999999999</v>
      </c>
      <c r="N363" s="4">
        <v>23</v>
      </c>
      <c r="O363" s="4">
        <v>95</v>
      </c>
      <c r="P363" s="4">
        <v>118</v>
      </c>
      <c r="Q363" s="4">
        <f>SUBTOTAL(109,Table6[casual])</f>
        <v>4921</v>
      </c>
      <c r="R363" s="4">
        <f>SUBTOTAL(109,Table6[registered])</f>
        <v>53383</v>
      </c>
      <c r="S363" s="4">
        <f>SUBTOTAL(109,Table6[cnt])</f>
        <v>58304</v>
      </c>
    </row>
    <row r="364" spans="1:19">
      <c r="A364" s="4">
        <v>363</v>
      </c>
      <c r="B364" s="5">
        <v>40559</v>
      </c>
      <c r="C364" s="4">
        <v>1</v>
      </c>
      <c r="D364" s="4">
        <v>0</v>
      </c>
      <c r="E364" s="4">
        <v>1</v>
      </c>
      <c r="F364" s="4">
        <v>14</v>
      </c>
      <c r="G364" s="4" t="b">
        <v>0</v>
      </c>
      <c r="H364" s="4">
        <v>0</v>
      </c>
      <c r="I364" s="4">
        <v>1</v>
      </c>
      <c r="J364" s="4">
        <v>0.28000000000000003</v>
      </c>
      <c r="K364" s="4">
        <v>0.2727</v>
      </c>
      <c r="L364" s="4">
        <v>0.36</v>
      </c>
      <c r="M364" s="4">
        <v>0.25369999999999998</v>
      </c>
      <c r="N364" s="4">
        <v>22</v>
      </c>
      <c r="O364" s="4">
        <v>69</v>
      </c>
      <c r="P364" s="4">
        <v>91</v>
      </c>
      <c r="Q364" s="4">
        <f>SUBTOTAL(109,Table6[casual])</f>
        <v>4921</v>
      </c>
      <c r="R364" s="4">
        <f>SUBTOTAL(109,Table6[registered])</f>
        <v>53383</v>
      </c>
      <c r="S364" s="4">
        <f>SUBTOTAL(109,Table6[cnt])</f>
        <v>58304</v>
      </c>
    </row>
    <row r="365" spans="1:19">
      <c r="A365" s="4">
        <v>364</v>
      </c>
      <c r="B365" s="5">
        <v>40559</v>
      </c>
      <c r="C365" s="4">
        <v>1</v>
      </c>
      <c r="D365" s="4">
        <v>0</v>
      </c>
      <c r="E365" s="4">
        <v>1</v>
      </c>
      <c r="F365" s="4">
        <v>15</v>
      </c>
      <c r="G365" s="4" t="b">
        <v>0</v>
      </c>
      <c r="H365" s="4">
        <v>0</v>
      </c>
      <c r="I365" s="4">
        <v>1</v>
      </c>
      <c r="J365" s="4">
        <v>0.26</v>
      </c>
      <c r="K365" s="4">
        <v>0.2424</v>
      </c>
      <c r="L365" s="4">
        <v>0.38</v>
      </c>
      <c r="M365" s="4">
        <v>0.25369999999999998</v>
      </c>
      <c r="N365" s="4">
        <v>35</v>
      </c>
      <c r="O365" s="4">
        <v>78</v>
      </c>
      <c r="P365" s="4">
        <v>113</v>
      </c>
      <c r="Q365" s="4">
        <f>SUBTOTAL(109,Table6[casual])</f>
        <v>4921</v>
      </c>
      <c r="R365" s="4">
        <f>SUBTOTAL(109,Table6[registered])</f>
        <v>53383</v>
      </c>
      <c r="S365" s="4">
        <f>SUBTOTAL(109,Table6[cnt])</f>
        <v>58304</v>
      </c>
    </row>
    <row r="366" spans="1:19">
      <c r="A366" s="4">
        <v>365</v>
      </c>
      <c r="B366" s="5">
        <v>40559</v>
      </c>
      <c r="C366" s="4">
        <v>1</v>
      </c>
      <c r="D366" s="4">
        <v>0</v>
      </c>
      <c r="E366" s="4">
        <v>1</v>
      </c>
      <c r="F366" s="4">
        <v>16</v>
      </c>
      <c r="G366" s="4" t="b">
        <v>0</v>
      </c>
      <c r="H366" s="4">
        <v>0</v>
      </c>
      <c r="I366" s="4">
        <v>1</v>
      </c>
      <c r="J366" s="4">
        <v>0.24</v>
      </c>
      <c r="K366" s="4">
        <v>0.2273</v>
      </c>
      <c r="L366" s="4">
        <v>0.38</v>
      </c>
      <c r="M366" s="4">
        <v>0.22389999999999999</v>
      </c>
      <c r="N366" s="4">
        <v>22</v>
      </c>
      <c r="O366" s="4">
        <v>77</v>
      </c>
      <c r="P366" s="4">
        <v>99</v>
      </c>
      <c r="Q366" s="4">
        <f>SUBTOTAL(109,Table6[casual])</f>
        <v>4921</v>
      </c>
      <c r="R366" s="4">
        <f>SUBTOTAL(109,Table6[registered])</f>
        <v>53383</v>
      </c>
      <c r="S366" s="4">
        <f>SUBTOTAL(109,Table6[cnt])</f>
        <v>58304</v>
      </c>
    </row>
    <row r="367" spans="1:19">
      <c r="A367" s="4">
        <v>366</v>
      </c>
      <c r="B367" s="5">
        <v>40559</v>
      </c>
      <c r="C367" s="4">
        <v>1</v>
      </c>
      <c r="D367" s="4">
        <v>0</v>
      </c>
      <c r="E367" s="4">
        <v>1</v>
      </c>
      <c r="F367" s="4">
        <v>17</v>
      </c>
      <c r="G367" s="4" t="b">
        <v>0</v>
      </c>
      <c r="H367" s="4">
        <v>0</v>
      </c>
      <c r="I367" s="4">
        <v>1</v>
      </c>
      <c r="J367" s="4">
        <v>0.22</v>
      </c>
      <c r="K367" s="4">
        <v>0.21210000000000001</v>
      </c>
      <c r="L367" s="4">
        <v>0.37</v>
      </c>
      <c r="M367" s="4">
        <v>0.25369999999999998</v>
      </c>
      <c r="N367" s="4">
        <v>23</v>
      </c>
      <c r="O367" s="4">
        <v>82</v>
      </c>
      <c r="P367" s="4">
        <v>105</v>
      </c>
      <c r="Q367" s="4">
        <f>SUBTOTAL(109,Table6[casual])</f>
        <v>4921</v>
      </c>
      <c r="R367" s="4">
        <f>SUBTOTAL(109,Table6[registered])</f>
        <v>53383</v>
      </c>
      <c r="S367" s="4">
        <f>SUBTOTAL(109,Table6[cnt])</f>
        <v>58304</v>
      </c>
    </row>
    <row r="368" spans="1:19">
      <c r="A368" s="4">
        <v>367</v>
      </c>
      <c r="B368" s="5">
        <v>40559</v>
      </c>
      <c r="C368" s="4">
        <v>1</v>
      </c>
      <c r="D368" s="4">
        <v>0</v>
      </c>
      <c r="E368" s="4">
        <v>1</v>
      </c>
      <c r="F368" s="4">
        <v>18</v>
      </c>
      <c r="G368" s="4" t="b">
        <v>0</v>
      </c>
      <c r="H368" s="4">
        <v>0</v>
      </c>
      <c r="I368" s="4">
        <v>1</v>
      </c>
      <c r="J368" s="4">
        <v>0.2</v>
      </c>
      <c r="K368" s="4">
        <v>0.21210000000000001</v>
      </c>
      <c r="L368" s="4">
        <v>0.4</v>
      </c>
      <c r="M368" s="4">
        <v>0.16420000000000001</v>
      </c>
      <c r="N368" s="4">
        <v>11</v>
      </c>
      <c r="O368" s="4">
        <v>56</v>
      </c>
      <c r="P368" s="4">
        <v>67</v>
      </c>
      <c r="Q368" s="4">
        <f>SUBTOTAL(109,Table6[casual])</f>
        <v>4921</v>
      </c>
      <c r="R368" s="4">
        <f>SUBTOTAL(109,Table6[registered])</f>
        <v>53383</v>
      </c>
      <c r="S368" s="4">
        <f>SUBTOTAL(109,Table6[cnt])</f>
        <v>58304</v>
      </c>
    </row>
    <row r="369" spans="1:19">
      <c r="A369" s="4">
        <v>368</v>
      </c>
      <c r="B369" s="5">
        <v>40559</v>
      </c>
      <c r="C369" s="4">
        <v>1</v>
      </c>
      <c r="D369" s="4">
        <v>0</v>
      </c>
      <c r="E369" s="4">
        <v>1</v>
      </c>
      <c r="F369" s="4">
        <v>19</v>
      </c>
      <c r="G369" s="4" t="b">
        <v>0</v>
      </c>
      <c r="H369" s="4">
        <v>0</v>
      </c>
      <c r="I369" s="4">
        <v>1</v>
      </c>
      <c r="J369" s="4">
        <v>0.18</v>
      </c>
      <c r="K369" s="4">
        <v>0.19700000000000001</v>
      </c>
      <c r="L369" s="4">
        <v>0.47</v>
      </c>
      <c r="M369" s="4">
        <v>0.1343</v>
      </c>
      <c r="N369" s="4">
        <v>14</v>
      </c>
      <c r="O369" s="4">
        <v>47</v>
      </c>
      <c r="P369" s="4">
        <v>61</v>
      </c>
      <c r="Q369" s="4">
        <f>SUBTOTAL(109,Table6[casual])</f>
        <v>4921</v>
      </c>
      <c r="R369" s="4">
        <f>SUBTOTAL(109,Table6[registered])</f>
        <v>53383</v>
      </c>
      <c r="S369" s="4">
        <f>SUBTOTAL(109,Table6[cnt])</f>
        <v>58304</v>
      </c>
    </row>
    <row r="370" spans="1:19">
      <c r="A370" s="4">
        <v>369</v>
      </c>
      <c r="B370" s="5">
        <v>40559</v>
      </c>
      <c r="C370" s="4">
        <v>1</v>
      </c>
      <c r="D370" s="4">
        <v>0</v>
      </c>
      <c r="E370" s="4">
        <v>1</v>
      </c>
      <c r="F370" s="4">
        <v>20</v>
      </c>
      <c r="G370" s="4" t="b">
        <v>0</v>
      </c>
      <c r="H370" s="4">
        <v>0</v>
      </c>
      <c r="I370" s="4">
        <v>1</v>
      </c>
      <c r="J370" s="4">
        <v>0.18</v>
      </c>
      <c r="K370" s="4">
        <v>0.19700000000000001</v>
      </c>
      <c r="L370" s="4">
        <v>0.47</v>
      </c>
      <c r="M370" s="4">
        <v>0.16420000000000001</v>
      </c>
      <c r="N370" s="4">
        <v>7</v>
      </c>
      <c r="O370" s="4">
        <v>50</v>
      </c>
      <c r="P370" s="4">
        <v>57</v>
      </c>
      <c r="Q370" s="4">
        <f>SUBTOTAL(109,Table6[casual])</f>
        <v>4921</v>
      </c>
      <c r="R370" s="4">
        <f>SUBTOTAL(109,Table6[registered])</f>
        <v>53383</v>
      </c>
      <c r="S370" s="4">
        <f>SUBTOTAL(109,Table6[cnt])</f>
        <v>58304</v>
      </c>
    </row>
    <row r="371" spans="1:19">
      <c r="A371" s="4">
        <v>370</v>
      </c>
      <c r="B371" s="5">
        <v>40559</v>
      </c>
      <c r="C371" s="4">
        <v>1</v>
      </c>
      <c r="D371" s="4">
        <v>0</v>
      </c>
      <c r="E371" s="4">
        <v>1</v>
      </c>
      <c r="F371" s="4">
        <v>21</v>
      </c>
      <c r="G371" s="4" t="b">
        <v>0</v>
      </c>
      <c r="H371" s="4">
        <v>0</v>
      </c>
      <c r="I371" s="4">
        <v>1</v>
      </c>
      <c r="J371" s="4">
        <v>0.18</v>
      </c>
      <c r="K371" s="4">
        <v>0.19700000000000001</v>
      </c>
      <c r="L371" s="4">
        <v>0.51</v>
      </c>
      <c r="M371" s="4">
        <v>0.16420000000000001</v>
      </c>
      <c r="N371" s="4">
        <v>6</v>
      </c>
      <c r="O371" s="4">
        <v>22</v>
      </c>
      <c r="P371" s="4">
        <v>28</v>
      </c>
      <c r="Q371" s="4">
        <f>SUBTOTAL(109,Table6[casual])</f>
        <v>4921</v>
      </c>
      <c r="R371" s="4">
        <f>SUBTOTAL(109,Table6[registered])</f>
        <v>53383</v>
      </c>
      <c r="S371" s="4">
        <f>SUBTOTAL(109,Table6[cnt])</f>
        <v>58304</v>
      </c>
    </row>
    <row r="372" spans="1:19">
      <c r="A372" s="4">
        <v>371</v>
      </c>
      <c r="B372" s="5">
        <v>40559</v>
      </c>
      <c r="C372" s="4">
        <v>1</v>
      </c>
      <c r="D372" s="4">
        <v>0</v>
      </c>
      <c r="E372" s="4">
        <v>1</v>
      </c>
      <c r="F372" s="4">
        <v>22</v>
      </c>
      <c r="G372" s="4" t="b">
        <v>0</v>
      </c>
      <c r="H372" s="4">
        <v>0</v>
      </c>
      <c r="I372" s="4">
        <v>2</v>
      </c>
      <c r="J372" s="4">
        <v>0.2</v>
      </c>
      <c r="K372" s="4">
        <v>0.21210000000000001</v>
      </c>
      <c r="L372" s="4">
        <v>0.49</v>
      </c>
      <c r="M372" s="4">
        <v>0.1343</v>
      </c>
      <c r="N372" s="4">
        <v>2</v>
      </c>
      <c r="O372" s="4">
        <v>19</v>
      </c>
      <c r="P372" s="4">
        <v>21</v>
      </c>
      <c r="Q372" s="4">
        <f>SUBTOTAL(109,Table6[casual])</f>
        <v>4921</v>
      </c>
      <c r="R372" s="4">
        <f>SUBTOTAL(109,Table6[registered])</f>
        <v>53383</v>
      </c>
      <c r="S372" s="4">
        <f>SUBTOTAL(109,Table6[cnt])</f>
        <v>58304</v>
      </c>
    </row>
    <row r="373" spans="1:19">
      <c r="A373" s="4">
        <v>372</v>
      </c>
      <c r="B373" s="5">
        <v>40559</v>
      </c>
      <c r="C373" s="4">
        <v>1</v>
      </c>
      <c r="D373" s="4">
        <v>0</v>
      </c>
      <c r="E373" s="4">
        <v>1</v>
      </c>
      <c r="F373" s="4">
        <v>23</v>
      </c>
      <c r="G373" s="4" t="b">
        <v>0</v>
      </c>
      <c r="H373" s="4">
        <v>0</v>
      </c>
      <c r="I373" s="4">
        <v>2</v>
      </c>
      <c r="J373" s="4">
        <v>0.2</v>
      </c>
      <c r="K373" s="4">
        <v>0.2273</v>
      </c>
      <c r="L373" s="4">
        <v>0.4</v>
      </c>
      <c r="M373" s="4">
        <v>0.1045</v>
      </c>
      <c r="N373" s="4">
        <v>0</v>
      </c>
      <c r="O373" s="4">
        <v>18</v>
      </c>
      <c r="P373" s="4">
        <v>18</v>
      </c>
      <c r="Q373" s="4">
        <f>SUBTOTAL(109,Table6[casual])</f>
        <v>4921</v>
      </c>
      <c r="R373" s="4">
        <f>SUBTOTAL(109,Table6[registered])</f>
        <v>53383</v>
      </c>
      <c r="S373" s="4">
        <f>SUBTOTAL(109,Table6[cnt])</f>
        <v>58304</v>
      </c>
    </row>
    <row r="374" spans="1:19">
      <c r="A374" s="4">
        <v>373</v>
      </c>
      <c r="B374" s="5">
        <v>40560</v>
      </c>
      <c r="C374" s="4">
        <v>1</v>
      </c>
      <c r="D374" s="4">
        <v>0</v>
      </c>
      <c r="E374" s="4">
        <v>1</v>
      </c>
      <c r="F374" s="4">
        <v>0</v>
      </c>
      <c r="G374" s="4" t="b">
        <v>1</v>
      </c>
      <c r="H374" s="4">
        <v>1</v>
      </c>
      <c r="I374" s="4">
        <v>2</v>
      </c>
      <c r="J374" s="4">
        <v>0.2</v>
      </c>
      <c r="K374" s="4">
        <v>0.19700000000000001</v>
      </c>
      <c r="L374" s="4">
        <v>0.47</v>
      </c>
      <c r="M374" s="4">
        <v>0.22389999999999999</v>
      </c>
      <c r="N374" s="4">
        <v>1</v>
      </c>
      <c r="O374" s="4">
        <v>16</v>
      </c>
      <c r="P374" s="4">
        <v>17</v>
      </c>
      <c r="Q374" s="4">
        <f>SUBTOTAL(109,Table6[casual])</f>
        <v>4921</v>
      </c>
      <c r="R374" s="4">
        <f>SUBTOTAL(109,Table6[registered])</f>
        <v>53383</v>
      </c>
      <c r="S374" s="4">
        <f>SUBTOTAL(109,Table6[cnt])</f>
        <v>58304</v>
      </c>
    </row>
    <row r="375" spans="1:19">
      <c r="A375" s="4">
        <v>374</v>
      </c>
      <c r="B375" s="5">
        <v>40560</v>
      </c>
      <c r="C375" s="4">
        <v>1</v>
      </c>
      <c r="D375" s="4">
        <v>0</v>
      </c>
      <c r="E375" s="4">
        <v>1</v>
      </c>
      <c r="F375" s="4">
        <v>1</v>
      </c>
      <c r="G375" s="4" t="b">
        <v>1</v>
      </c>
      <c r="H375" s="4">
        <v>1</v>
      </c>
      <c r="I375" s="4">
        <v>2</v>
      </c>
      <c r="J375" s="4">
        <v>0.2</v>
      </c>
      <c r="K375" s="4">
        <v>0.19700000000000001</v>
      </c>
      <c r="L375" s="4">
        <v>0.44</v>
      </c>
      <c r="M375" s="4">
        <v>0.19400000000000001</v>
      </c>
      <c r="N375" s="4">
        <v>1</v>
      </c>
      <c r="O375" s="4">
        <v>15</v>
      </c>
      <c r="P375" s="4">
        <v>16</v>
      </c>
      <c r="Q375" s="4">
        <f>SUBTOTAL(109,Table6[casual])</f>
        <v>4921</v>
      </c>
      <c r="R375" s="4">
        <f>SUBTOTAL(109,Table6[registered])</f>
        <v>53383</v>
      </c>
      <c r="S375" s="4">
        <f>SUBTOTAL(109,Table6[cnt])</f>
        <v>58304</v>
      </c>
    </row>
    <row r="376" spans="1:19">
      <c r="A376" s="4">
        <v>375</v>
      </c>
      <c r="B376" s="5">
        <v>40560</v>
      </c>
      <c r="C376" s="4">
        <v>1</v>
      </c>
      <c r="D376" s="4">
        <v>0</v>
      </c>
      <c r="E376" s="4">
        <v>1</v>
      </c>
      <c r="F376" s="4">
        <v>2</v>
      </c>
      <c r="G376" s="4" t="b">
        <v>1</v>
      </c>
      <c r="H376" s="4">
        <v>1</v>
      </c>
      <c r="I376" s="4">
        <v>2</v>
      </c>
      <c r="J376" s="4">
        <v>0.18</v>
      </c>
      <c r="K376" s="4">
        <v>0.16669999999999999</v>
      </c>
      <c r="L376" s="4">
        <v>0.43</v>
      </c>
      <c r="M376" s="4">
        <v>0.25369999999999998</v>
      </c>
      <c r="N376" s="4">
        <v>0</v>
      </c>
      <c r="O376" s="4">
        <v>8</v>
      </c>
      <c r="P376" s="4">
        <v>8</v>
      </c>
      <c r="Q376" s="4">
        <f>SUBTOTAL(109,Table6[casual])</f>
        <v>4921</v>
      </c>
      <c r="R376" s="4">
        <f>SUBTOTAL(109,Table6[registered])</f>
        <v>53383</v>
      </c>
      <c r="S376" s="4">
        <f>SUBTOTAL(109,Table6[cnt])</f>
        <v>58304</v>
      </c>
    </row>
    <row r="377" spans="1:19">
      <c r="A377" s="4">
        <v>376</v>
      </c>
      <c r="B377" s="5">
        <v>40560</v>
      </c>
      <c r="C377" s="4">
        <v>1</v>
      </c>
      <c r="D377" s="4">
        <v>0</v>
      </c>
      <c r="E377" s="4">
        <v>1</v>
      </c>
      <c r="F377" s="4">
        <v>3</v>
      </c>
      <c r="G377" s="4" t="b">
        <v>1</v>
      </c>
      <c r="H377" s="4">
        <v>1</v>
      </c>
      <c r="I377" s="4">
        <v>2</v>
      </c>
      <c r="J377" s="4">
        <v>0.18</v>
      </c>
      <c r="K377" s="4">
        <v>0.18179999999999999</v>
      </c>
      <c r="L377" s="4">
        <v>0.43</v>
      </c>
      <c r="M377" s="4">
        <v>0.19400000000000001</v>
      </c>
      <c r="N377" s="4">
        <v>0</v>
      </c>
      <c r="O377" s="4">
        <v>2</v>
      </c>
      <c r="P377" s="4">
        <v>2</v>
      </c>
      <c r="Q377" s="4">
        <f>SUBTOTAL(109,Table6[casual])</f>
        <v>4921</v>
      </c>
      <c r="R377" s="4">
        <f>SUBTOTAL(109,Table6[registered])</f>
        <v>53383</v>
      </c>
      <c r="S377" s="4">
        <f>SUBTOTAL(109,Table6[cnt])</f>
        <v>58304</v>
      </c>
    </row>
    <row r="378" spans="1:19">
      <c r="A378" s="4">
        <v>377</v>
      </c>
      <c r="B378" s="5">
        <v>40560</v>
      </c>
      <c r="C378" s="4">
        <v>1</v>
      </c>
      <c r="D378" s="4">
        <v>0</v>
      </c>
      <c r="E378" s="4">
        <v>1</v>
      </c>
      <c r="F378" s="4">
        <v>4</v>
      </c>
      <c r="G378" s="4" t="b">
        <v>1</v>
      </c>
      <c r="H378" s="4">
        <v>1</v>
      </c>
      <c r="I378" s="4">
        <v>2</v>
      </c>
      <c r="J378" s="4">
        <v>0.18</v>
      </c>
      <c r="K378" s="4">
        <v>0.19700000000000001</v>
      </c>
      <c r="L378" s="4">
        <v>0.43</v>
      </c>
      <c r="M378" s="4">
        <v>0.1343</v>
      </c>
      <c r="N378" s="4">
        <v>1</v>
      </c>
      <c r="O378" s="4">
        <v>2</v>
      </c>
      <c r="P378" s="4">
        <v>3</v>
      </c>
      <c r="Q378" s="4">
        <f>SUBTOTAL(109,Table6[casual])</f>
        <v>4921</v>
      </c>
      <c r="R378" s="4">
        <f>SUBTOTAL(109,Table6[registered])</f>
        <v>53383</v>
      </c>
      <c r="S378" s="4">
        <f>SUBTOTAL(109,Table6[cnt])</f>
        <v>58304</v>
      </c>
    </row>
    <row r="379" spans="1:19">
      <c r="A379" s="4">
        <v>378</v>
      </c>
      <c r="B379" s="5">
        <v>40560</v>
      </c>
      <c r="C379" s="4">
        <v>1</v>
      </c>
      <c r="D379" s="4">
        <v>0</v>
      </c>
      <c r="E379" s="4">
        <v>1</v>
      </c>
      <c r="F379" s="4">
        <v>5</v>
      </c>
      <c r="G379" s="4" t="b">
        <v>1</v>
      </c>
      <c r="H379" s="4">
        <v>1</v>
      </c>
      <c r="I379" s="4">
        <v>2</v>
      </c>
      <c r="J379" s="4">
        <v>0.18</v>
      </c>
      <c r="K379" s="4">
        <v>0.19700000000000001</v>
      </c>
      <c r="L379" s="4">
        <v>0.43</v>
      </c>
      <c r="M379" s="4">
        <v>0.16420000000000001</v>
      </c>
      <c r="N379" s="4">
        <v>0</v>
      </c>
      <c r="O379" s="4">
        <v>1</v>
      </c>
      <c r="P379" s="4">
        <v>1</v>
      </c>
      <c r="Q379" s="4">
        <f>SUBTOTAL(109,Table6[casual])</f>
        <v>4921</v>
      </c>
      <c r="R379" s="4">
        <f>SUBTOTAL(109,Table6[registered])</f>
        <v>53383</v>
      </c>
      <c r="S379" s="4">
        <f>SUBTOTAL(109,Table6[cnt])</f>
        <v>58304</v>
      </c>
    </row>
    <row r="380" spans="1:19">
      <c r="A380" s="4">
        <v>379</v>
      </c>
      <c r="B380" s="5">
        <v>40560</v>
      </c>
      <c r="C380" s="4">
        <v>1</v>
      </c>
      <c r="D380" s="4">
        <v>0</v>
      </c>
      <c r="E380" s="4">
        <v>1</v>
      </c>
      <c r="F380" s="4">
        <v>6</v>
      </c>
      <c r="G380" s="4" t="b">
        <v>1</v>
      </c>
      <c r="H380" s="4">
        <v>1</v>
      </c>
      <c r="I380" s="4">
        <v>2</v>
      </c>
      <c r="J380" s="4">
        <v>0.18</v>
      </c>
      <c r="K380" s="4">
        <v>0.18179999999999999</v>
      </c>
      <c r="L380" s="4">
        <v>0.43</v>
      </c>
      <c r="M380" s="4">
        <v>0.19400000000000001</v>
      </c>
      <c r="N380" s="4">
        <v>0</v>
      </c>
      <c r="O380" s="4">
        <v>5</v>
      </c>
      <c r="P380" s="4">
        <v>5</v>
      </c>
      <c r="Q380" s="4">
        <f>SUBTOTAL(109,Table6[casual])</f>
        <v>4921</v>
      </c>
      <c r="R380" s="4">
        <f>SUBTOTAL(109,Table6[registered])</f>
        <v>53383</v>
      </c>
      <c r="S380" s="4">
        <f>SUBTOTAL(109,Table6[cnt])</f>
        <v>58304</v>
      </c>
    </row>
    <row r="381" spans="1:19">
      <c r="A381" s="4">
        <v>380</v>
      </c>
      <c r="B381" s="5">
        <v>40560</v>
      </c>
      <c r="C381" s="4">
        <v>1</v>
      </c>
      <c r="D381" s="4">
        <v>0</v>
      </c>
      <c r="E381" s="4">
        <v>1</v>
      </c>
      <c r="F381" s="4">
        <v>7</v>
      </c>
      <c r="G381" s="4" t="b">
        <v>1</v>
      </c>
      <c r="H381" s="4">
        <v>1</v>
      </c>
      <c r="I381" s="4">
        <v>2</v>
      </c>
      <c r="J381" s="4">
        <v>0.16</v>
      </c>
      <c r="K381" s="4">
        <v>0.18179999999999999</v>
      </c>
      <c r="L381" s="4">
        <v>0.5</v>
      </c>
      <c r="M381" s="4">
        <v>0.1343</v>
      </c>
      <c r="N381" s="4">
        <v>4</v>
      </c>
      <c r="O381" s="4">
        <v>9</v>
      </c>
      <c r="P381" s="4">
        <v>13</v>
      </c>
      <c r="Q381" s="4">
        <f>SUBTOTAL(109,Table6[casual])</f>
        <v>4921</v>
      </c>
      <c r="R381" s="4">
        <f>SUBTOTAL(109,Table6[registered])</f>
        <v>53383</v>
      </c>
      <c r="S381" s="4">
        <f>SUBTOTAL(109,Table6[cnt])</f>
        <v>58304</v>
      </c>
    </row>
    <row r="382" spans="1:19">
      <c r="A382" s="4">
        <v>381</v>
      </c>
      <c r="B382" s="5">
        <v>40560</v>
      </c>
      <c r="C382" s="4">
        <v>1</v>
      </c>
      <c r="D382" s="4">
        <v>0</v>
      </c>
      <c r="E382" s="4">
        <v>1</v>
      </c>
      <c r="F382" s="4">
        <v>8</v>
      </c>
      <c r="G382" s="4" t="b">
        <v>1</v>
      </c>
      <c r="H382" s="4">
        <v>1</v>
      </c>
      <c r="I382" s="4">
        <v>2</v>
      </c>
      <c r="J382" s="4">
        <v>0.16</v>
      </c>
      <c r="K382" s="4">
        <v>0.1515</v>
      </c>
      <c r="L382" s="4">
        <v>0.47</v>
      </c>
      <c r="M382" s="4">
        <v>0.22389999999999999</v>
      </c>
      <c r="N382" s="4">
        <v>3</v>
      </c>
      <c r="O382" s="4">
        <v>30</v>
      </c>
      <c r="P382" s="4">
        <v>33</v>
      </c>
      <c r="Q382" s="4">
        <f>SUBTOTAL(109,Table6[casual])</f>
        <v>4921</v>
      </c>
      <c r="R382" s="4">
        <f>SUBTOTAL(109,Table6[registered])</f>
        <v>53383</v>
      </c>
      <c r="S382" s="4">
        <f>SUBTOTAL(109,Table6[cnt])</f>
        <v>58304</v>
      </c>
    </row>
    <row r="383" spans="1:19">
      <c r="A383" s="4">
        <v>382</v>
      </c>
      <c r="B383" s="5">
        <v>40560</v>
      </c>
      <c r="C383" s="4">
        <v>1</v>
      </c>
      <c r="D383" s="4">
        <v>0</v>
      </c>
      <c r="E383" s="4">
        <v>1</v>
      </c>
      <c r="F383" s="4">
        <v>9</v>
      </c>
      <c r="G383" s="4" t="b">
        <v>1</v>
      </c>
      <c r="H383" s="4">
        <v>1</v>
      </c>
      <c r="I383" s="4">
        <v>2</v>
      </c>
      <c r="J383" s="4">
        <v>0.16</v>
      </c>
      <c r="K383" s="4">
        <v>0.1515</v>
      </c>
      <c r="L383" s="4">
        <v>0.47</v>
      </c>
      <c r="M383" s="4">
        <v>0.22389999999999999</v>
      </c>
      <c r="N383" s="4">
        <v>8</v>
      </c>
      <c r="O383" s="4">
        <v>39</v>
      </c>
      <c r="P383" s="4">
        <v>47</v>
      </c>
      <c r="Q383" s="4">
        <f>SUBTOTAL(109,Table6[casual])</f>
        <v>4921</v>
      </c>
      <c r="R383" s="4">
        <f>SUBTOTAL(109,Table6[registered])</f>
        <v>53383</v>
      </c>
      <c r="S383" s="4">
        <f>SUBTOTAL(109,Table6[cnt])</f>
        <v>58304</v>
      </c>
    </row>
    <row r="384" spans="1:19">
      <c r="A384" s="4">
        <v>383</v>
      </c>
      <c r="B384" s="5">
        <v>40560</v>
      </c>
      <c r="C384" s="4">
        <v>1</v>
      </c>
      <c r="D384" s="4">
        <v>0</v>
      </c>
      <c r="E384" s="4">
        <v>1</v>
      </c>
      <c r="F384" s="4">
        <v>10</v>
      </c>
      <c r="G384" s="4" t="b">
        <v>1</v>
      </c>
      <c r="H384" s="4">
        <v>1</v>
      </c>
      <c r="I384" s="4">
        <v>2</v>
      </c>
      <c r="J384" s="4">
        <v>0.16</v>
      </c>
      <c r="K384" s="4">
        <v>0.1515</v>
      </c>
      <c r="L384" s="4">
        <v>0.5</v>
      </c>
      <c r="M384" s="4">
        <v>0.25369999999999998</v>
      </c>
      <c r="N384" s="4">
        <v>7</v>
      </c>
      <c r="O384" s="4">
        <v>50</v>
      </c>
      <c r="P384" s="4">
        <v>57</v>
      </c>
      <c r="Q384" s="4">
        <f>SUBTOTAL(109,Table6[casual])</f>
        <v>4921</v>
      </c>
      <c r="R384" s="4">
        <f>SUBTOTAL(109,Table6[registered])</f>
        <v>53383</v>
      </c>
      <c r="S384" s="4">
        <f>SUBTOTAL(109,Table6[cnt])</f>
        <v>58304</v>
      </c>
    </row>
    <row r="385" spans="1:19">
      <c r="A385" s="4">
        <v>384</v>
      </c>
      <c r="B385" s="5">
        <v>40560</v>
      </c>
      <c r="C385" s="4">
        <v>1</v>
      </c>
      <c r="D385" s="4">
        <v>0</v>
      </c>
      <c r="E385" s="4">
        <v>1</v>
      </c>
      <c r="F385" s="4">
        <v>11</v>
      </c>
      <c r="G385" s="4" t="b">
        <v>1</v>
      </c>
      <c r="H385" s="4">
        <v>1</v>
      </c>
      <c r="I385" s="4">
        <v>2</v>
      </c>
      <c r="J385" s="4">
        <v>0.16</v>
      </c>
      <c r="K385" s="4">
        <v>0.1515</v>
      </c>
      <c r="L385" s="4">
        <v>0.55000000000000004</v>
      </c>
      <c r="M385" s="4">
        <v>0.19400000000000001</v>
      </c>
      <c r="N385" s="4">
        <v>9</v>
      </c>
      <c r="O385" s="4">
        <v>55</v>
      </c>
      <c r="P385" s="4">
        <v>64</v>
      </c>
      <c r="Q385" s="4">
        <f>SUBTOTAL(109,Table6[casual])</f>
        <v>4921</v>
      </c>
      <c r="R385" s="4">
        <f>SUBTOTAL(109,Table6[registered])</f>
        <v>53383</v>
      </c>
      <c r="S385" s="4">
        <f>SUBTOTAL(109,Table6[cnt])</f>
        <v>58304</v>
      </c>
    </row>
    <row r="386" spans="1:19">
      <c r="A386" s="4">
        <v>385</v>
      </c>
      <c r="B386" s="5">
        <v>40560</v>
      </c>
      <c r="C386" s="4">
        <v>1</v>
      </c>
      <c r="D386" s="4">
        <v>0</v>
      </c>
      <c r="E386" s="4">
        <v>1</v>
      </c>
      <c r="F386" s="4">
        <v>12</v>
      </c>
      <c r="G386" s="4" t="b">
        <v>1</v>
      </c>
      <c r="H386" s="4">
        <v>1</v>
      </c>
      <c r="I386" s="4">
        <v>2</v>
      </c>
      <c r="J386" s="4">
        <v>0.18</v>
      </c>
      <c r="K386" s="4">
        <v>0.19700000000000001</v>
      </c>
      <c r="L386" s="4">
        <v>0.47</v>
      </c>
      <c r="M386" s="4">
        <v>0.1343</v>
      </c>
      <c r="N386" s="4">
        <v>10</v>
      </c>
      <c r="O386" s="4">
        <v>70</v>
      </c>
      <c r="P386" s="4">
        <v>80</v>
      </c>
      <c r="Q386" s="4">
        <f>SUBTOTAL(109,Table6[casual])</f>
        <v>4921</v>
      </c>
      <c r="R386" s="4">
        <f>SUBTOTAL(109,Table6[registered])</f>
        <v>53383</v>
      </c>
      <c r="S386" s="4">
        <f>SUBTOTAL(109,Table6[cnt])</f>
        <v>58304</v>
      </c>
    </row>
    <row r="387" spans="1:19">
      <c r="A387" s="4">
        <v>386</v>
      </c>
      <c r="B387" s="5">
        <v>40560</v>
      </c>
      <c r="C387" s="4">
        <v>1</v>
      </c>
      <c r="D387" s="4">
        <v>0</v>
      </c>
      <c r="E387" s="4">
        <v>1</v>
      </c>
      <c r="F387" s="4">
        <v>13</v>
      </c>
      <c r="G387" s="4" t="b">
        <v>1</v>
      </c>
      <c r="H387" s="4">
        <v>1</v>
      </c>
      <c r="I387" s="4">
        <v>2</v>
      </c>
      <c r="J387" s="4">
        <v>0.18</v>
      </c>
      <c r="K387" s="4">
        <v>0.19700000000000001</v>
      </c>
      <c r="L387" s="4">
        <v>0.47</v>
      </c>
      <c r="M387" s="4">
        <v>0.1343</v>
      </c>
      <c r="N387" s="4">
        <v>13</v>
      </c>
      <c r="O387" s="4">
        <v>80</v>
      </c>
      <c r="P387" s="4">
        <v>93</v>
      </c>
      <c r="Q387" s="4">
        <f>SUBTOTAL(109,Table6[casual])</f>
        <v>4921</v>
      </c>
      <c r="R387" s="4">
        <f>SUBTOTAL(109,Table6[registered])</f>
        <v>53383</v>
      </c>
      <c r="S387" s="4">
        <f>SUBTOTAL(109,Table6[cnt])</f>
        <v>58304</v>
      </c>
    </row>
    <row r="388" spans="1:19">
      <c r="A388" s="4">
        <v>387</v>
      </c>
      <c r="B388" s="5">
        <v>40560</v>
      </c>
      <c r="C388" s="4">
        <v>1</v>
      </c>
      <c r="D388" s="4">
        <v>0</v>
      </c>
      <c r="E388" s="4">
        <v>1</v>
      </c>
      <c r="F388" s="4">
        <v>14</v>
      </c>
      <c r="G388" s="4" t="b">
        <v>1</v>
      </c>
      <c r="H388" s="4">
        <v>1</v>
      </c>
      <c r="I388" s="4">
        <v>2</v>
      </c>
      <c r="J388" s="4">
        <v>0.18</v>
      </c>
      <c r="K388" s="4">
        <v>0.21210000000000001</v>
      </c>
      <c r="L388" s="4">
        <v>0.43</v>
      </c>
      <c r="M388" s="4">
        <v>0.1045</v>
      </c>
      <c r="N388" s="4">
        <v>12</v>
      </c>
      <c r="O388" s="4">
        <v>74</v>
      </c>
      <c r="P388" s="4">
        <v>86</v>
      </c>
      <c r="Q388" s="4">
        <f>SUBTOTAL(109,Table6[casual])</f>
        <v>4921</v>
      </c>
      <c r="R388" s="4">
        <f>SUBTOTAL(109,Table6[registered])</f>
        <v>53383</v>
      </c>
      <c r="S388" s="4">
        <f>SUBTOTAL(109,Table6[cnt])</f>
        <v>58304</v>
      </c>
    </row>
    <row r="389" spans="1:19">
      <c r="A389" s="4">
        <v>388</v>
      </c>
      <c r="B389" s="5">
        <v>40560</v>
      </c>
      <c r="C389" s="4">
        <v>1</v>
      </c>
      <c r="D389" s="4">
        <v>0</v>
      </c>
      <c r="E389" s="4">
        <v>1</v>
      </c>
      <c r="F389" s="4">
        <v>15</v>
      </c>
      <c r="G389" s="4" t="b">
        <v>1</v>
      </c>
      <c r="H389" s="4">
        <v>1</v>
      </c>
      <c r="I389" s="4">
        <v>2</v>
      </c>
      <c r="J389" s="4">
        <v>0.2</v>
      </c>
      <c r="K389" s="4">
        <v>0.21210000000000001</v>
      </c>
      <c r="L389" s="4">
        <v>0.47</v>
      </c>
      <c r="M389" s="4">
        <v>0.16420000000000001</v>
      </c>
      <c r="N389" s="4">
        <v>21</v>
      </c>
      <c r="O389" s="4">
        <v>72</v>
      </c>
      <c r="P389" s="4">
        <v>93</v>
      </c>
      <c r="Q389" s="4">
        <f>SUBTOTAL(109,Table6[casual])</f>
        <v>4921</v>
      </c>
      <c r="R389" s="4">
        <f>SUBTOTAL(109,Table6[registered])</f>
        <v>53383</v>
      </c>
      <c r="S389" s="4">
        <f>SUBTOTAL(109,Table6[cnt])</f>
        <v>58304</v>
      </c>
    </row>
    <row r="390" spans="1:19">
      <c r="A390" s="4">
        <v>389</v>
      </c>
      <c r="B390" s="5">
        <v>40560</v>
      </c>
      <c r="C390" s="4">
        <v>1</v>
      </c>
      <c r="D390" s="4">
        <v>0</v>
      </c>
      <c r="E390" s="4">
        <v>1</v>
      </c>
      <c r="F390" s="4">
        <v>16</v>
      </c>
      <c r="G390" s="4" t="b">
        <v>1</v>
      </c>
      <c r="H390" s="4">
        <v>1</v>
      </c>
      <c r="I390" s="4">
        <v>2</v>
      </c>
      <c r="J390" s="4">
        <v>0.2</v>
      </c>
      <c r="K390" s="4">
        <v>0.21210000000000001</v>
      </c>
      <c r="L390" s="4">
        <v>0.47</v>
      </c>
      <c r="M390" s="4">
        <v>0.16420000000000001</v>
      </c>
      <c r="N390" s="4">
        <v>6</v>
      </c>
      <c r="O390" s="4">
        <v>76</v>
      </c>
      <c r="P390" s="4">
        <v>82</v>
      </c>
      <c r="Q390" s="4">
        <f>SUBTOTAL(109,Table6[casual])</f>
        <v>4921</v>
      </c>
      <c r="R390" s="4">
        <f>SUBTOTAL(109,Table6[registered])</f>
        <v>53383</v>
      </c>
      <c r="S390" s="4">
        <f>SUBTOTAL(109,Table6[cnt])</f>
        <v>58304</v>
      </c>
    </row>
    <row r="391" spans="1:19">
      <c r="A391" s="4">
        <v>390</v>
      </c>
      <c r="B391" s="5">
        <v>40560</v>
      </c>
      <c r="C391" s="4">
        <v>1</v>
      </c>
      <c r="D391" s="4">
        <v>0</v>
      </c>
      <c r="E391" s="4">
        <v>1</v>
      </c>
      <c r="F391" s="4">
        <v>17</v>
      </c>
      <c r="G391" s="4" t="b">
        <v>1</v>
      </c>
      <c r="H391" s="4">
        <v>1</v>
      </c>
      <c r="I391" s="4">
        <v>1</v>
      </c>
      <c r="J391" s="4">
        <v>0.2</v>
      </c>
      <c r="K391" s="4">
        <v>0.19700000000000001</v>
      </c>
      <c r="L391" s="4">
        <v>0.51</v>
      </c>
      <c r="M391" s="4">
        <v>0.19400000000000001</v>
      </c>
      <c r="N391" s="4">
        <v>4</v>
      </c>
      <c r="O391" s="4">
        <v>67</v>
      </c>
      <c r="P391" s="4">
        <v>71</v>
      </c>
      <c r="Q391" s="4">
        <f>SUBTOTAL(109,Table6[casual])</f>
        <v>4921</v>
      </c>
      <c r="R391" s="4">
        <f>SUBTOTAL(109,Table6[registered])</f>
        <v>53383</v>
      </c>
      <c r="S391" s="4">
        <f>SUBTOTAL(109,Table6[cnt])</f>
        <v>58304</v>
      </c>
    </row>
    <row r="392" spans="1:19">
      <c r="A392" s="4">
        <v>391</v>
      </c>
      <c r="B392" s="5">
        <v>40560</v>
      </c>
      <c r="C392" s="4">
        <v>1</v>
      </c>
      <c r="D392" s="4">
        <v>0</v>
      </c>
      <c r="E392" s="4">
        <v>1</v>
      </c>
      <c r="F392" s="4">
        <v>18</v>
      </c>
      <c r="G392" s="4" t="b">
        <v>1</v>
      </c>
      <c r="H392" s="4">
        <v>1</v>
      </c>
      <c r="I392" s="4">
        <v>2</v>
      </c>
      <c r="J392" s="4">
        <v>0.18</v>
      </c>
      <c r="K392" s="4">
        <v>0.16669999999999999</v>
      </c>
      <c r="L392" s="4">
        <v>0.55000000000000004</v>
      </c>
      <c r="M392" s="4">
        <v>0.25369999999999998</v>
      </c>
      <c r="N392" s="4">
        <v>7</v>
      </c>
      <c r="O392" s="4">
        <v>85</v>
      </c>
      <c r="P392" s="4">
        <v>92</v>
      </c>
      <c r="Q392" s="4">
        <f>SUBTOTAL(109,Table6[casual])</f>
        <v>4921</v>
      </c>
      <c r="R392" s="4">
        <f>SUBTOTAL(109,Table6[registered])</f>
        <v>53383</v>
      </c>
      <c r="S392" s="4">
        <f>SUBTOTAL(109,Table6[cnt])</f>
        <v>58304</v>
      </c>
    </row>
    <row r="393" spans="1:19">
      <c r="A393" s="4">
        <v>392</v>
      </c>
      <c r="B393" s="5">
        <v>40560</v>
      </c>
      <c r="C393" s="4">
        <v>1</v>
      </c>
      <c r="D393" s="4">
        <v>0</v>
      </c>
      <c r="E393" s="4">
        <v>1</v>
      </c>
      <c r="F393" s="4">
        <v>19</v>
      </c>
      <c r="G393" s="4" t="b">
        <v>1</v>
      </c>
      <c r="H393" s="4">
        <v>1</v>
      </c>
      <c r="I393" s="4">
        <v>3</v>
      </c>
      <c r="J393" s="4">
        <v>0.18</v>
      </c>
      <c r="K393" s="4">
        <v>0.18179999999999999</v>
      </c>
      <c r="L393" s="4">
        <v>0.59</v>
      </c>
      <c r="M393" s="4">
        <v>0.19400000000000001</v>
      </c>
      <c r="N393" s="4">
        <v>2</v>
      </c>
      <c r="O393" s="4">
        <v>58</v>
      </c>
      <c r="P393" s="4">
        <v>60</v>
      </c>
      <c r="Q393" s="4">
        <f>SUBTOTAL(109,Table6[casual])</f>
        <v>4921</v>
      </c>
      <c r="R393" s="4">
        <f>SUBTOTAL(109,Table6[registered])</f>
        <v>53383</v>
      </c>
      <c r="S393" s="4">
        <f>SUBTOTAL(109,Table6[cnt])</f>
        <v>58304</v>
      </c>
    </row>
    <row r="394" spans="1:19">
      <c r="A394" s="4">
        <v>393</v>
      </c>
      <c r="B394" s="5">
        <v>40560</v>
      </c>
      <c r="C394" s="4">
        <v>1</v>
      </c>
      <c r="D394" s="4">
        <v>0</v>
      </c>
      <c r="E394" s="4">
        <v>1</v>
      </c>
      <c r="F394" s="4">
        <v>20</v>
      </c>
      <c r="G394" s="4" t="b">
        <v>1</v>
      </c>
      <c r="H394" s="4">
        <v>1</v>
      </c>
      <c r="I394" s="4">
        <v>3</v>
      </c>
      <c r="J394" s="4">
        <v>0.16</v>
      </c>
      <c r="K394" s="4">
        <v>0.1515</v>
      </c>
      <c r="L394" s="4">
        <v>0.8</v>
      </c>
      <c r="M394" s="4">
        <v>0.19400000000000001</v>
      </c>
      <c r="N394" s="4">
        <v>4</v>
      </c>
      <c r="O394" s="4">
        <v>29</v>
      </c>
      <c r="P394" s="4">
        <v>33</v>
      </c>
      <c r="Q394" s="4">
        <f>SUBTOTAL(109,Table6[casual])</f>
        <v>4921</v>
      </c>
      <c r="R394" s="4">
        <f>SUBTOTAL(109,Table6[registered])</f>
        <v>53383</v>
      </c>
      <c r="S394" s="4">
        <f>SUBTOTAL(109,Table6[cnt])</f>
        <v>58304</v>
      </c>
    </row>
    <row r="395" spans="1:19">
      <c r="A395" s="4">
        <v>394</v>
      </c>
      <c r="B395" s="5">
        <v>40560</v>
      </c>
      <c r="C395" s="4">
        <v>1</v>
      </c>
      <c r="D395" s="4">
        <v>0</v>
      </c>
      <c r="E395" s="4">
        <v>1</v>
      </c>
      <c r="F395" s="4">
        <v>21</v>
      </c>
      <c r="G395" s="4" t="b">
        <v>1</v>
      </c>
      <c r="H395" s="4">
        <v>1</v>
      </c>
      <c r="I395" s="4">
        <v>3</v>
      </c>
      <c r="J395" s="4">
        <v>0.16</v>
      </c>
      <c r="K395" s="4">
        <v>0.1515</v>
      </c>
      <c r="L395" s="4">
        <v>0.8</v>
      </c>
      <c r="M395" s="4">
        <v>0.19400000000000001</v>
      </c>
      <c r="N395" s="4">
        <v>3</v>
      </c>
      <c r="O395" s="4">
        <v>24</v>
      </c>
      <c r="P395" s="4">
        <v>27</v>
      </c>
      <c r="Q395" s="4">
        <f>SUBTOTAL(109,Table6[casual])</f>
        <v>4921</v>
      </c>
      <c r="R395" s="4">
        <f>SUBTOTAL(109,Table6[registered])</f>
        <v>53383</v>
      </c>
      <c r="S395" s="4">
        <f>SUBTOTAL(109,Table6[cnt])</f>
        <v>58304</v>
      </c>
    </row>
    <row r="396" spans="1:19">
      <c r="A396" s="4">
        <v>395</v>
      </c>
      <c r="B396" s="5">
        <v>40560</v>
      </c>
      <c r="C396" s="4">
        <v>1</v>
      </c>
      <c r="D396" s="4">
        <v>0</v>
      </c>
      <c r="E396" s="4">
        <v>1</v>
      </c>
      <c r="F396" s="4">
        <v>22</v>
      </c>
      <c r="G396" s="4" t="b">
        <v>1</v>
      </c>
      <c r="H396" s="4">
        <v>1</v>
      </c>
      <c r="I396" s="4">
        <v>3</v>
      </c>
      <c r="J396" s="4">
        <v>0.14000000000000001</v>
      </c>
      <c r="K396" s="4">
        <v>0.1212</v>
      </c>
      <c r="L396" s="4">
        <v>0.93</v>
      </c>
      <c r="M396" s="4">
        <v>0.25369999999999998</v>
      </c>
      <c r="N396" s="4">
        <v>0</v>
      </c>
      <c r="O396" s="4">
        <v>13</v>
      </c>
      <c r="P396" s="4">
        <v>13</v>
      </c>
      <c r="Q396" s="4">
        <f>SUBTOTAL(109,Table6[casual])</f>
        <v>4921</v>
      </c>
      <c r="R396" s="4">
        <f>SUBTOTAL(109,Table6[registered])</f>
        <v>53383</v>
      </c>
      <c r="S396" s="4">
        <f>SUBTOTAL(109,Table6[cnt])</f>
        <v>58304</v>
      </c>
    </row>
    <row r="397" spans="1:19">
      <c r="A397" s="4">
        <v>396</v>
      </c>
      <c r="B397" s="5">
        <v>40560</v>
      </c>
      <c r="C397" s="4">
        <v>1</v>
      </c>
      <c r="D397" s="4">
        <v>0</v>
      </c>
      <c r="E397" s="4">
        <v>1</v>
      </c>
      <c r="F397" s="4">
        <v>23</v>
      </c>
      <c r="G397" s="4" t="b">
        <v>1</v>
      </c>
      <c r="H397" s="4">
        <v>1</v>
      </c>
      <c r="I397" s="4">
        <v>3</v>
      </c>
      <c r="J397" s="4">
        <v>0.16</v>
      </c>
      <c r="K397" s="4">
        <v>0.13639999999999999</v>
      </c>
      <c r="L397" s="4">
        <v>0.86</v>
      </c>
      <c r="M397" s="4">
        <v>0.28360000000000002</v>
      </c>
      <c r="N397" s="4">
        <v>1</v>
      </c>
      <c r="O397" s="4">
        <v>3</v>
      </c>
      <c r="P397" s="4">
        <v>4</v>
      </c>
      <c r="Q397" s="4">
        <f>SUBTOTAL(109,Table6[casual])</f>
        <v>4921</v>
      </c>
      <c r="R397" s="4">
        <f>SUBTOTAL(109,Table6[registered])</f>
        <v>53383</v>
      </c>
      <c r="S397" s="4">
        <f>SUBTOTAL(109,Table6[cnt])</f>
        <v>58304</v>
      </c>
    </row>
    <row r="398" spans="1:19">
      <c r="A398" s="4">
        <v>397</v>
      </c>
      <c r="B398" s="5">
        <v>40561</v>
      </c>
      <c r="C398" s="4">
        <v>1</v>
      </c>
      <c r="D398" s="4">
        <v>0</v>
      </c>
      <c r="E398" s="4">
        <v>1</v>
      </c>
      <c r="F398" s="4">
        <v>12</v>
      </c>
      <c r="G398" s="4" t="b">
        <v>0</v>
      </c>
      <c r="H398" s="4">
        <v>2</v>
      </c>
      <c r="I398" s="4">
        <v>2</v>
      </c>
      <c r="J398" s="4">
        <v>0.2</v>
      </c>
      <c r="K398" s="4">
        <v>0.18179999999999999</v>
      </c>
      <c r="L398" s="4">
        <v>0.86</v>
      </c>
      <c r="M398" s="4">
        <v>0.32840000000000003</v>
      </c>
      <c r="N398" s="4">
        <v>0</v>
      </c>
      <c r="O398" s="4">
        <v>3</v>
      </c>
      <c r="P398" s="4">
        <v>3</v>
      </c>
      <c r="Q398" s="4">
        <f>SUBTOTAL(109,Table6[casual])</f>
        <v>4921</v>
      </c>
      <c r="R398" s="4">
        <f>SUBTOTAL(109,Table6[registered])</f>
        <v>53383</v>
      </c>
      <c r="S398" s="4">
        <f>SUBTOTAL(109,Table6[cnt])</f>
        <v>58304</v>
      </c>
    </row>
    <row r="399" spans="1:19">
      <c r="A399" s="4">
        <v>398</v>
      </c>
      <c r="B399" s="5">
        <v>40561</v>
      </c>
      <c r="C399" s="4">
        <v>1</v>
      </c>
      <c r="D399" s="4">
        <v>0</v>
      </c>
      <c r="E399" s="4">
        <v>1</v>
      </c>
      <c r="F399" s="4">
        <v>13</v>
      </c>
      <c r="G399" s="4" t="b">
        <v>0</v>
      </c>
      <c r="H399" s="4">
        <v>2</v>
      </c>
      <c r="I399" s="4">
        <v>2</v>
      </c>
      <c r="J399" s="4">
        <v>0.2</v>
      </c>
      <c r="K399" s="4">
        <v>0.19700000000000001</v>
      </c>
      <c r="L399" s="4">
        <v>0.86</v>
      </c>
      <c r="M399" s="4">
        <v>0.22389999999999999</v>
      </c>
      <c r="N399" s="4">
        <v>0</v>
      </c>
      <c r="O399" s="4">
        <v>22</v>
      </c>
      <c r="P399" s="4">
        <v>22</v>
      </c>
      <c r="Q399" s="4">
        <f>SUBTOTAL(109,Table6[casual])</f>
        <v>4921</v>
      </c>
      <c r="R399" s="4">
        <f>SUBTOTAL(109,Table6[registered])</f>
        <v>53383</v>
      </c>
      <c r="S399" s="4">
        <f>SUBTOTAL(109,Table6[cnt])</f>
        <v>58304</v>
      </c>
    </row>
    <row r="400" spans="1:19">
      <c r="A400" s="4">
        <v>399</v>
      </c>
      <c r="B400" s="5">
        <v>40561</v>
      </c>
      <c r="C400" s="4">
        <v>1</v>
      </c>
      <c r="D400" s="4">
        <v>0</v>
      </c>
      <c r="E400" s="4">
        <v>1</v>
      </c>
      <c r="F400" s="4">
        <v>14</v>
      </c>
      <c r="G400" s="4" t="b">
        <v>0</v>
      </c>
      <c r="H400" s="4">
        <v>2</v>
      </c>
      <c r="I400" s="4">
        <v>2</v>
      </c>
      <c r="J400" s="4">
        <v>0.22</v>
      </c>
      <c r="K400" s="4">
        <v>0.2273</v>
      </c>
      <c r="L400" s="4">
        <v>0.8</v>
      </c>
      <c r="M400" s="4">
        <v>0.16420000000000001</v>
      </c>
      <c r="N400" s="4">
        <v>2</v>
      </c>
      <c r="O400" s="4">
        <v>26</v>
      </c>
      <c r="P400" s="4">
        <v>28</v>
      </c>
      <c r="Q400" s="4">
        <f>SUBTOTAL(109,Table6[casual])</f>
        <v>4921</v>
      </c>
      <c r="R400" s="4">
        <f>SUBTOTAL(109,Table6[registered])</f>
        <v>53383</v>
      </c>
      <c r="S400" s="4">
        <f>SUBTOTAL(109,Table6[cnt])</f>
        <v>58304</v>
      </c>
    </row>
    <row r="401" spans="1:19">
      <c r="A401" s="4">
        <v>400</v>
      </c>
      <c r="B401" s="5">
        <v>40561</v>
      </c>
      <c r="C401" s="4">
        <v>1</v>
      </c>
      <c r="D401" s="4">
        <v>0</v>
      </c>
      <c r="E401" s="4">
        <v>1</v>
      </c>
      <c r="F401" s="4">
        <v>15</v>
      </c>
      <c r="G401" s="4" t="b">
        <v>0</v>
      </c>
      <c r="H401" s="4">
        <v>2</v>
      </c>
      <c r="I401" s="4">
        <v>2</v>
      </c>
      <c r="J401" s="4">
        <v>0.22</v>
      </c>
      <c r="K401" s="4">
        <v>0.2273</v>
      </c>
      <c r="L401" s="4">
        <v>0.87</v>
      </c>
      <c r="M401" s="4">
        <v>0.16420000000000001</v>
      </c>
      <c r="N401" s="4">
        <v>3</v>
      </c>
      <c r="O401" s="4">
        <v>32</v>
      </c>
      <c r="P401" s="4">
        <v>35</v>
      </c>
      <c r="Q401" s="4">
        <f>SUBTOTAL(109,Table6[casual])</f>
        <v>4921</v>
      </c>
      <c r="R401" s="4">
        <f>SUBTOTAL(109,Table6[registered])</f>
        <v>53383</v>
      </c>
      <c r="S401" s="4">
        <f>SUBTOTAL(109,Table6[cnt])</f>
        <v>58304</v>
      </c>
    </row>
    <row r="402" spans="1:19">
      <c r="A402" s="4">
        <v>401</v>
      </c>
      <c r="B402" s="5">
        <v>40561</v>
      </c>
      <c r="C402" s="4">
        <v>1</v>
      </c>
      <c r="D402" s="4">
        <v>0</v>
      </c>
      <c r="E402" s="4">
        <v>1</v>
      </c>
      <c r="F402" s="4">
        <v>16</v>
      </c>
      <c r="G402" s="4" t="b">
        <v>0</v>
      </c>
      <c r="H402" s="4">
        <v>2</v>
      </c>
      <c r="I402" s="4">
        <v>2</v>
      </c>
      <c r="J402" s="4">
        <v>0.22</v>
      </c>
      <c r="K402" s="4">
        <v>0.2273</v>
      </c>
      <c r="L402" s="4">
        <v>0.87</v>
      </c>
      <c r="M402" s="4">
        <v>0.19400000000000001</v>
      </c>
      <c r="N402" s="4">
        <v>0</v>
      </c>
      <c r="O402" s="4">
        <v>61</v>
      </c>
      <c r="P402" s="4">
        <v>61</v>
      </c>
      <c r="Q402" s="4">
        <f>SUBTOTAL(109,Table6[casual])</f>
        <v>4921</v>
      </c>
      <c r="R402" s="4">
        <f>SUBTOTAL(109,Table6[registered])</f>
        <v>53383</v>
      </c>
      <c r="S402" s="4">
        <f>SUBTOTAL(109,Table6[cnt])</f>
        <v>58304</v>
      </c>
    </row>
    <row r="403" spans="1:19">
      <c r="A403" s="4">
        <v>402</v>
      </c>
      <c r="B403" s="5">
        <v>40561</v>
      </c>
      <c r="C403" s="4">
        <v>1</v>
      </c>
      <c r="D403" s="4">
        <v>0</v>
      </c>
      <c r="E403" s="4">
        <v>1</v>
      </c>
      <c r="F403" s="4">
        <v>17</v>
      </c>
      <c r="G403" s="4" t="b">
        <v>0</v>
      </c>
      <c r="H403" s="4">
        <v>2</v>
      </c>
      <c r="I403" s="4">
        <v>2</v>
      </c>
      <c r="J403" s="4">
        <v>0.22</v>
      </c>
      <c r="K403" s="4">
        <v>0.2273</v>
      </c>
      <c r="L403" s="4">
        <v>0.82</v>
      </c>
      <c r="M403" s="4">
        <v>0.19400000000000001</v>
      </c>
      <c r="N403" s="4">
        <v>1</v>
      </c>
      <c r="O403" s="4">
        <v>124</v>
      </c>
      <c r="P403" s="4">
        <v>125</v>
      </c>
      <c r="Q403" s="4">
        <f>SUBTOTAL(109,Table6[casual])</f>
        <v>4921</v>
      </c>
      <c r="R403" s="4">
        <f>SUBTOTAL(109,Table6[registered])</f>
        <v>53383</v>
      </c>
      <c r="S403" s="4">
        <f>SUBTOTAL(109,Table6[cnt])</f>
        <v>58304</v>
      </c>
    </row>
    <row r="404" spans="1:19">
      <c r="A404" s="4">
        <v>403</v>
      </c>
      <c r="B404" s="5">
        <v>40561</v>
      </c>
      <c r="C404" s="4">
        <v>1</v>
      </c>
      <c r="D404" s="4">
        <v>0</v>
      </c>
      <c r="E404" s="4">
        <v>1</v>
      </c>
      <c r="F404" s="4">
        <v>18</v>
      </c>
      <c r="G404" s="4" t="b">
        <v>0</v>
      </c>
      <c r="H404" s="4">
        <v>2</v>
      </c>
      <c r="I404" s="4">
        <v>2</v>
      </c>
      <c r="J404" s="4">
        <v>0.22</v>
      </c>
      <c r="K404" s="4">
        <v>0.2273</v>
      </c>
      <c r="L404" s="4">
        <v>0.8</v>
      </c>
      <c r="M404" s="4">
        <v>0.16420000000000001</v>
      </c>
      <c r="N404" s="4">
        <v>1</v>
      </c>
      <c r="O404" s="4">
        <v>132</v>
      </c>
      <c r="P404" s="4">
        <v>133</v>
      </c>
      <c r="Q404" s="4">
        <f>SUBTOTAL(109,Table6[casual])</f>
        <v>4921</v>
      </c>
      <c r="R404" s="4">
        <f>SUBTOTAL(109,Table6[registered])</f>
        <v>53383</v>
      </c>
      <c r="S404" s="4">
        <f>SUBTOTAL(109,Table6[cnt])</f>
        <v>58304</v>
      </c>
    </row>
    <row r="405" spans="1:19">
      <c r="A405" s="4">
        <v>404</v>
      </c>
      <c r="B405" s="5">
        <v>40561</v>
      </c>
      <c r="C405" s="4">
        <v>1</v>
      </c>
      <c r="D405" s="4">
        <v>0</v>
      </c>
      <c r="E405" s="4">
        <v>1</v>
      </c>
      <c r="F405" s="4">
        <v>19</v>
      </c>
      <c r="G405" s="4" t="b">
        <v>0</v>
      </c>
      <c r="H405" s="4">
        <v>2</v>
      </c>
      <c r="I405" s="4">
        <v>2</v>
      </c>
      <c r="J405" s="4">
        <v>0.22</v>
      </c>
      <c r="K405" s="4">
        <v>0.2273</v>
      </c>
      <c r="L405" s="4">
        <v>0.8</v>
      </c>
      <c r="M405" s="4">
        <v>0.1343</v>
      </c>
      <c r="N405" s="4">
        <v>1</v>
      </c>
      <c r="O405" s="4">
        <v>98</v>
      </c>
      <c r="P405" s="4">
        <v>99</v>
      </c>
      <c r="Q405" s="4">
        <f>SUBTOTAL(109,Table6[casual])</f>
        <v>4921</v>
      </c>
      <c r="R405" s="4">
        <f>SUBTOTAL(109,Table6[registered])</f>
        <v>53383</v>
      </c>
      <c r="S405" s="4">
        <f>SUBTOTAL(109,Table6[cnt])</f>
        <v>58304</v>
      </c>
    </row>
    <row r="406" spans="1:19">
      <c r="A406" s="4">
        <v>405</v>
      </c>
      <c r="B406" s="5">
        <v>40561</v>
      </c>
      <c r="C406" s="4">
        <v>1</v>
      </c>
      <c r="D406" s="4">
        <v>0</v>
      </c>
      <c r="E406" s="4">
        <v>1</v>
      </c>
      <c r="F406" s="4">
        <v>20</v>
      </c>
      <c r="G406" s="4" t="b">
        <v>0</v>
      </c>
      <c r="H406" s="4">
        <v>2</v>
      </c>
      <c r="I406" s="4">
        <v>2</v>
      </c>
      <c r="J406" s="4">
        <v>0.22</v>
      </c>
      <c r="K406" s="4">
        <v>0.2727</v>
      </c>
      <c r="L406" s="4">
        <v>0.87</v>
      </c>
      <c r="M406" s="4">
        <v>0</v>
      </c>
      <c r="N406" s="4">
        <v>0</v>
      </c>
      <c r="O406" s="4">
        <v>83</v>
      </c>
      <c r="P406" s="4">
        <v>83</v>
      </c>
      <c r="Q406" s="4">
        <f>SUBTOTAL(109,Table6[casual])</f>
        <v>4921</v>
      </c>
      <c r="R406" s="4">
        <f>SUBTOTAL(109,Table6[registered])</f>
        <v>53383</v>
      </c>
      <c r="S406" s="4">
        <f>SUBTOTAL(109,Table6[cnt])</f>
        <v>58304</v>
      </c>
    </row>
    <row r="407" spans="1:19">
      <c r="A407" s="4">
        <v>406</v>
      </c>
      <c r="B407" s="5">
        <v>40561</v>
      </c>
      <c r="C407" s="4">
        <v>1</v>
      </c>
      <c r="D407" s="4">
        <v>0</v>
      </c>
      <c r="E407" s="4">
        <v>1</v>
      </c>
      <c r="F407" s="4">
        <v>21</v>
      </c>
      <c r="G407" s="4" t="b">
        <v>0</v>
      </c>
      <c r="H407" s="4">
        <v>2</v>
      </c>
      <c r="I407" s="4">
        <v>2</v>
      </c>
      <c r="J407" s="4">
        <v>0.22</v>
      </c>
      <c r="K407" s="4">
        <v>0.2424</v>
      </c>
      <c r="L407" s="4">
        <v>0.93</v>
      </c>
      <c r="M407" s="4">
        <v>0.1045</v>
      </c>
      <c r="N407" s="4">
        <v>0</v>
      </c>
      <c r="O407" s="4">
        <v>41</v>
      </c>
      <c r="P407" s="4">
        <v>41</v>
      </c>
      <c r="Q407" s="4">
        <f>SUBTOTAL(109,Table6[casual])</f>
        <v>4921</v>
      </c>
      <c r="R407" s="4">
        <f>SUBTOTAL(109,Table6[registered])</f>
        <v>53383</v>
      </c>
      <c r="S407" s="4">
        <f>SUBTOTAL(109,Table6[cnt])</f>
        <v>58304</v>
      </c>
    </row>
    <row r="408" spans="1:19">
      <c r="A408" s="4">
        <v>407</v>
      </c>
      <c r="B408" s="5">
        <v>40561</v>
      </c>
      <c r="C408" s="4">
        <v>1</v>
      </c>
      <c r="D408" s="4">
        <v>0</v>
      </c>
      <c r="E408" s="4">
        <v>1</v>
      </c>
      <c r="F408" s="4">
        <v>22</v>
      </c>
      <c r="G408" s="4" t="b">
        <v>0</v>
      </c>
      <c r="H408" s="4">
        <v>2</v>
      </c>
      <c r="I408" s="4">
        <v>2</v>
      </c>
      <c r="J408" s="4">
        <v>0.22</v>
      </c>
      <c r="K408" s="4">
        <v>0.2576</v>
      </c>
      <c r="L408" s="4">
        <v>0.93</v>
      </c>
      <c r="M408" s="4">
        <v>8.9599999999999999E-2</v>
      </c>
      <c r="N408" s="4">
        <v>0</v>
      </c>
      <c r="O408" s="4">
        <v>33</v>
      </c>
      <c r="P408" s="4">
        <v>33</v>
      </c>
      <c r="Q408" s="4">
        <f>SUBTOTAL(109,Table6[casual])</f>
        <v>4921</v>
      </c>
      <c r="R408" s="4">
        <f>SUBTOTAL(109,Table6[registered])</f>
        <v>53383</v>
      </c>
      <c r="S408" s="4">
        <f>SUBTOTAL(109,Table6[cnt])</f>
        <v>58304</v>
      </c>
    </row>
    <row r="409" spans="1:19">
      <c r="A409" s="4">
        <v>408</v>
      </c>
      <c r="B409" s="5">
        <v>40561</v>
      </c>
      <c r="C409" s="4">
        <v>1</v>
      </c>
      <c r="D409" s="4">
        <v>0</v>
      </c>
      <c r="E409" s="4">
        <v>1</v>
      </c>
      <c r="F409" s="4">
        <v>23</v>
      </c>
      <c r="G409" s="4" t="b">
        <v>0</v>
      </c>
      <c r="H409" s="4">
        <v>2</v>
      </c>
      <c r="I409" s="4">
        <v>2</v>
      </c>
      <c r="J409" s="4">
        <v>0.22</v>
      </c>
      <c r="K409" s="4">
        <v>0.2727</v>
      </c>
      <c r="L409" s="4">
        <v>0.93</v>
      </c>
      <c r="M409" s="4">
        <v>0</v>
      </c>
      <c r="N409" s="4">
        <v>1</v>
      </c>
      <c r="O409" s="4">
        <v>19</v>
      </c>
      <c r="P409" s="4">
        <v>20</v>
      </c>
      <c r="Q409" s="4">
        <f>SUBTOTAL(109,Table6[casual])</f>
        <v>4921</v>
      </c>
      <c r="R409" s="4">
        <f>SUBTOTAL(109,Table6[registered])</f>
        <v>53383</v>
      </c>
      <c r="S409" s="4">
        <f>SUBTOTAL(109,Table6[cnt])</f>
        <v>58304</v>
      </c>
    </row>
    <row r="410" spans="1:19">
      <c r="A410" s="4">
        <v>409</v>
      </c>
      <c r="B410" s="5">
        <v>40562</v>
      </c>
      <c r="C410" s="4">
        <v>1</v>
      </c>
      <c r="D410" s="4">
        <v>0</v>
      </c>
      <c r="E410" s="4">
        <v>1</v>
      </c>
      <c r="F410" s="4">
        <v>0</v>
      </c>
      <c r="G410" s="4" t="b">
        <v>0</v>
      </c>
      <c r="H410" s="4">
        <v>3</v>
      </c>
      <c r="I410" s="4">
        <v>2</v>
      </c>
      <c r="J410" s="4">
        <v>0.22</v>
      </c>
      <c r="K410" s="4">
        <v>0.2727</v>
      </c>
      <c r="L410" s="4">
        <v>0.93</v>
      </c>
      <c r="M410" s="4">
        <v>0</v>
      </c>
      <c r="N410" s="4">
        <v>0</v>
      </c>
      <c r="O410" s="4">
        <v>3</v>
      </c>
      <c r="P410" s="4">
        <v>3</v>
      </c>
      <c r="Q410" s="4">
        <f>SUBTOTAL(109,Table6[casual])</f>
        <v>4921</v>
      </c>
      <c r="R410" s="4">
        <f>SUBTOTAL(109,Table6[registered])</f>
        <v>53383</v>
      </c>
      <c r="S410" s="4">
        <f>SUBTOTAL(109,Table6[cnt])</f>
        <v>58304</v>
      </c>
    </row>
    <row r="411" spans="1:19">
      <c r="A411" s="4">
        <v>410</v>
      </c>
      <c r="B411" s="5">
        <v>40562</v>
      </c>
      <c r="C411" s="4">
        <v>1</v>
      </c>
      <c r="D411" s="4">
        <v>0</v>
      </c>
      <c r="E411" s="4">
        <v>1</v>
      </c>
      <c r="F411" s="4">
        <v>1</v>
      </c>
      <c r="G411" s="4" t="b">
        <v>0</v>
      </c>
      <c r="H411" s="4">
        <v>3</v>
      </c>
      <c r="I411" s="4">
        <v>3</v>
      </c>
      <c r="J411" s="4">
        <v>0.22</v>
      </c>
      <c r="K411" s="4">
        <v>0.2273</v>
      </c>
      <c r="L411" s="4">
        <v>0.93</v>
      </c>
      <c r="M411" s="4">
        <v>0.1343</v>
      </c>
      <c r="N411" s="4">
        <v>1</v>
      </c>
      <c r="O411" s="4">
        <v>6</v>
      </c>
      <c r="P411" s="4">
        <v>7</v>
      </c>
      <c r="Q411" s="4">
        <f>SUBTOTAL(109,Table6[casual])</f>
        <v>4921</v>
      </c>
      <c r="R411" s="4">
        <f>SUBTOTAL(109,Table6[registered])</f>
        <v>53383</v>
      </c>
      <c r="S411" s="4">
        <f>SUBTOTAL(109,Table6[cnt])</f>
        <v>58304</v>
      </c>
    </row>
    <row r="412" spans="1:19">
      <c r="A412" s="4">
        <v>411</v>
      </c>
      <c r="B412" s="5">
        <v>40562</v>
      </c>
      <c r="C412" s="4">
        <v>1</v>
      </c>
      <c r="D412" s="4">
        <v>0</v>
      </c>
      <c r="E412" s="4">
        <v>1</v>
      </c>
      <c r="F412" s="4">
        <v>2</v>
      </c>
      <c r="G412" s="4" t="b">
        <v>0</v>
      </c>
      <c r="H412" s="4">
        <v>3</v>
      </c>
      <c r="I412" s="4">
        <v>3</v>
      </c>
      <c r="J412" s="4">
        <v>0.22</v>
      </c>
      <c r="K412" s="4">
        <v>0.2273</v>
      </c>
      <c r="L412" s="4">
        <v>0.93</v>
      </c>
      <c r="M412" s="4">
        <v>0.1343</v>
      </c>
      <c r="N412" s="4">
        <v>0</v>
      </c>
      <c r="O412" s="4">
        <v>3</v>
      </c>
      <c r="P412" s="4">
        <v>3</v>
      </c>
      <c r="Q412" s="4">
        <f>SUBTOTAL(109,Table6[casual])</f>
        <v>4921</v>
      </c>
      <c r="R412" s="4">
        <f>SUBTOTAL(109,Table6[registered])</f>
        <v>53383</v>
      </c>
      <c r="S412" s="4">
        <f>SUBTOTAL(109,Table6[cnt])</f>
        <v>58304</v>
      </c>
    </row>
    <row r="413" spans="1:19">
      <c r="A413" s="4">
        <v>412</v>
      </c>
      <c r="B413" s="5">
        <v>40562</v>
      </c>
      <c r="C413" s="4">
        <v>1</v>
      </c>
      <c r="D413" s="4">
        <v>0</v>
      </c>
      <c r="E413" s="4">
        <v>1</v>
      </c>
      <c r="F413" s="4">
        <v>4</v>
      </c>
      <c r="G413" s="4" t="b">
        <v>0</v>
      </c>
      <c r="H413" s="4">
        <v>3</v>
      </c>
      <c r="I413" s="4">
        <v>3</v>
      </c>
      <c r="J413" s="4">
        <v>0.22</v>
      </c>
      <c r="K413" s="4">
        <v>0.2273</v>
      </c>
      <c r="L413" s="4">
        <v>0.93</v>
      </c>
      <c r="M413" s="4">
        <v>0.1343</v>
      </c>
      <c r="N413" s="4">
        <v>1</v>
      </c>
      <c r="O413" s="4">
        <v>1</v>
      </c>
      <c r="P413" s="4">
        <v>2</v>
      </c>
      <c r="Q413" s="4">
        <f>SUBTOTAL(109,Table6[casual])</f>
        <v>4921</v>
      </c>
      <c r="R413" s="4">
        <f>SUBTOTAL(109,Table6[registered])</f>
        <v>53383</v>
      </c>
      <c r="S413" s="4">
        <f>SUBTOTAL(109,Table6[cnt])</f>
        <v>58304</v>
      </c>
    </row>
    <row r="414" spans="1:19">
      <c r="A414" s="4">
        <v>413</v>
      </c>
      <c r="B414" s="5">
        <v>40562</v>
      </c>
      <c r="C414" s="4">
        <v>1</v>
      </c>
      <c r="D414" s="4">
        <v>0</v>
      </c>
      <c r="E414" s="4">
        <v>1</v>
      </c>
      <c r="F414" s="4">
        <v>5</v>
      </c>
      <c r="G414" s="4" t="b">
        <v>0</v>
      </c>
      <c r="H414" s="4">
        <v>3</v>
      </c>
      <c r="I414" s="4">
        <v>2</v>
      </c>
      <c r="J414" s="4">
        <v>0.22</v>
      </c>
      <c r="K414" s="4">
        <v>0.2576</v>
      </c>
      <c r="L414" s="4">
        <v>0.93</v>
      </c>
      <c r="M414" s="4">
        <v>8.9599999999999999E-2</v>
      </c>
      <c r="N414" s="4">
        <v>0</v>
      </c>
      <c r="O414" s="4">
        <v>7</v>
      </c>
      <c r="P414" s="4">
        <v>7</v>
      </c>
      <c r="Q414" s="4">
        <f>SUBTOTAL(109,Table6[casual])</f>
        <v>4921</v>
      </c>
      <c r="R414" s="4">
        <f>SUBTOTAL(109,Table6[registered])</f>
        <v>53383</v>
      </c>
      <c r="S414" s="4">
        <f>SUBTOTAL(109,Table6[cnt])</f>
        <v>58304</v>
      </c>
    </row>
    <row r="415" spans="1:19">
      <c r="A415" s="4">
        <v>414</v>
      </c>
      <c r="B415" s="5">
        <v>40562</v>
      </c>
      <c r="C415" s="4">
        <v>1</v>
      </c>
      <c r="D415" s="4">
        <v>0</v>
      </c>
      <c r="E415" s="4">
        <v>1</v>
      </c>
      <c r="F415" s="4">
        <v>6</v>
      </c>
      <c r="G415" s="4" t="b">
        <v>0</v>
      </c>
      <c r="H415" s="4">
        <v>3</v>
      </c>
      <c r="I415" s="4">
        <v>2</v>
      </c>
      <c r="J415" s="4">
        <v>0.22</v>
      </c>
      <c r="K415" s="4">
        <v>0.2576</v>
      </c>
      <c r="L415" s="4">
        <v>0.93</v>
      </c>
      <c r="M415" s="4">
        <v>8.9599999999999999E-2</v>
      </c>
      <c r="N415" s="4">
        <v>0</v>
      </c>
      <c r="O415" s="4">
        <v>32</v>
      </c>
      <c r="P415" s="4">
        <v>32</v>
      </c>
      <c r="Q415" s="4">
        <f>SUBTOTAL(109,Table6[casual])</f>
        <v>4921</v>
      </c>
      <c r="R415" s="4">
        <f>SUBTOTAL(109,Table6[registered])</f>
        <v>53383</v>
      </c>
      <c r="S415" s="4">
        <f>SUBTOTAL(109,Table6[cnt])</f>
        <v>58304</v>
      </c>
    </row>
    <row r="416" spans="1:19">
      <c r="A416" s="4">
        <v>415</v>
      </c>
      <c r="B416" s="5">
        <v>40562</v>
      </c>
      <c r="C416" s="4">
        <v>1</v>
      </c>
      <c r="D416" s="4">
        <v>0</v>
      </c>
      <c r="E416" s="4">
        <v>1</v>
      </c>
      <c r="F416" s="4">
        <v>7</v>
      </c>
      <c r="G416" s="4" t="b">
        <v>0</v>
      </c>
      <c r="H416" s="4">
        <v>3</v>
      </c>
      <c r="I416" s="4">
        <v>2</v>
      </c>
      <c r="J416" s="4">
        <v>0.24</v>
      </c>
      <c r="K416" s="4">
        <v>0.2576</v>
      </c>
      <c r="L416" s="4">
        <v>0.92</v>
      </c>
      <c r="M416" s="4">
        <v>0.1045</v>
      </c>
      <c r="N416" s="4">
        <v>1</v>
      </c>
      <c r="O416" s="4">
        <v>89</v>
      </c>
      <c r="P416" s="4">
        <v>90</v>
      </c>
      <c r="Q416" s="4">
        <f>SUBTOTAL(109,Table6[casual])</f>
        <v>4921</v>
      </c>
      <c r="R416" s="4">
        <f>SUBTOTAL(109,Table6[registered])</f>
        <v>53383</v>
      </c>
      <c r="S416" s="4">
        <f>SUBTOTAL(109,Table6[cnt])</f>
        <v>58304</v>
      </c>
    </row>
    <row r="417" spans="1:19">
      <c r="A417" s="4">
        <v>416</v>
      </c>
      <c r="B417" s="5">
        <v>40562</v>
      </c>
      <c r="C417" s="4">
        <v>1</v>
      </c>
      <c r="D417" s="4">
        <v>0</v>
      </c>
      <c r="E417" s="4">
        <v>1</v>
      </c>
      <c r="F417" s="4">
        <v>8</v>
      </c>
      <c r="G417" s="4" t="b">
        <v>0</v>
      </c>
      <c r="H417" s="4">
        <v>3</v>
      </c>
      <c r="I417" s="4">
        <v>2</v>
      </c>
      <c r="J417" s="4">
        <v>0.24</v>
      </c>
      <c r="K417" s="4">
        <v>0.2576</v>
      </c>
      <c r="L417" s="4">
        <v>0.93</v>
      </c>
      <c r="M417" s="4">
        <v>0.1045</v>
      </c>
      <c r="N417" s="4">
        <v>1</v>
      </c>
      <c r="O417" s="4">
        <v>196</v>
      </c>
      <c r="P417" s="4">
        <v>197</v>
      </c>
      <c r="Q417" s="4">
        <f>SUBTOTAL(109,Table6[casual])</f>
        <v>4921</v>
      </c>
      <c r="R417" s="4">
        <f>SUBTOTAL(109,Table6[registered])</f>
        <v>53383</v>
      </c>
      <c r="S417" s="4">
        <f>SUBTOTAL(109,Table6[cnt])</f>
        <v>58304</v>
      </c>
    </row>
    <row r="418" spans="1:19">
      <c r="A418" s="4">
        <v>417</v>
      </c>
      <c r="B418" s="5">
        <v>40562</v>
      </c>
      <c r="C418" s="4">
        <v>1</v>
      </c>
      <c r="D418" s="4">
        <v>0</v>
      </c>
      <c r="E418" s="4">
        <v>1</v>
      </c>
      <c r="F418" s="4">
        <v>9</v>
      </c>
      <c r="G418" s="4" t="b">
        <v>0</v>
      </c>
      <c r="H418" s="4">
        <v>3</v>
      </c>
      <c r="I418" s="4">
        <v>2</v>
      </c>
      <c r="J418" s="4">
        <v>0.24</v>
      </c>
      <c r="K418" s="4">
        <v>0.2576</v>
      </c>
      <c r="L418" s="4">
        <v>0.93</v>
      </c>
      <c r="M418" s="4">
        <v>0.1045</v>
      </c>
      <c r="N418" s="4">
        <v>2</v>
      </c>
      <c r="O418" s="4">
        <v>107</v>
      </c>
      <c r="P418" s="4">
        <v>109</v>
      </c>
      <c r="Q418" s="4">
        <f>SUBTOTAL(109,Table6[casual])</f>
        <v>4921</v>
      </c>
      <c r="R418" s="4">
        <f>SUBTOTAL(109,Table6[registered])</f>
        <v>53383</v>
      </c>
      <c r="S418" s="4">
        <f>SUBTOTAL(109,Table6[cnt])</f>
        <v>58304</v>
      </c>
    </row>
    <row r="419" spans="1:19">
      <c r="A419" s="4">
        <v>418</v>
      </c>
      <c r="B419" s="5">
        <v>40562</v>
      </c>
      <c r="C419" s="4">
        <v>1</v>
      </c>
      <c r="D419" s="4">
        <v>0</v>
      </c>
      <c r="E419" s="4">
        <v>1</v>
      </c>
      <c r="F419" s="4">
        <v>10</v>
      </c>
      <c r="G419" s="4" t="b">
        <v>0</v>
      </c>
      <c r="H419" s="4">
        <v>3</v>
      </c>
      <c r="I419" s="4">
        <v>2</v>
      </c>
      <c r="J419" s="4">
        <v>0.26</v>
      </c>
      <c r="K419" s="4">
        <v>0.2727</v>
      </c>
      <c r="L419" s="4">
        <v>0.93</v>
      </c>
      <c r="M419" s="4">
        <v>0.1343</v>
      </c>
      <c r="N419" s="4">
        <v>1</v>
      </c>
      <c r="O419" s="4">
        <v>46</v>
      </c>
      <c r="P419" s="4">
        <v>47</v>
      </c>
      <c r="Q419" s="4">
        <f>SUBTOTAL(109,Table6[casual])</f>
        <v>4921</v>
      </c>
      <c r="R419" s="4">
        <f>SUBTOTAL(109,Table6[registered])</f>
        <v>53383</v>
      </c>
      <c r="S419" s="4">
        <f>SUBTOTAL(109,Table6[cnt])</f>
        <v>58304</v>
      </c>
    </row>
    <row r="420" spans="1:19">
      <c r="A420" s="4">
        <v>419</v>
      </c>
      <c r="B420" s="5">
        <v>40562</v>
      </c>
      <c r="C420" s="4">
        <v>1</v>
      </c>
      <c r="D420" s="4">
        <v>0</v>
      </c>
      <c r="E420" s="4">
        <v>1</v>
      </c>
      <c r="F420" s="4">
        <v>11</v>
      </c>
      <c r="G420" s="4" t="b">
        <v>0</v>
      </c>
      <c r="H420" s="4">
        <v>3</v>
      </c>
      <c r="I420" s="4">
        <v>2</v>
      </c>
      <c r="J420" s="4">
        <v>0.28000000000000003</v>
      </c>
      <c r="K420" s="4">
        <v>0.30299999999999999</v>
      </c>
      <c r="L420" s="4">
        <v>0.87</v>
      </c>
      <c r="M420" s="4">
        <v>8.9599999999999999E-2</v>
      </c>
      <c r="N420" s="4">
        <v>5</v>
      </c>
      <c r="O420" s="4">
        <v>47</v>
      </c>
      <c r="P420" s="4">
        <v>52</v>
      </c>
      <c r="Q420" s="4">
        <f>SUBTOTAL(109,Table6[casual])</f>
        <v>4921</v>
      </c>
      <c r="R420" s="4">
        <f>SUBTOTAL(109,Table6[registered])</f>
        <v>53383</v>
      </c>
      <c r="S420" s="4">
        <f>SUBTOTAL(109,Table6[cnt])</f>
        <v>58304</v>
      </c>
    </row>
    <row r="421" spans="1:19">
      <c r="A421" s="4">
        <v>420</v>
      </c>
      <c r="B421" s="5">
        <v>40562</v>
      </c>
      <c r="C421" s="4">
        <v>1</v>
      </c>
      <c r="D421" s="4">
        <v>0</v>
      </c>
      <c r="E421" s="4">
        <v>1</v>
      </c>
      <c r="F421" s="4">
        <v>12</v>
      </c>
      <c r="G421" s="4" t="b">
        <v>0</v>
      </c>
      <c r="H421" s="4">
        <v>3</v>
      </c>
      <c r="I421" s="4">
        <v>2</v>
      </c>
      <c r="J421" s="4">
        <v>0.3</v>
      </c>
      <c r="K421" s="4">
        <v>0.31819999999999998</v>
      </c>
      <c r="L421" s="4">
        <v>0.81</v>
      </c>
      <c r="M421" s="4">
        <v>8.9599999999999999E-2</v>
      </c>
      <c r="N421" s="4">
        <v>5</v>
      </c>
      <c r="O421" s="4">
        <v>65</v>
      </c>
      <c r="P421" s="4">
        <v>70</v>
      </c>
      <c r="Q421" s="4">
        <f>SUBTOTAL(109,Table6[casual])</f>
        <v>4921</v>
      </c>
      <c r="R421" s="4">
        <f>SUBTOTAL(109,Table6[registered])</f>
        <v>53383</v>
      </c>
      <c r="S421" s="4">
        <f>SUBTOTAL(109,Table6[cnt])</f>
        <v>58304</v>
      </c>
    </row>
    <row r="422" spans="1:19">
      <c r="A422" s="4">
        <v>421</v>
      </c>
      <c r="B422" s="5">
        <v>40562</v>
      </c>
      <c r="C422" s="4">
        <v>1</v>
      </c>
      <c r="D422" s="4">
        <v>0</v>
      </c>
      <c r="E422" s="4">
        <v>1</v>
      </c>
      <c r="F422" s="4">
        <v>13</v>
      </c>
      <c r="G422" s="4" t="b">
        <v>0</v>
      </c>
      <c r="H422" s="4">
        <v>3</v>
      </c>
      <c r="I422" s="4">
        <v>1</v>
      </c>
      <c r="J422" s="4">
        <v>0.4</v>
      </c>
      <c r="K422" s="4">
        <v>0.40910000000000002</v>
      </c>
      <c r="L422" s="4">
        <v>0.62</v>
      </c>
      <c r="M422" s="4">
        <v>0.28360000000000002</v>
      </c>
      <c r="N422" s="4">
        <v>11</v>
      </c>
      <c r="O422" s="4">
        <v>67</v>
      </c>
      <c r="P422" s="4">
        <v>78</v>
      </c>
      <c r="Q422" s="4">
        <f>SUBTOTAL(109,Table6[casual])</f>
        <v>4921</v>
      </c>
      <c r="R422" s="4">
        <f>SUBTOTAL(109,Table6[registered])</f>
        <v>53383</v>
      </c>
      <c r="S422" s="4">
        <f>SUBTOTAL(109,Table6[cnt])</f>
        <v>58304</v>
      </c>
    </row>
    <row r="423" spans="1:19">
      <c r="A423" s="4">
        <v>422</v>
      </c>
      <c r="B423" s="5">
        <v>40562</v>
      </c>
      <c r="C423" s="4">
        <v>1</v>
      </c>
      <c r="D423" s="4">
        <v>0</v>
      </c>
      <c r="E423" s="4">
        <v>1</v>
      </c>
      <c r="F423" s="4">
        <v>14</v>
      </c>
      <c r="G423" s="4" t="b">
        <v>0</v>
      </c>
      <c r="H423" s="4">
        <v>3</v>
      </c>
      <c r="I423" s="4">
        <v>1</v>
      </c>
      <c r="J423" s="4">
        <v>0.4</v>
      </c>
      <c r="K423" s="4">
        <v>0.40910000000000002</v>
      </c>
      <c r="L423" s="4">
        <v>0.57999999999999996</v>
      </c>
      <c r="M423" s="4">
        <v>0.25369999999999998</v>
      </c>
      <c r="N423" s="4">
        <v>7</v>
      </c>
      <c r="O423" s="4">
        <v>68</v>
      </c>
      <c r="P423" s="4">
        <v>75</v>
      </c>
      <c r="Q423" s="4">
        <f>SUBTOTAL(109,Table6[casual])</f>
        <v>4921</v>
      </c>
      <c r="R423" s="4">
        <f>SUBTOTAL(109,Table6[registered])</f>
        <v>53383</v>
      </c>
      <c r="S423" s="4">
        <f>SUBTOTAL(109,Table6[cnt])</f>
        <v>58304</v>
      </c>
    </row>
    <row r="424" spans="1:19">
      <c r="A424" s="4">
        <v>423</v>
      </c>
      <c r="B424" s="5">
        <v>40562</v>
      </c>
      <c r="C424" s="4">
        <v>1</v>
      </c>
      <c r="D424" s="4">
        <v>0</v>
      </c>
      <c r="E424" s="4">
        <v>1</v>
      </c>
      <c r="F424" s="4">
        <v>15</v>
      </c>
      <c r="G424" s="4" t="b">
        <v>0</v>
      </c>
      <c r="H424" s="4">
        <v>3</v>
      </c>
      <c r="I424" s="4">
        <v>1</v>
      </c>
      <c r="J424" s="4">
        <v>0.4</v>
      </c>
      <c r="K424" s="4">
        <v>0.40910000000000002</v>
      </c>
      <c r="L424" s="4">
        <v>0.54</v>
      </c>
      <c r="M424" s="4">
        <v>0.28360000000000002</v>
      </c>
      <c r="N424" s="4">
        <v>4</v>
      </c>
      <c r="O424" s="4">
        <v>78</v>
      </c>
      <c r="P424" s="4">
        <v>82</v>
      </c>
      <c r="Q424" s="4">
        <f>SUBTOTAL(109,Table6[casual])</f>
        <v>4921</v>
      </c>
      <c r="R424" s="4">
        <f>SUBTOTAL(109,Table6[registered])</f>
        <v>53383</v>
      </c>
      <c r="S424" s="4">
        <f>SUBTOTAL(109,Table6[cnt])</f>
        <v>58304</v>
      </c>
    </row>
    <row r="425" spans="1:19">
      <c r="A425" s="4">
        <v>424</v>
      </c>
      <c r="B425" s="5">
        <v>40562</v>
      </c>
      <c r="C425" s="4">
        <v>1</v>
      </c>
      <c r="D425" s="4">
        <v>0</v>
      </c>
      <c r="E425" s="4">
        <v>1</v>
      </c>
      <c r="F425" s="4">
        <v>16</v>
      </c>
      <c r="G425" s="4" t="b">
        <v>0</v>
      </c>
      <c r="H425" s="4">
        <v>3</v>
      </c>
      <c r="I425" s="4">
        <v>1</v>
      </c>
      <c r="J425" s="4">
        <v>0.38</v>
      </c>
      <c r="K425" s="4">
        <v>0.39389999999999997</v>
      </c>
      <c r="L425" s="4">
        <v>0.57999999999999996</v>
      </c>
      <c r="M425" s="4">
        <v>0.3881</v>
      </c>
      <c r="N425" s="4">
        <v>10</v>
      </c>
      <c r="O425" s="4">
        <v>94</v>
      </c>
      <c r="P425" s="4">
        <v>104</v>
      </c>
      <c r="Q425" s="4">
        <f>SUBTOTAL(109,Table6[casual])</f>
        <v>4921</v>
      </c>
      <c r="R425" s="4">
        <f>SUBTOTAL(109,Table6[registered])</f>
        <v>53383</v>
      </c>
      <c r="S425" s="4">
        <f>SUBTOTAL(109,Table6[cnt])</f>
        <v>58304</v>
      </c>
    </row>
    <row r="426" spans="1:19">
      <c r="A426" s="4">
        <v>425</v>
      </c>
      <c r="B426" s="5">
        <v>40562</v>
      </c>
      <c r="C426" s="4">
        <v>1</v>
      </c>
      <c r="D426" s="4">
        <v>0</v>
      </c>
      <c r="E426" s="4">
        <v>1</v>
      </c>
      <c r="F426" s="4">
        <v>17</v>
      </c>
      <c r="G426" s="4" t="b">
        <v>0</v>
      </c>
      <c r="H426" s="4">
        <v>3</v>
      </c>
      <c r="I426" s="4">
        <v>1</v>
      </c>
      <c r="J426" s="4">
        <v>0.36</v>
      </c>
      <c r="K426" s="4">
        <v>0.33329999999999999</v>
      </c>
      <c r="L426" s="4">
        <v>0.56999999999999995</v>
      </c>
      <c r="M426" s="4">
        <v>0.32840000000000003</v>
      </c>
      <c r="N426" s="4">
        <v>7</v>
      </c>
      <c r="O426" s="4">
        <v>190</v>
      </c>
      <c r="P426" s="4">
        <v>197</v>
      </c>
      <c r="Q426" s="4">
        <f>SUBTOTAL(109,Table6[casual])</f>
        <v>4921</v>
      </c>
      <c r="R426" s="4">
        <f>SUBTOTAL(109,Table6[registered])</f>
        <v>53383</v>
      </c>
      <c r="S426" s="4">
        <f>SUBTOTAL(109,Table6[cnt])</f>
        <v>58304</v>
      </c>
    </row>
    <row r="427" spans="1:19">
      <c r="A427" s="4">
        <v>426</v>
      </c>
      <c r="B427" s="5">
        <v>40562</v>
      </c>
      <c r="C427" s="4">
        <v>1</v>
      </c>
      <c r="D427" s="4">
        <v>0</v>
      </c>
      <c r="E427" s="4">
        <v>1</v>
      </c>
      <c r="F427" s="4">
        <v>18</v>
      </c>
      <c r="G427" s="4" t="b">
        <v>0</v>
      </c>
      <c r="H427" s="4">
        <v>3</v>
      </c>
      <c r="I427" s="4">
        <v>1</v>
      </c>
      <c r="J427" s="4">
        <v>0.34</v>
      </c>
      <c r="K427" s="4">
        <v>0.31819999999999998</v>
      </c>
      <c r="L427" s="4">
        <v>0.61</v>
      </c>
      <c r="M427" s="4">
        <v>0.28360000000000002</v>
      </c>
      <c r="N427" s="4">
        <v>5</v>
      </c>
      <c r="O427" s="4">
        <v>156</v>
      </c>
      <c r="P427" s="4">
        <v>161</v>
      </c>
      <c r="Q427" s="4">
        <f>SUBTOTAL(109,Table6[casual])</f>
        <v>4921</v>
      </c>
      <c r="R427" s="4">
        <f>SUBTOTAL(109,Table6[registered])</f>
        <v>53383</v>
      </c>
      <c r="S427" s="4">
        <f>SUBTOTAL(109,Table6[cnt])</f>
        <v>58304</v>
      </c>
    </row>
    <row r="428" spans="1:19">
      <c r="A428" s="4">
        <v>427</v>
      </c>
      <c r="B428" s="5">
        <v>40562</v>
      </c>
      <c r="C428" s="4">
        <v>1</v>
      </c>
      <c r="D428" s="4">
        <v>0</v>
      </c>
      <c r="E428" s="4">
        <v>1</v>
      </c>
      <c r="F428" s="4">
        <v>19</v>
      </c>
      <c r="G428" s="4" t="b">
        <v>0</v>
      </c>
      <c r="H428" s="4">
        <v>3</v>
      </c>
      <c r="I428" s="4">
        <v>1</v>
      </c>
      <c r="J428" s="4">
        <v>0.32</v>
      </c>
      <c r="K428" s="4">
        <v>0.28789999999999999</v>
      </c>
      <c r="L428" s="4">
        <v>0.56999999999999995</v>
      </c>
      <c r="M428" s="4">
        <v>0.41789999999999999</v>
      </c>
      <c r="N428" s="4">
        <v>4</v>
      </c>
      <c r="O428" s="4">
        <v>108</v>
      </c>
      <c r="P428" s="4">
        <v>112</v>
      </c>
      <c r="Q428" s="4">
        <f>SUBTOTAL(109,Table6[casual])</f>
        <v>4921</v>
      </c>
      <c r="R428" s="4">
        <f>SUBTOTAL(109,Table6[registered])</f>
        <v>53383</v>
      </c>
      <c r="S428" s="4">
        <f>SUBTOTAL(109,Table6[cnt])</f>
        <v>58304</v>
      </c>
    </row>
    <row r="429" spans="1:19">
      <c r="A429" s="4">
        <v>428</v>
      </c>
      <c r="B429" s="5">
        <v>40562</v>
      </c>
      <c r="C429" s="4">
        <v>1</v>
      </c>
      <c r="D429" s="4">
        <v>0</v>
      </c>
      <c r="E429" s="4">
        <v>1</v>
      </c>
      <c r="F429" s="4">
        <v>20</v>
      </c>
      <c r="G429" s="4" t="b">
        <v>0</v>
      </c>
      <c r="H429" s="4">
        <v>3</v>
      </c>
      <c r="I429" s="4">
        <v>1</v>
      </c>
      <c r="J429" s="4">
        <v>0.32</v>
      </c>
      <c r="K429" s="4">
        <v>0.30299999999999999</v>
      </c>
      <c r="L429" s="4">
        <v>0.49</v>
      </c>
      <c r="M429" s="4">
        <v>0.29849999999999999</v>
      </c>
      <c r="N429" s="4">
        <v>2</v>
      </c>
      <c r="O429" s="4">
        <v>74</v>
      </c>
      <c r="P429" s="4">
        <v>76</v>
      </c>
      <c r="Q429" s="4">
        <f>SUBTOTAL(109,Table6[casual])</f>
        <v>4921</v>
      </c>
      <c r="R429" s="4">
        <f>SUBTOTAL(109,Table6[registered])</f>
        <v>53383</v>
      </c>
      <c r="S429" s="4">
        <f>SUBTOTAL(109,Table6[cnt])</f>
        <v>58304</v>
      </c>
    </row>
    <row r="430" spans="1:19">
      <c r="A430" s="4">
        <v>429</v>
      </c>
      <c r="B430" s="5">
        <v>40562</v>
      </c>
      <c r="C430" s="4">
        <v>1</v>
      </c>
      <c r="D430" s="4">
        <v>0</v>
      </c>
      <c r="E430" s="4">
        <v>1</v>
      </c>
      <c r="F430" s="4">
        <v>21</v>
      </c>
      <c r="G430" s="4" t="b">
        <v>0</v>
      </c>
      <c r="H430" s="4">
        <v>3</v>
      </c>
      <c r="I430" s="4">
        <v>1</v>
      </c>
      <c r="J430" s="4">
        <v>0.32</v>
      </c>
      <c r="K430" s="4">
        <v>0.28789999999999999</v>
      </c>
      <c r="L430" s="4">
        <v>0.49</v>
      </c>
      <c r="M430" s="4">
        <v>0.41789999999999999</v>
      </c>
      <c r="N430" s="4">
        <v>4</v>
      </c>
      <c r="O430" s="4">
        <v>55</v>
      </c>
      <c r="P430" s="4">
        <v>59</v>
      </c>
      <c r="Q430" s="4">
        <f>SUBTOTAL(109,Table6[casual])</f>
        <v>4921</v>
      </c>
      <c r="R430" s="4">
        <f>SUBTOTAL(109,Table6[registered])</f>
        <v>53383</v>
      </c>
      <c r="S430" s="4">
        <f>SUBTOTAL(109,Table6[cnt])</f>
        <v>58304</v>
      </c>
    </row>
    <row r="431" spans="1:19">
      <c r="A431" s="4">
        <v>430</v>
      </c>
      <c r="B431" s="5">
        <v>40562</v>
      </c>
      <c r="C431" s="4">
        <v>1</v>
      </c>
      <c r="D431" s="4">
        <v>0</v>
      </c>
      <c r="E431" s="4">
        <v>1</v>
      </c>
      <c r="F431" s="4">
        <v>22</v>
      </c>
      <c r="G431" s="4" t="b">
        <v>0</v>
      </c>
      <c r="H431" s="4">
        <v>3</v>
      </c>
      <c r="I431" s="4">
        <v>1</v>
      </c>
      <c r="J431" s="4">
        <v>0.3</v>
      </c>
      <c r="K431" s="4">
        <v>0.30299999999999999</v>
      </c>
      <c r="L431" s="4">
        <v>0.52</v>
      </c>
      <c r="M431" s="4">
        <v>0.16420000000000001</v>
      </c>
      <c r="N431" s="4">
        <v>6</v>
      </c>
      <c r="O431" s="4">
        <v>53</v>
      </c>
      <c r="P431" s="4">
        <v>59</v>
      </c>
      <c r="Q431" s="4">
        <f>SUBTOTAL(109,Table6[casual])</f>
        <v>4921</v>
      </c>
      <c r="R431" s="4">
        <f>SUBTOTAL(109,Table6[registered])</f>
        <v>53383</v>
      </c>
      <c r="S431" s="4">
        <f>SUBTOTAL(109,Table6[cnt])</f>
        <v>58304</v>
      </c>
    </row>
    <row r="432" spans="1:19">
      <c r="A432" s="4">
        <v>431</v>
      </c>
      <c r="B432" s="5">
        <v>40562</v>
      </c>
      <c r="C432" s="4">
        <v>1</v>
      </c>
      <c r="D432" s="4">
        <v>0</v>
      </c>
      <c r="E432" s="4">
        <v>1</v>
      </c>
      <c r="F432" s="4">
        <v>23</v>
      </c>
      <c r="G432" s="4" t="b">
        <v>0</v>
      </c>
      <c r="H432" s="4">
        <v>3</v>
      </c>
      <c r="I432" s="4">
        <v>1</v>
      </c>
      <c r="J432" s="4">
        <v>0.3</v>
      </c>
      <c r="K432" s="4">
        <v>0.2727</v>
      </c>
      <c r="L432" s="4">
        <v>0.52</v>
      </c>
      <c r="M432" s="4">
        <v>0.4627</v>
      </c>
      <c r="N432" s="4">
        <v>1</v>
      </c>
      <c r="O432" s="4">
        <v>27</v>
      </c>
      <c r="P432" s="4">
        <v>28</v>
      </c>
      <c r="Q432" s="4">
        <f>SUBTOTAL(109,Table6[casual])</f>
        <v>4921</v>
      </c>
      <c r="R432" s="4">
        <f>SUBTOTAL(109,Table6[registered])</f>
        <v>53383</v>
      </c>
      <c r="S432" s="4">
        <f>SUBTOTAL(109,Table6[cnt])</f>
        <v>58304</v>
      </c>
    </row>
    <row r="433" spans="1:19">
      <c r="A433" s="4">
        <v>432</v>
      </c>
      <c r="B433" s="5">
        <v>40563</v>
      </c>
      <c r="C433" s="4">
        <v>1</v>
      </c>
      <c r="D433" s="4">
        <v>0</v>
      </c>
      <c r="E433" s="4">
        <v>1</v>
      </c>
      <c r="F433" s="4">
        <v>0</v>
      </c>
      <c r="G433" s="4" t="b">
        <v>0</v>
      </c>
      <c r="H433" s="4">
        <v>4</v>
      </c>
      <c r="I433" s="4">
        <v>1</v>
      </c>
      <c r="J433" s="4">
        <v>0.26</v>
      </c>
      <c r="K433" s="4">
        <v>0.2273</v>
      </c>
      <c r="L433" s="4">
        <v>0.56000000000000005</v>
      </c>
      <c r="M433" s="4">
        <v>0.3881</v>
      </c>
      <c r="N433" s="4">
        <v>5</v>
      </c>
      <c r="O433" s="4">
        <v>8</v>
      </c>
      <c r="P433" s="4">
        <v>13</v>
      </c>
      <c r="Q433" s="4">
        <f>SUBTOTAL(109,Table6[casual])</f>
        <v>4921</v>
      </c>
      <c r="R433" s="4">
        <f>SUBTOTAL(109,Table6[registered])</f>
        <v>53383</v>
      </c>
      <c r="S433" s="4">
        <f>SUBTOTAL(109,Table6[cnt])</f>
        <v>58304</v>
      </c>
    </row>
    <row r="434" spans="1:19">
      <c r="A434" s="4">
        <v>433</v>
      </c>
      <c r="B434" s="5">
        <v>40563</v>
      </c>
      <c r="C434" s="4">
        <v>1</v>
      </c>
      <c r="D434" s="4">
        <v>0</v>
      </c>
      <c r="E434" s="4">
        <v>1</v>
      </c>
      <c r="F434" s="4">
        <v>1</v>
      </c>
      <c r="G434" s="4" t="b">
        <v>0</v>
      </c>
      <c r="H434" s="4">
        <v>4</v>
      </c>
      <c r="I434" s="4">
        <v>1</v>
      </c>
      <c r="J434" s="4">
        <v>0.26</v>
      </c>
      <c r="K434" s="4">
        <v>0.2727</v>
      </c>
      <c r="L434" s="4">
        <v>0.56000000000000005</v>
      </c>
      <c r="M434" s="4">
        <v>0</v>
      </c>
      <c r="N434" s="4">
        <v>2</v>
      </c>
      <c r="O434" s="4">
        <v>3</v>
      </c>
      <c r="P434" s="4">
        <v>5</v>
      </c>
      <c r="Q434" s="4">
        <f>SUBTOTAL(109,Table6[casual])</f>
        <v>4921</v>
      </c>
      <c r="R434" s="4">
        <f>SUBTOTAL(109,Table6[registered])</f>
        <v>53383</v>
      </c>
      <c r="S434" s="4">
        <f>SUBTOTAL(109,Table6[cnt])</f>
        <v>58304</v>
      </c>
    </row>
    <row r="435" spans="1:19">
      <c r="A435" s="4">
        <v>434</v>
      </c>
      <c r="B435" s="5">
        <v>40563</v>
      </c>
      <c r="C435" s="4">
        <v>1</v>
      </c>
      <c r="D435" s="4">
        <v>0</v>
      </c>
      <c r="E435" s="4">
        <v>1</v>
      </c>
      <c r="F435" s="4">
        <v>2</v>
      </c>
      <c r="G435" s="4" t="b">
        <v>0</v>
      </c>
      <c r="H435" s="4">
        <v>4</v>
      </c>
      <c r="I435" s="4">
        <v>1</v>
      </c>
      <c r="J435" s="4">
        <v>0.26</v>
      </c>
      <c r="K435" s="4">
        <v>0.2727</v>
      </c>
      <c r="L435" s="4">
        <v>0.56000000000000005</v>
      </c>
      <c r="M435" s="4">
        <v>0</v>
      </c>
      <c r="N435" s="4">
        <v>0</v>
      </c>
      <c r="O435" s="4">
        <v>2</v>
      </c>
      <c r="P435" s="4">
        <v>2</v>
      </c>
      <c r="Q435" s="4">
        <f>SUBTOTAL(109,Table6[casual])</f>
        <v>4921</v>
      </c>
      <c r="R435" s="4">
        <f>SUBTOTAL(109,Table6[registered])</f>
        <v>53383</v>
      </c>
      <c r="S435" s="4">
        <f>SUBTOTAL(109,Table6[cnt])</f>
        <v>58304</v>
      </c>
    </row>
    <row r="436" spans="1:19">
      <c r="A436" s="4">
        <v>435</v>
      </c>
      <c r="B436" s="5">
        <v>40563</v>
      </c>
      <c r="C436" s="4">
        <v>1</v>
      </c>
      <c r="D436" s="4">
        <v>0</v>
      </c>
      <c r="E436" s="4">
        <v>1</v>
      </c>
      <c r="F436" s="4">
        <v>3</v>
      </c>
      <c r="G436" s="4" t="b">
        <v>0</v>
      </c>
      <c r="H436" s="4">
        <v>4</v>
      </c>
      <c r="I436" s="4">
        <v>1</v>
      </c>
      <c r="J436" s="4">
        <v>0.26</v>
      </c>
      <c r="K436" s="4">
        <v>0.2576</v>
      </c>
      <c r="L436" s="4">
        <v>0.56000000000000005</v>
      </c>
      <c r="M436" s="4">
        <v>0.16420000000000001</v>
      </c>
      <c r="N436" s="4">
        <v>0</v>
      </c>
      <c r="O436" s="4">
        <v>1</v>
      </c>
      <c r="P436" s="4">
        <v>1</v>
      </c>
      <c r="Q436" s="4">
        <f>SUBTOTAL(109,Table6[casual])</f>
        <v>4921</v>
      </c>
      <c r="R436" s="4">
        <f>SUBTOTAL(109,Table6[registered])</f>
        <v>53383</v>
      </c>
      <c r="S436" s="4">
        <f>SUBTOTAL(109,Table6[cnt])</f>
        <v>58304</v>
      </c>
    </row>
    <row r="437" spans="1:19">
      <c r="A437" s="4">
        <v>436</v>
      </c>
      <c r="B437" s="5">
        <v>40563</v>
      </c>
      <c r="C437" s="4">
        <v>1</v>
      </c>
      <c r="D437" s="4">
        <v>0</v>
      </c>
      <c r="E437" s="4">
        <v>1</v>
      </c>
      <c r="F437" s="4">
        <v>4</v>
      </c>
      <c r="G437" s="4" t="b">
        <v>0</v>
      </c>
      <c r="H437" s="4">
        <v>4</v>
      </c>
      <c r="I437" s="4">
        <v>1</v>
      </c>
      <c r="J437" s="4">
        <v>0.26</v>
      </c>
      <c r="K437" s="4">
        <v>0.2576</v>
      </c>
      <c r="L437" s="4">
        <v>0.56000000000000005</v>
      </c>
      <c r="M437" s="4">
        <v>0.16420000000000001</v>
      </c>
      <c r="N437" s="4">
        <v>0</v>
      </c>
      <c r="O437" s="4">
        <v>1</v>
      </c>
      <c r="P437" s="4">
        <v>1</v>
      </c>
      <c r="Q437" s="4">
        <f>SUBTOTAL(109,Table6[casual])</f>
        <v>4921</v>
      </c>
      <c r="R437" s="4">
        <f>SUBTOTAL(109,Table6[registered])</f>
        <v>53383</v>
      </c>
      <c r="S437" s="4">
        <f>SUBTOTAL(109,Table6[cnt])</f>
        <v>58304</v>
      </c>
    </row>
    <row r="438" spans="1:19">
      <c r="A438" s="4">
        <v>437</v>
      </c>
      <c r="B438" s="5">
        <v>40563</v>
      </c>
      <c r="C438" s="4">
        <v>1</v>
      </c>
      <c r="D438" s="4">
        <v>0</v>
      </c>
      <c r="E438" s="4">
        <v>1</v>
      </c>
      <c r="F438" s="4">
        <v>5</v>
      </c>
      <c r="G438" s="4" t="b">
        <v>0</v>
      </c>
      <c r="H438" s="4">
        <v>4</v>
      </c>
      <c r="I438" s="4">
        <v>1</v>
      </c>
      <c r="J438" s="4">
        <v>0.24</v>
      </c>
      <c r="K438" s="4">
        <v>0.2273</v>
      </c>
      <c r="L438" s="4">
        <v>0.6</v>
      </c>
      <c r="M438" s="4">
        <v>0.22389999999999999</v>
      </c>
      <c r="N438" s="4">
        <v>0</v>
      </c>
      <c r="O438" s="4">
        <v>6</v>
      </c>
      <c r="P438" s="4">
        <v>6</v>
      </c>
      <c r="Q438" s="4">
        <f>SUBTOTAL(109,Table6[casual])</f>
        <v>4921</v>
      </c>
      <c r="R438" s="4">
        <f>SUBTOTAL(109,Table6[registered])</f>
        <v>53383</v>
      </c>
      <c r="S438" s="4">
        <f>SUBTOTAL(109,Table6[cnt])</f>
        <v>58304</v>
      </c>
    </row>
    <row r="439" spans="1:19">
      <c r="A439" s="4">
        <v>438</v>
      </c>
      <c r="B439" s="5">
        <v>40563</v>
      </c>
      <c r="C439" s="4">
        <v>1</v>
      </c>
      <c r="D439" s="4">
        <v>0</v>
      </c>
      <c r="E439" s="4">
        <v>1</v>
      </c>
      <c r="F439" s="4">
        <v>6</v>
      </c>
      <c r="G439" s="4" t="b">
        <v>0</v>
      </c>
      <c r="H439" s="4">
        <v>4</v>
      </c>
      <c r="I439" s="4">
        <v>1</v>
      </c>
      <c r="J439" s="4">
        <v>0.22</v>
      </c>
      <c r="K439" s="4">
        <v>0.21210000000000001</v>
      </c>
      <c r="L439" s="4">
        <v>0.6</v>
      </c>
      <c r="M439" s="4">
        <v>0.22389999999999999</v>
      </c>
      <c r="N439" s="4">
        <v>0</v>
      </c>
      <c r="O439" s="4">
        <v>35</v>
      </c>
      <c r="P439" s="4">
        <v>35</v>
      </c>
      <c r="Q439" s="4">
        <f>SUBTOTAL(109,Table6[casual])</f>
        <v>4921</v>
      </c>
      <c r="R439" s="4">
        <f>SUBTOTAL(109,Table6[registered])</f>
        <v>53383</v>
      </c>
      <c r="S439" s="4">
        <f>SUBTOTAL(109,Table6[cnt])</f>
        <v>58304</v>
      </c>
    </row>
    <row r="440" spans="1:19">
      <c r="A440" s="4">
        <v>439</v>
      </c>
      <c r="B440" s="5">
        <v>40563</v>
      </c>
      <c r="C440" s="4">
        <v>1</v>
      </c>
      <c r="D440" s="4">
        <v>0</v>
      </c>
      <c r="E440" s="4">
        <v>1</v>
      </c>
      <c r="F440" s="4">
        <v>7</v>
      </c>
      <c r="G440" s="4" t="b">
        <v>0</v>
      </c>
      <c r="H440" s="4">
        <v>4</v>
      </c>
      <c r="I440" s="4">
        <v>1</v>
      </c>
      <c r="J440" s="4">
        <v>0.22</v>
      </c>
      <c r="K440" s="4">
        <v>0.21210000000000001</v>
      </c>
      <c r="L440" s="4">
        <v>0.55000000000000004</v>
      </c>
      <c r="M440" s="4">
        <v>0.22389999999999999</v>
      </c>
      <c r="N440" s="4">
        <v>1</v>
      </c>
      <c r="O440" s="4">
        <v>100</v>
      </c>
      <c r="P440" s="4">
        <v>101</v>
      </c>
      <c r="Q440" s="4">
        <f>SUBTOTAL(109,Table6[casual])</f>
        <v>4921</v>
      </c>
      <c r="R440" s="4">
        <f>SUBTOTAL(109,Table6[registered])</f>
        <v>53383</v>
      </c>
      <c r="S440" s="4">
        <f>SUBTOTAL(109,Table6[cnt])</f>
        <v>58304</v>
      </c>
    </row>
    <row r="441" spans="1:19">
      <c r="A441" s="4">
        <v>440</v>
      </c>
      <c r="B441" s="5">
        <v>40563</v>
      </c>
      <c r="C441" s="4">
        <v>1</v>
      </c>
      <c r="D441" s="4">
        <v>0</v>
      </c>
      <c r="E441" s="4">
        <v>1</v>
      </c>
      <c r="F441" s="4">
        <v>8</v>
      </c>
      <c r="G441" s="4" t="b">
        <v>0</v>
      </c>
      <c r="H441" s="4">
        <v>4</v>
      </c>
      <c r="I441" s="4">
        <v>1</v>
      </c>
      <c r="J441" s="4">
        <v>0.22</v>
      </c>
      <c r="K441" s="4">
        <v>0.21210000000000001</v>
      </c>
      <c r="L441" s="4">
        <v>0.55000000000000004</v>
      </c>
      <c r="M441" s="4">
        <v>0.28360000000000002</v>
      </c>
      <c r="N441" s="4">
        <v>2</v>
      </c>
      <c r="O441" s="4">
        <v>247</v>
      </c>
      <c r="P441" s="4">
        <v>249</v>
      </c>
      <c r="Q441" s="4">
        <f>SUBTOTAL(109,Table6[casual])</f>
        <v>4921</v>
      </c>
      <c r="R441" s="4">
        <f>SUBTOTAL(109,Table6[registered])</f>
        <v>53383</v>
      </c>
      <c r="S441" s="4">
        <f>SUBTOTAL(109,Table6[cnt])</f>
        <v>58304</v>
      </c>
    </row>
    <row r="442" spans="1:19">
      <c r="A442" s="4">
        <v>441</v>
      </c>
      <c r="B442" s="5">
        <v>40563</v>
      </c>
      <c r="C442" s="4">
        <v>1</v>
      </c>
      <c r="D442" s="4">
        <v>0</v>
      </c>
      <c r="E442" s="4">
        <v>1</v>
      </c>
      <c r="F442" s="4">
        <v>9</v>
      </c>
      <c r="G442" s="4" t="b">
        <v>0</v>
      </c>
      <c r="H442" s="4">
        <v>4</v>
      </c>
      <c r="I442" s="4">
        <v>2</v>
      </c>
      <c r="J442" s="4">
        <v>0.24</v>
      </c>
      <c r="K442" s="4">
        <v>0.2273</v>
      </c>
      <c r="L442" s="4">
        <v>0.52</v>
      </c>
      <c r="M442" s="4">
        <v>0.22389999999999999</v>
      </c>
      <c r="N442" s="4">
        <v>3</v>
      </c>
      <c r="O442" s="4">
        <v>140</v>
      </c>
      <c r="P442" s="4">
        <v>143</v>
      </c>
      <c r="Q442" s="4">
        <f>SUBTOTAL(109,Table6[casual])</f>
        <v>4921</v>
      </c>
      <c r="R442" s="4">
        <f>SUBTOTAL(109,Table6[registered])</f>
        <v>53383</v>
      </c>
      <c r="S442" s="4">
        <f>SUBTOTAL(109,Table6[cnt])</f>
        <v>58304</v>
      </c>
    </row>
    <row r="443" spans="1:19">
      <c r="A443" s="4">
        <v>442</v>
      </c>
      <c r="B443" s="5">
        <v>40563</v>
      </c>
      <c r="C443" s="4">
        <v>1</v>
      </c>
      <c r="D443" s="4">
        <v>0</v>
      </c>
      <c r="E443" s="4">
        <v>1</v>
      </c>
      <c r="F443" s="4">
        <v>10</v>
      </c>
      <c r="G443" s="4" t="b">
        <v>0</v>
      </c>
      <c r="H443" s="4">
        <v>4</v>
      </c>
      <c r="I443" s="4">
        <v>1</v>
      </c>
      <c r="J443" s="4">
        <v>0.26</v>
      </c>
      <c r="K443" s="4">
        <v>0.2273</v>
      </c>
      <c r="L443" s="4">
        <v>0.48</v>
      </c>
      <c r="M443" s="4">
        <v>0.29849999999999999</v>
      </c>
      <c r="N443" s="4">
        <v>1</v>
      </c>
      <c r="O443" s="4">
        <v>56</v>
      </c>
      <c r="P443" s="4">
        <v>57</v>
      </c>
      <c r="Q443" s="4">
        <f>SUBTOTAL(109,Table6[casual])</f>
        <v>4921</v>
      </c>
      <c r="R443" s="4">
        <f>SUBTOTAL(109,Table6[registered])</f>
        <v>53383</v>
      </c>
      <c r="S443" s="4">
        <f>SUBTOTAL(109,Table6[cnt])</f>
        <v>58304</v>
      </c>
    </row>
    <row r="444" spans="1:19">
      <c r="A444" s="4">
        <v>443</v>
      </c>
      <c r="B444" s="5">
        <v>40563</v>
      </c>
      <c r="C444" s="4">
        <v>1</v>
      </c>
      <c r="D444" s="4">
        <v>0</v>
      </c>
      <c r="E444" s="4">
        <v>1</v>
      </c>
      <c r="F444" s="4">
        <v>11</v>
      </c>
      <c r="G444" s="4" t="b">
        <v>0</v>
      </c>
      <c r="H444" s="4">
        <v>4</v>
      </c>
      <c r="I444" s="4">
        <v>2</v>
      </c>
      <c r="J444" s="4">
        <v>0.28000000000000003</v>
      </c>
      <c r="K444" s="4">
        <v>0.2727</v>
      </c>
      <c r="L444" s="4">
        <v>0.45</v>
      </c>
      <c r="M444" s="4">
        <v>0.16420000000000001</v>
      </c>
      <c r="N444" s="4">
        <v>5</v>
      </c>
      <c r="O444" s="4">
        <v>63</v>
      </c>
      <c r="P444" s="4">
        <v>68</v>
      </c>
      <c r="Q444" s="4">
        <f>SUBTOTAL(109,Table6[casual])</f>
        <v>4921</v>
      </c>
      <c r="R444" s="4">
        <f>SUBTOTAL(109,Table6[registered])</f>
        <v>53383</v>
      </c>
      <c r="S444" s="4">
        <f>SUBTOTAL(109,Table6[cnt])</f>
        <v>58304</v>
      </c>
    </row>
    <row r="445" spans="1:19">
      <c r="A445" s="4">
        <v>444</v>
      </c>
      <c r="B445" s="5">
        <v>40563</v>
      </c>
      <c r="C445" s="4">
        <v>1</v>
      </c>
      <c r="D445" s="4">
        <v>0</v>
      </c>
      <c r="E445" s="4">
        <v>1</v>
      </c>
      <c r="F445" s="4">
        <v>12</v>
      </c>
      <c r="G445" s="4" t="b">
        <v>0</v>
      </c>
      <c r="H445" s="4">
        <v>4</v>
      </c>
      <c r="I445" s="4">
        <v>2</v>
      </c>
      <c r="J445" s="4">
        <v>0.3</v>
      </c>
      <c r="K445" s="4">
        <v>0.33329999999999999</v>
      </c>
      <c r="L445" s="4">
        <v>0.42</v>
      </c>
      <c r="M445" s="4">
        <v>0</v>
      </c>
      <c r="N445" s="4">
        <v>7</v>
      </c>
      <c r="O445" s="4">
        <v>77</v>
      </c>
      <c r="P445" s="4">
        <v>84</v>
      </c>
      <c r="Q445" s="4">
        <f>SUBTOTAL(109,Table6[casual])</f>
        <v>4921</v>
      </c>
      <c r="R445" s="4">
        <f>SUBTOTAL(109,Table6[registered])</f>
        <v>53383</v>
      </c>
      <c r="S445" s="4">
        <f>SUBTOTAL(109,Table6[cnt])</f>
        <v>58304</v>
      </c>
    </row>
    <row r="446" spans="1:19">
      <c r="A446" s="4">
        <v>445</v>
      </c>
      <c r="B446" s="5">
        <v>40563</v>
      </c>
      <c r="C446" s="4">
        <v>1</v>
      </c>
      <c r="D446" s="4">
        <v>0</v>
      </c>
      <c r="E446" s="4">
        <v>1</v>
      </c>
      <c r="F446" s="4">
        <v>13</v>
      </c>
      <c r="G446" s="4" t="b">
        <v>0</v>
      </c>
      <c r="H446" s="4">
        <v>4</v>
      </c>
      <c r="I446" s="4">
        <v>2</v>
      </c>
      <c r="J446" s="4">
        <v>0.28000000000000003</v>
      </c>
      <c r="K446" s="4">
        <v>0.28789999999999999</v>
      </c>
      <c r="L446" s="4">
        <v>0.45</v>
      </c>
      <c r="M446" s="4">
        <v>0.1045</v>
      </c>
      <c r="N446" s="4">
        <v>12</v>
      </c>
      <c r="O446" s="4">
        <v>86</v>
      </c>
      <c r="P446" s="4">
        <v>98</v>
      </c>
      <c r="Q446" s="4">
        <f>SUBTOTAL(109,Table6[casual])</f>
        <v>4921</v>
      </c>
      <c r="R446" s="4">
        <f>SUBTOTAL(109,Table6[registered])</f>
        <v>53383</v>
      </c>
      <c r="S446" s="4">
        <f>SUBTOTAL(109,Table6[cnt])</f>
        <v>58304</v>
      </c>
    </row>
    <row r="447" spans="1:19">
      <c r="A447" s="4">
        <v>446</v>
      </c>
      <c r="B447" s="5">
        <v>40563</v>
      </c>
      <c r="C447" s="4">
        <v>1</v>
      </c>
      <c r="D447" s="4">
        <v>0</v>
      </c>
      <c r="E447" s="4">
        <v>1</v>
      </c>
      <c r="F447" s="4">
        <v>14</v>
      </c>
      <c r="G447" s="4" t="b">
        <v>0</v>
      </c>
      <c r="H447" s="4">
        <v>4</v>
      </c>
      <c r="I447" s="4">
        <v>2</v>
      </c>
      <c r="J447" s="4">
        <v>0.3</v>
      </c>
      <c r="K447" s="4">
        <v>0.30299999999999999</v>
      </c>
      <c r="L447" s="4">
        <v>0.45</v>
      </c>
      <c r="M447" s="4">
        <v>0.1343</v>
      </c>
      <c r="N447" s="4">
        <v>6</v>
      </c>
      <c r="O447" s="4">
        <v>75</v>
      </c>
      <c r="P447" s="4">
        <v>81</v>
      </c>
      <c r="Q447" s="4">
        <f>SUBTOTAL(109,Table6[casual])</f>
        <v>4921</v>
      </c>
      <c r="R447" s="4">
        <f>SUBTOTAL(109,Table6[registered])</f>
        <v>53383</v>
      </c>
      <c r="S447" s="4">
        <f>SUBTOTAL(109,Table6[cnt])</f>
        <v>58304</v>
      </c>
    </row>
    <row r="448" spans="1:19">
      <c r="A448" s="4">
        <v>447</v>
      </c>
      <c r="B448" s="5">
        <v>40563</v>
      </c>
      <c r="C448" s="4">
        <v>1</v>
      </c>
      <c r="D448" s="4">
        <v>0</v>
      </c>
      <c r="E448" s="4">
        <v>1</v>
      </c>
      <c r="F448" s="4">
        <v>15</v>
      </c>
      <c r="G448" s="4" t="b">
        <v>0</v>
      </c>
      <c r="H448" s="4">
        <v>4</v>
      </c>
      <c r="I448" s="4">
        <v>2</v>
      </c>
      <c r="J448" s="4">
        <v>0.32</v>
      </c>
      <c r="K448" s="4">
        <v>0.31819999999999998</v>
      </c>
      <c r="L448" s="4">
        <v>0.45</v>
      </c>
      <c r="M448" s="4">
        <v>0.19400000000000001</v>
      </c>
      <c r="N448" s="4">
        <v>8</v>
      </c>
      <c r="O448" s="4">
        <v>62</v>
      </c>
      <c r="P448" s="4">
        <v>70</v>
      </c>
      <c r="Q448" s="4">
        <f>SUBTOTAL(109,Table6[casual])</f>
        <v>4921</v>
      </c>
      <c r="R448" s="4">
        <f>SUBTOTAL(109,Table6[registered])</f>
        <v>53383</v>
      </c>
      <c r="S448" s="4">
        <f>SUBTOTAL(109,Table6[cnt])</f>
        <v>58304</v>
      </c>
    </row>
    <row r="449" spans="1:19">
      <c r="A449" s="4">
        <v>448</v>
      </c>
      <c r="B449" s="5">
        <v>40563</v>
      </c>
      <c r="C449" s="4">
        <v>1</v>
      </c>
      <c r="D449" s="4">
        <v>0</v>
      </c>
      <c r="E449" s="4">
        <v>1</v>
      </c>
      <c r="F449" s="4">
        <v>16</v>
      </c>
      <c r="G449" s="4" t="b">
        <v>0</v>
      </c>
      <c r="H449" s="4">
        <v>4</v>
      </c>
      <c r="I449" s="4">
        <v>2</v>
      </c>
      <c r="J449" s="4">
        <v>0.3</v>
      </c>
      <c r="K449" s="4">
        <v>0.30299999999999999</v>
      </c>
      <c r="L449" s="4">
        <v>0.49</v>
      </c>
      <c r="M449" s="4">
        <v>0.1343</v>
      </c>
      <c r="N449" s="4">
        <v>8</v>
      </c>
      <c r="O449" s="4">
        <v>83</v>
      </c>
      <c r="P449" s="4">
        <v>91</v>
      </c>
      <c r="Q449" s="4">
        <f>SUBTOTAL(109,Table6[casual])</f>
        <v>4921</v>
      </c>
      <c r="R449" s="4">
        <f>SUBTOTAL(109,Table6[registered])</f>
        <v>53383</v>
      </c>
      <c r="S449" s="4">
        <f>SUBTOTAL(109,Table6[cnt])</f>
        <v>58304</v>
      </c>
    </row>
    <row r="450" spans="1:19">
      <c r="A450" s="4">
        <v>449</v>
      </c>
      <c r="B450" s="5">
        <v>40563</v>
      </c>
      <c r="C450" s="4">
        <v>1</v>
      </c>
      <c r="D450" s="4">
        <v>0</v>
      </c>
      <c r="E450" s="4">
        <v>1</v>
      </c>
      <c r="F450" s="4">
        <v>17</v>
      </c>
      <c r="G450" s="4" t="b">
        <v>0</v>
      </c>
      <c r="H450" s="4">
        <v>4</v>
      </c>
      <c r="I450" s="4">
        <v>2</v>
      </c>
      <c r="J450" s="4">
        <v>0.3</v>
      </c>
      <c r="K450" s="4">
        <v>0.31819999999999998</v>
      </c>
      <c r="L450" s="4">
        <v>0.49</v>
      </c>
      <c r="M450" s="4">
        <v>0.1045</v>
      </c>
      <c r="N450" s="4">
        <v>8</v>
      </c>
      <c r="O450" s="4">
        <v>207</v>
      </c>
      <c r="P450" s="4">
        <v>215</v>
      </c>
      <c r="Q450" s="4">
        <f>SUBTOTAL(109,Table6[casual])</f>
        <v>4921</v>
      </c>
      <c r="R450" s="4">
        <f>SUBTOTAL(109,Table6[registered])</f>
        <v>53383</v>
      </c>
      <c r="S450" s="4">
        <f>SUBTOTAL(109,Table6[cnt])</f>
        <v>58304</v>
      </c>
    </row>
    <row r="451" spans="1:19">
      <c r="A451" s="4">
        <v>450</v>
      </c>
      <c r="B451" s="5">
        <v>40563</v>
      </c>
      <c r="C451" s="4">
        <v>1</v>
      </c>
      <c r="D451" s="4">
        <v>0</v>
      </c>
      <c r="E451" s="4">
        <v>1</v>
      </c>
      <c r="F451" s="4">
        <v>18</v>
      </c>
      <c r="G451" s="4" t="b">
        <v>0</v>
      </c>
      <c r="H451" s="4">
        <v>4</v>
      </c>
      <c r="I451" s="4">
        <v>2</v>
      </c>
      <c r="J451" s="4">
        <v>0.26</v>
      </c>
      <c r="K451" s="4">
        <v>0.2576</v>
      </c>
      <c r="L451" s="4">
        <v>0.56000000000000005</v>
      </c>
      <c r="M451" s="4">
        <v>0.19400000000000001</v>
      </c>
      <c r="N451" s="4">
        <v>1</v>
      </c>
      <c r="O451" s="4">
        <v>184</v>
      </c>
      <c r="P451" s="4">
        <v>185</v>
      </c>
      <c r="Q451" s="4">
        <f>SUBTOTAL(109,Table6[casual])</f>
        <v>4921</v>
      </c>
      <c r="R451" s="4">
        <f>SUBTOTAL(109,Table6[registered])</f>
        <v>53383</v>
      </c>
      <c r="S451" s="4">
        <f>SUBTOTAL(109,Table6[cnt])</f>
        <v>58304</v>
      </c>
    </row>
    <row r="452" spans="1:19">
      <c r="A452" s="4">
        <v>451</v>
      </c>
      <c r="B452" s="5">
        <v>40563</v>
      </c>
      <c r="C452" s="4">
        <v>1</v>
      </c>
      <c r="D452" s="4">
        <v>0</v>
      </c>
      <c r="E452" s="4">
        <v>1</v>
      </c>
      <c r="F452" s="4">
        <v>19</v>
      </c>
      <c r="G452" s="4" t="b">
        <v>0</v>
      </c>
      <c r="H452" s="4">
        <v>4</v>
      </c>
      <c r="I452" s="4">
        <v>1</v>
      </c>
      <c r="J452" s="4">
        <v>0.26</v>
      </c>
      <c r="K452" s="4">
        <v>0.2273</v>
      </c>
      <c r="L452" s="4">
        <v>0.56000000000000005</v>
      </c>
      <c r="M452" s="4">
        <v>0.32840000000000003</v>
      </c>
      <c r="N452" s="4">
        <v>6</v>
      </c>
      <c r="O452" s="4">
        <v>146</v>
      </c>
      <c r="P452" s="4">
        <v>152</v>
      </c>
      <c r="Q452" s="4">
        <f>SUBTOTAL(109,Table6[casual])</f>
        <v>4921</v>
      </c>
      <c r="R452" s="4">
        <f>SUBTOTAL(109,Table6[registered])</f>
        <v>53383</v>
      </c>
      <c r="S452" s="4">
        <f>SUBTOTAL(109,Table6[cnt])</f>
        <v>58304</v>
      </c>
    </row>
    <row r="453" spans="1:19">
      <c r="A453" s="4">
        <v>452</v>
      </c>
      <c r="B453" s="5">
        <v>40563</v>
      </c>
      <c r="C453" s="4">
        <v>1</v>
      </c>
      <c r="D453" s="4">
        <v>0</v>
      </c>
      <c r="E453" s="4">
        <v>1</v>
      </c>
      <c r="F453" s="4">
        <v>20</v>
      </c>
      <c r="G453" s="4" t="b">
        <v>0</v>
      </c>
      <c r="H453" s="4">
        <v>4</v>
      </c>
      <c r="I453" s="4">
        <v>2</v>
      </c>
      <c r="J453" s="4">
        <v>0.26</v>
      </c>
      <c r="K453" s="4">
        <v>0.2424</v>
      </c>
      <c r="L453" s="4">
        <v>0.6</v>
      </c>
      <c r="M453" s="4">
        <v>0.28360000000000002</v>
      </c>
      <c r="N453" s="4">
        <v>2</v>
      </c>
      <c r="O453" s="4">
        <v>124</v>
      </c>
      <c r="P453" s="4">
        <v>126</v>
      </c>
      <c r="Q453" s="4">
        <f>SUBTOTAL(109,Table6[casual])</f>
        <v>4921</v>
      </c>
      <c r="R453" s="4">
        <f>SUBTOTAL(109,Table6[registered])</f>
        <v>53383</v>
      </c>
      <c r="S453" s="4">
        <f>SUBTOTAL(109,Table6[cnt])</f>
        <v>58304</v>
      </c>
    </row>
    <row r="454" spans="1:19">
      <c r="A454" s="4">
        <v>453</v>
      </c>
      <c r="B454" s="5">
        <v>40563</v>
      </c>
      <c r="C454" s="4">
        <v>1</v>
      </c>
      <c r="D454" s="4">
        <v>0</v>
      </c>
      <c r="E454" s="4">
        <v>1</v>
      </c>
      <c r="F454" s="4">
        <v>21</v>
      </c>
      <c r="G454" s="4" t="b">
        <v>0</v>
      </c>
      <c r="H454" s="4">
        <v>4</v>
      </c>
      <c r="I454" s="4">
        <v>2</v>
      </c>
      <c r="J454" s="4">
        <v>0.24</v>
      </c>
      <c r="K454" s="4">
        <v>0.2273</v>
      </c>
      <c r="L454" s="4">
        <v>0.6</v>
      </c>
      <c r="M454" s="4">
        <v>0.25369999999999998</v>
      </c>
      <c r="N454" s="4">
        <v>3</v>
      </c>
      <c r="O454" s="4">
        <v>54</v>
      </c>
      <c r="P454" s="4">
        <v>57</v>
      </c>
      <c r="Q454" s="4">
        <f>SUBTOTAL(109,Table6[casual])</f>
        <v>4921</v>
      </c>
      <c r="R454" s="4">
        <f>SUBTOTAL(109,Table6[registered])</f>
        <v>53383</v>
      </c>
      <c r="S454" s="4">
        <f>SUBTOTAL(109,Table6[cnt])</f>
        <v>58304</v>
      </c>
    </row>
    <row r="455" spans="1:19">
      <c r="A455" s="4">
        <v>454</v>
      </c>
      <c r="B455" s="5">
        <v>40563</v>
      </c>
      <c r="C455" s="4">
        <v>1</v>
      </c>
      <c r="D455" s="4">
        <v>0</v>
      </c>
      <c r="E455" s="4">
        <v>1</v>
      </c>
      <c r="F455" s="4">
        <v>22</v>
      </c>
      <c r="G455" s="4" t="b">
        <v>0</v>
      </c>
      <c r="H455" s="4">
        <v>4</v>
      </c>
      <c r="I455" s="4">
        <v>2</v>
      </c>
      <c r="J455" s="4">
        <v>0.24</v>
      </c>
      <c r="K455" s="4">
        <v>0.21210000000000001</v>
      </c>
      <c r="L455" s="4">
        <v>0.65</v>
      </c>
      <c r="M455" s="4">
        <v>0.28360000000000002</v>
      </c>
      <c r="N455" s="4">
        <v>0</v>
      </c>
      <c r="O455" s="4">
        <v>56</v>
      </c>
      <c r="P455" s="4">
        <v>56</v>
      </c>
      <c r="Q455" s="4">
        <f>SUBTOTAL(109,Table6[casual])</f>
        <v>4921</v>
      </c>
      <c r="R455" s="4">
        <f>SUBTOTAL(109,Table6[registered])</f>
        <v>53383</v>
      </c>
      <c r="S455" s="4">
        <f>SUBTOTAL(109,Table6[cnt])</f>
        <v>58304</v>
      </c>
    </row>
    <row r="456" spans="1:19">
      <c r="A456" s="4">
        <v>455</v>
      </c>
      <c r="B456" s="5">
        <v>40563</v>
      </c>
      <c r="C456" s="4">
        <v>1</v>
      </c>
      <c r="D456" s="4">
        <v>0</v>
      </c>
      <c r="E456" s="4">
        <v>1</v>
      </c>
      <c r="F456" s="4">
        <v>23</v>
      </c>
      <c r="G456" s="4" t="b">
        <v>0</v>
      </c>
      <c r="H456" s="4">
        <v>4</v>
      </c>
      <c r="I456" s="4">
        <v>2</v>
      </c>
      <c r="J456" s="4">
        <v>0.24</v>
      </c>
      <c r="K456" s="4">
        <v>0.21210000000000001</v>
      </c>
      <c r="L456" s="4">
        <v>0.65</v>
      </c>
      <c r="M456" s="4">
        <v>0.32840000000000003</v>
      </c>
      <c r="N456" s="4">
        <v>3</v>
      </c>
      <c r="O456" s="4">
        <v>28</v>
      </c>
      <c r="P456" s="4">
        <v>31</v>
      </c>
      <c r="Q456" s="4">
        <f>SUBTOTAL(109,Table6[casual])</f>
        <v>4921</v>
      </c>
      <c r="R456" s="4">
        <f>SUBTOTAL(109,Table6[registered])</f>
        <v>53383</v>
      </c>
      <c r="S456" s="4">
        <f>SUBTOTAL(109,Table6[cnt])</f>
        <v>58304</v>
      </c>
    </row>
    <row r="457" spans="1:19">
      <c r="A457" s="4">
        <v>456</v>
      </c>
      <c r="B457" s="5">
        <v>40564</v>
      </c>
      <c r="C457" s="4">
        <v>1</v>
      </c>
      <c r="D457" s="4">
        <v>0</v>
      </c>
      <c r="E457" s="4">
        <v>1</v>
      </c>
      <c r="F457" s="4">
        <v>0</v>
      </c>
      <c r="G457" s="4" t="b">
        <v>0</v>
      </c>
      <c r="H457" s="4">
        <v>5</v>
      </c>
      <c r="I457" s="4">
        <v>2</v>
      </c>
      <c r="J457" s="4">
        <v>0.24</v>
      </c>
      <c r="K457" s="4">
        <v>0.2273</v>
      </c>
      <c r="L457" s="4">
        <v>0.7</v>
      </c>
      <c r="M457" s="4">
        <v>0.25369999999999998</v>
      </c>
      <c r="N457" s="4">
        <v>1</v>
      </c>
      <c r="O457" s="4">
        <v>20</v>
      </c>
      <c r="P457" s="4">
        <v>21</v>
      </c>
      <c r="Q457" s="4">
        <f>SUBTOTAL(109,Table6[casual])</f>
        <v>4921</v>
      </c>
      <c r="R457" s="4">
        <f>SUBTOTAL(109,Table6[registered])</f>
        <v>53383</v>
      </c>
      <c r="S457" s="4">
        <f>SUBTOTAL(109,Table6[cnt])</f>
        <v>58304</v>
      </c>
    </row>
    <row r="458" spans="1:19">
      <c r="A458" s="4">
        <v>457</v>
      </c>
      <c r="B458" s="5">
        <v>40564</v>
      </c>
      <c r="C458" s="4">
        <v>1</v>
      </c>
      <c r="D458" s="4">
        <v>0</v>
      </c>
      <c r="E458" s="4">
        <v>1</v>
      </c>
      <c r="F458" s="4">
        <v>1</v>
      </c>
      <c r="G458" s="4" t="b">
        <v>0</v>
      </c>
      <c r="H458" s="4">
        <v>5</v>
      </c>
      <c r="I458" s="4">
        <v>2</v>
      </c>
      <c r="J458" s="4">
        <v>0.24</v>
      </c>
      <c r="K458" s="4">
        <v>0.2273</v>
      </c>
      <c r="L458" s="4">
        <v>0.7</v>
      </c>
      <c r="M458" s="4">
        <v>0.25369999999999998</v>
      </c>
      <c r="N458" s="4">
        <v>0</v>
      </c>
      <c r="O458" s="4">
        <v>6</v>
      </c>
      <c r="P458" s="4">
        <v>6</v>
      </c>
      <c r="Q458" s="4">
        <f>SUBTOTAL(109,Table6[casual])</f>
        <v>4921</v>
      </c>
      <c r="R458" s="4">
        <f>SUBTOTAL(109,Table6[registered])</f>
        <v>53383</v>
      </c>
      <c r="S458" s="4">
        <f>SUBTOTAL(109,Table6[cnt])</f>
        <v>58304</v>
      </c>
    </row>
    <row r="459" spans="1:19">
      <c r="A459" s="4">
        <v>458</v>
      </c>
      <c r="B459" s="5">
        <v>40564</v>
      </c>
      <c r="C459" s="4">
        <v>1</v>
      </c>
      <c r="D459" s="4">
        <v>0</v>
      </c>
      <c r="E459" s="4">
        <v>1</v>
      </c>
      <c r="F459" s="4">
        <v>2</v>
      </c>
      <c r="G459" s="4" t="b">
        <v>0</v>
      </c>
      <c r="H459" s="4">
        <v>5</v>
      </c>
      <c r="I459" s="4">
        <v>3</v>
      </c>
      <c r="J459" s="4">
        <v>0.24</v>
      </c>
      <c r="K459" s="4">
        <v>0.2424</v>
      </c>
      <c r="L459" s="4">
        <v>0.75</v>
      </c>
      <c r="M459" s="4">
        <v>0.16420000000000001</v>
      </c>
      <c r="N459" s="4">
        <v>0</v>
      </c>
      <c r="O459" s="4">
        <v>2</v>
      </c>
      <c r="P459" s="4">
        <v>2</v>
      </c>
      <c r="Q459" s="4">
        <f>SUBTOTAL(109,Table6[casual])</f>
        <v>4921</v>
      </c>
      <c r="R459" s="4">
        <f>SUBTOTAL(109,Table6[registered])</f>
        <v>53383</v>
      </c>
      <c r="S459" s="4">
        <f>SUBTOTAL(109,Table6[cnt])</f>
        <v>58304</v>
      </c>
    </row>
    <row r="460" spans="1:19">
      <c r="A460" s="4">
        <v>459</v>
      </c>
      <c r="B460" s="5">
        <v>40564</v>
      </c>
      <c r="C460" s="4">
        <v>1</v>
      </c>
      <c r="D460" s="4">
        <v>0</v>
      </c>
      <c r="E460" s="4">
        <v>1</v>
      </c>
      <c r="F460" s="4">
        <v>3</v>
      </c>
      <c r="G460" s="4" t="b">
        <v>0</v>
      </c>
      <c r="H460" s="4">
        <v>5</v>
      </c>
      <c r="I460" s="4">
        <v>3</v>
      </c>
      <c r="J460" s="4">
        <v>0.22</v>
      </c>
      <c r="K460" s="4">
        <v>0.21210000000000001</v>
      </c>
      <c r="L460" s="4">
        <v>0.8</v>
      </c>
      <c r="M460" s="4">
        <v>0.29849999999999999</v>
      </c>
      <c r="N460" s="4">
        <v>0</v>
      </c>
      <c r="O460" s="4">
        <v>1</v>
      </c>
      <c r="P460" s="4">
        <v>1</v>
      </c>
      <c r="Q460" s="4">
        <f>SUBTOTAL(109,Table6[casual])</f>
        <v>4921</v>
      </c>
      <c r="R460" s="4">
        <f>SUBTOTAL(109,Table6[registered])</f>
        <v>53383</v>
      </c>
      <c r="S460" s="4">
        <f>SUBTOTAL(109,Table6[cnt])</f>
        <v>58304</v>
      </c>
    </row>
    <row r="461" spans="1:19">
      <c r="A461" s="4">
        <v>460</v>
      </c>
      <c r="B461" s="5">
        <v>40564</v>
      </c>
      <c r="C461" s="4">
        <v>1</v>
      </c>
      <c r="D461" s="4">
        <v>0</v>
      </c>
      <c r="E461" s="4">
        <v>1</v>
      </c>
      <c r="F461" s="4">
        <v>4</v>
      </c>
      <c r="G461" s="4" t="b">
        <v>0</v>
      </c>
      <c r="H461" s="4">
        <v>5</v>
      </c>
      <c r="I461" s="4">
        <v>2</v>
      </c>
      <c r="J461" s="4">
        <v>0.22</v>
      </c>
      <c r="K461" s="4">
        <v>0.2576</v>
      </c>
      <c r="L461" s="4">
        <v>0.87</v>
      </c>
      <c r="M461" s="4">
        <v>8.9599999999999999E-2</v>
      </c>
      <c r="N461" s="4">
        <v>0</v>
      </c>
      <c r="O461" s="4">
        <v>1</v>
      </c>
      <c r="P461" s="4">
        <v>1</v>
      </c>
      <c r="Q461" s="4">
        <f>SUBTOTAL(109,Table6[casual])</f>
        <v>4921</v>
      </c>
      <c r="R461" s="4">
        <f>SUBTOTAL(109,Table6[registered])</f>
        <v>53383</v>
      </c>
      <c r="S461" s="4">
        <f>SUBTOTAL(109,Table6[cnt])</f>
        <v>58304</v>
      </c>
    </row>
    <row r="462" spans="1:19">
      <c r="A462" s="4">
        <v>461</v>
      </c>
      <c r="B462" s="5">
        <v>40564</v>
      </c>
      <c r="C462" s="4">
        <v>1</v>
      </c>
      <c r="D462" s="4">
        <v>0</v>
      </c>
      <c r="E462" s="4">
        <v>1</v>
      </c>
      <c r="F462" s="4">
        <v>5</v>
      </c>
      <c r="G462" s="4" t="b">
        <v>0</v>
      </c>
      <c r="H462" s="4">
        <v>5</v>
      </c>
      <c r="I462" s="4">
        <v>1</v>
      </c>
      <c r="J462" s="4">
        <v>0.24</v>
      </c>
      <c r="K462" s="4">
        <v>0.19700000000000001</v>
      </c>
      <c r="L462" s="4">
        <v>0.6</v>
      </c>
      <c r="M462" s="4">
        <v>0.41789999999999999</v>
      </c>
      <c r="N462" s="4">
        <v>1</v>
      </c>
      <c r="O462" s="4">
        <v>4</v>
      </c>
      <c r="P462" s="4">
        <v>5</v>
      </c>
      <c r="Q462" s="4">
        <f>SUBTOTAL(109,Table6[casual])</f>
        <v>4921</v>
      </c>
      <c r="R462" s="4">
        <f>SUBTOTAL(109,Table6[registered])</f>
        <v>53383</v>
      </c>
      <c r="S462" s="4">
        <f>SUBTOTAL(109,Table6[cnt])</f>
        <v>58304</v>
      </c>
    </row>
    <row r="463" spans="1:19">
      <c r="A463" s="4">
        <v>462</v>
      </c>
      <c r="B463" s="5">
        <v>40564</v>
      </c>
      <c r="C463" s="4">
        <v>1</v>
      </c>
      <c r="D463" s="4">
        <v>0</v>
      </c>
      <c r="E463" s="4">
        <v>1</v>
      </c>
      <c r="F463" s="4">
        <v>6</v>
      </c>
      <c r="G463" s="4" t="b">
        <v>0</v>
      </c>
      <c r="H463" s="4">
        <v>5</v>
      </c>
      <c r="I463" s="4">
        <v>1</v>
      </c>
      <c r="J463" s="4">
        <v>0.22</v>
      </c>
      <c r="K463" s="4">
        <v>0.21210000000000001</v>
      </c>
      <c r="L463" s="4">
        <v>0.55000000000000004</v>
      </c>
      <c r="M463" s="4">
        <v>0.25369999999999998</v>
      </c>
      <c r="N463" s="4">
        <v>0</v>
      </c>
      <c r="O463" s="4">
        <v>27</v>
      </c>
      <c r="P463" s="4">
        <v>27</v>
      </c>
      <c r="Q463" s="4">
        <f>SUBTOTAL(109,Table6[casual])</f>
        <v>4921</v>
      </c>
      <c r="R463" s="4">
        <f>SUBTOTAL(109,Table6[registered])</f>
        <v>53383</v>
      </c>
      <c r="S463" s="4">
        <f>SUBTOTAL(109,Table6[cnt])</f>
        <v>58304</v>
      </c>
    </row>
    <row r="464" spans="1:19">
      <c r="A464" s="4">
        <v>463</v>
      </c>
      <c r="B464" s="5">
        <v>40564</v>
      </c>
      <c r="C464" s="4">
        <v>1</v>
      </c>
      <c r="D464" s="4">
        <v>0</v>
      </c>
      <c r="E464" s="4">
        <v>1</v>
      </c>
      <c r="F464" s="4">
        <v>7</v>
      </c>
      <c r="G464" s="4" t="b">
        <v>0</v>
      </c>
      <c r="H464" s="4">
        <v>5</v>
      </c>
      <c r="I464" s="4">
        <v>1</v>
      </c>
      <c r="J464" s="4">
        <v>0.2</v>
      </c>
      <c r="K464" s="4">
        <v>0.18179999999999999</v>
      </c>
      <c r="L464" s="4">
        <v>0.51</v>
      </c>
      <c r="M464" s="4">
        <v>0.28360000000000002</v>
      </c>
      <c r="N464" s="4">
        <v>2</v>
      </c>
      <c r="O464" s="4">
        <v>66</v>
      </c>
      <c r="P464" s="4">
        <v>68</v>
      </c>
      <c r="Q464" s="4">
        <f>SUBTOTAL(109,Table6[casual])</f>
        <v>4921</v>
      </c>
      <c r="R464" s="4">
        <f>SUBTOTAL(109,Table6[registered])</f>
        <v>53383</v>
      </c>
      <c r="S464" s="4">
        <f>SUBTOTAL(109,Table6[cnt])</f>
        <v>58304</v>
      </c>
    </row>
    <row r="465" spans="1:19">
      <c r="A465" s="4">
        <v>464</v>
      </c>
      <c r="B465" s="5">
        <v>40564</v>
      </c>
      <c r="C465" s="4">
        <v>1</v>
      </c>
      <c r="D465" s="4">
        <v>0</v>
      </c>
      <c r="E465" s="4">
        <v>1</v>
      </c>
      <c r="F465" s="4">
        <v>8</v>
      </c>
      <c r="G465" s="4" t="b">
        <v>0</v>
      </c>
      <c r="H465" s="4">
        <v>5</v>
      </c>
      <c r="I465" s="4">
        <v>1</v>
      </c>
      <c r="J465" s="4">
        <v>0.2</v>
      </c>
      <c r="K465" s="4">
        <v>0.18179999999999999</v>
      </c>
      <c r="L465" s="4">
        <v>0.47</v>
      </c>
      <c r="M465" s="4">
        <v>0.32840000000000003</v>
      </c>
      <c r="N465" s="4">
        <v>7</v>
      </c>
      <c r="O465" s="4">
        <v>210</v>
      </c>
      <c r="P465" s="4">
        <v>217</v>
      </c>
      <c r="Q465" s="4">
        <f>SUBTOTAL(109,Table6[casual])</f>
        <v>4921</v>
      </c>
      <c r="R465" s="4">
        <f>SUBTOTAL(109,Table6[registered])</f>
        <v>53383</v>
      </c>
      <c r="S465" s="4">
        <f>SUBTOTAL(109,Table6[cnt])</f>
        <v>58304</v>
      </c>
    </row>
    <row r="466" spans="1:19">
      <c r="A466" s="4">
        <v>465</v>
      </c>
      <c r="B466" s="5">
        <v>40564</v>
      </c>
      <c r="C466" s="4">
        <v>1</v>
      </c>
      <c r="D466" s="4">
        <v>0</v>
      </c>
      <c r="E466" s="4">
        <v>1</v>
      </c>
      <c r="F466" s="4">
        <v>9</v>
      </c>
      <c r="G466" s="4" t="b">
        <v>0</v>
      </c>
      <c r="H466" s="4">
        <v>5</v>
      </c>
      <c r="I466" s="4">
        <v>1</v>
      </c>
      <c r="J466" s="4">
        <v>0.2</v>
      </c>
      <c r="K466" s="4">
        <v>0.18179999999999999</v>
      </c>
      <c r="L466" s="4">
        <v>0.51</v>
      </c>
      <c r="M466" s="4">
        <v>0.35820000000000002</v>
      </c>
      <c r="N466" s="4">
        <v>7</v>
      </c>
      <c r="O466" s="4">
        <v>159</v>
      </c>
      <c r="P466" s="4">
        <v>166</v>
      </c>
      <c r="Q466" s="4">
        <f>SUBTOTAL(109,Table6[casual])</f>
        <v>4921</v>
      </c>
      <c r="R466" s="4">
        <f>SUBTOTAL(109,Table6[registered])</f>
        <v>53383</v>
      </c>
      <c r="S466" s="4">
        <f>SUBTOTAL(109,Table6[cnt])</f>
        <v>58304</v>
      </c>
    </row>
    <row r="467" spans="1:19">
      <c r="A467" s="4">
        <v>466</v>
      </c>
      <c r="B467" s="5">
        <v>40564</v>
      </c>
      <c r="C467" s="4">
        <v>1</v>
      </c>
      <c r="D467" s="4">
        <v>0</v>
      </c>
      <c r="E467" s="4">
        <v>1</v>
      </c>
      <c r="F467" s="4">
        <v>10</v>
      </c>
      <c r="G467" s="4" t="b">
        <v>0</v>
      </c>
      <c r="H467" s="4">
        <v>5</v>
      </c>
      <c r="I467" s="4">
        <v>1</v>
      </c>
      <c r="J467" s="4">
        <v>0.2</v>
      </c>
      <c r="K467" s="4">
        <v>0.16669999999999999</v>
      </c>
      <c r="L467" s="4">
        <v>0.47</v>
      </c>
      <c r="M467" s="4">
        <v>0.4627</v>
      </c>
      <c r="N467" s="4">
        <v>6</v>
      </c>
      <c r="O467" s="4">
        <v>57</v>
      </c>
      <c r="P467" s="4">
        <v>63</v>
      </c>
      <c r="Q467" s="4">
        <f>SUBTOTAL(109,Table6[casual])</f>
        <v>4921</v>
      </c>
      <c r="R467" s="4">
        <f>SUBTOTAL(109,Table6[registered])</f>
        <v>53383</v>
      </c>
      <c r="S467" s="4">
        <f>SUBTOTAL(109,Table6[cnt])</f>
        <v>58304</v>
      </c>
    </row>
    <row r="468" spans="1:19">
      <c r="A468" s="4">
        <v>467</v>
      </c>
      <c r="B468" s="5">
        <v>40564</v>
      </c>
      <c r="C468" s="4">
        <v>1</v>
      </c>
      <c r="D468" s="4">
        <v>0</v>
      </c>
      <c r="E468" s="4">
        <v>1</v>
      </c>
      <c r="F468" s="4">
        <v>11</v>
      </c>
      <c r="G468" s="4" t="b">
        <v>0</v>
      </c>
      <c r="H468" s="4">
        <v>5</v>
      </c>
      <c r="I468" s="4">
        <v>1</v>
      </c>
      <c r="J468" s="4">
        <v>0.22</v>
      </c>
      <c r="K468" s="4">
        <v>0.18179999999999999</v>
      </c>
      <c r="L468" s="4">
        <v>0.41</v>
      </c>
      <c r="M468" s="4">
        <v>0.4627</v>
      </c>
      <c r="N468" s="4">
        <v>6</v>
      </c>
      <c r="O468" s="4">
        <v>53</v>
      </c>
      <c r="P468" s="4">
        <v>59</v>
      </c>
      <c r="Q468" s="4">
        <f>SUBTOTAL(109,Table6[casual])</f>
        <v>4921</v>
      </c>
      <c r="R468" s="4">
        <f>SUBTOTAL(109,Table6[registered])</f>
        <v>53383</v>
      </c>
      <c r="S468" s="4">
        <f>SUBTOTAL(109,Table6[cnt])</f>
        <v>58304</v>
      </c>
    </row>
    <row r="469" spans="1:19">
      <c r="A469" s="4">
        <v>468</v>
      </c>
      <c r="B469" s="5">
        <v>40564</v>
      </c>
      <c r="C469" s="4">
        <v>1</v>
      </c>
      <c r="D469" s="4">
        <v>0</v>
      </c>
      <c r="E469" s="4">
        <v>1</v>
      </c>
      <c r="F469" s="4">
        <v>12</v>
      </c>
      <c r="G469" s="4" t="b">
        <v>0</v>
      </c>
      <c r="H469" s="4">
        <v>5</v>
      </c>
      <c r="I469" s="4">
        <v>1</v>
      </c>
      <c r="J469" s="4">
        <v>0.22</v>
      </c>
      <c r="K469" s="4">
        <v>0.18179999999999999</v>
      </c>
      <c r="L469" s="4">
        <v>0.27</v>
      </c>
      <c r="M469" s="4">
        <v>0.58209999999999995</v>
      </c>
      <c r="N469" s="4">
        <v>11</v>
      </c>
      <c r="O469" s="4">
        <v>67</v>
      </c>
      <c r="P469" s="4">
        <v>78</v>
      </c>
      <c r="Q469" s="4">
        <f>SUBTOTAL(109,Table6[casual])</f>
        <v>4921</v>
      </c>
      <c r="R469" s="4">
        <f>SUBTOTAL(109,Table6[registered])</f>
        <v>53383</v>
      </c>
      <c r="S469" s="4">
        <f>SUBTOTAL(109,Table6[cnt])</f>
        <v>58304</v>
      </c>
    </row>
    <row r="470" spans="1:19">
      <c r="A470" s="4">
        <v>469</v>
      </c>
      <c r="B470" s="5">
        <v>40564</v>
      </c>
      <c r="C470" s="4">
        <v>1</v>
      </c>
      <c r="D470" s="4">
        <v>0</v>
      </c>
      <c r="E470" s="4">
        <v>1</v>
      </c>
      <c r="F470" s="4">
        <v>13</v>
      </c>
      <c r="G470" s="4" t="b">
        <v>0</v>
      </c>
      <c r="H470" s="4">
        <v>5</v>
      </c>
      <c r="I470" s="4">
        <v>1</v>
      </c>
      <c r="J470" s="4">
        <v>0.2</v>
      </c>
      <c r="K470" s="4">
        <v>0.1515</v>
      </c>
      <c r="L470" s="4">
        <v>0.21</v>
      </c>
      <c r="M470" s="4">
        <v>0.58209999999999995</v>
      </c>
      <c r="N470" s="4">
        <v>8</v>
      </c>
      <c r="O470" s="4">
        <v>65</v>
      </c>
      <c r="P470" s="4">
        <v>73</v>
      </c>
      <c r="Q470" s="4">
        <f>SUBTOTAL(109,Table6[casual])</f>
        <v>4921</v>
      </c>
      <c r="R470" s="4">
        <f>SUBTOTAL(109,Table6[registered])</f>
        <v>53383</v>
      </c>
      <c r="S470" s="4">
        <f>SUBTOTAL(109,Table6[cnt])</f>
        <v>58304</v>
      </c>
    </row>
    <row r="471" spans="1:19">
      <c r="A471" s="4">
        <v>470</v>
      </c>
      <c r="B471" s="5">
        <v>40564</v>
      </c>
      <c r="C471" s="4">
        <v>1</v>
      </c>
      <c r="D471" s="4">
        <v>0</v>
      </c>
      <c r="E471" s="4">
        <v>1</v>
      </c>
      <c r="F471" s="4">
        <v>14</v>
      </c>
      <c r="G471" s="4" t="b">
        <v>0</v>
      </c>
      <c r="H471" s="4">
        <v>5</v>
      </c>
      <c r="I471" s="4">
        <v>1</v>
      </c>
      <c r="J471" s="4">
        <v>0.2</v>
      </c>
      <c r="K471" s="4">
        <v>0.1515</v>
      </c>
      <c r="L471" s="4">
        <v>0.25</v>
      </c>
      <c r="M471" s="4">
        <v>0.52239999999999998</v>
      </c>
      <c r="N471" s="4">
        <v>6</v>
      </c>
      <c r="O471" s="4">
        <v>56</v>
      </c>
      <c r="P471" s="4">
        <v>62</v>
      </c>
      <c r="Q471" s="4">
        <f>SUBTOTAL(109,Table6[casual])</f>
        <v>4921</v>
      </c>
      <c r="R471" s="4">
        <f>SUBTOTAL(109,Table6[registered])</f>
        <v>53383</v>
      </c>
      <c r="S471" s="4">
        <f>SUBTOTAL(109,Table6[cnt])</f>
        <v>58304</v>
      </c>
    </row>
    <row r="472" spans="1:19">
      <c r="A472" s="4">
        <v>471</v>
      </c>
      <c r="B472" s="5">
        <v>40564</v>
      </c>
      <c r="C472" s="4">
        <v>1</v>
      </c>
      <c r="D472" s="4">
        <v>0</v>
      </c>
      <c r="E472" s="4">
        <v>1</v>
      </c>
      <c r="F472" s="4">
        <v>15</v>
      </c>
      <c r="G472" s="4" t="b">
        <v>0</v>
      </c>
      <c r="H472" s="4">
        <v>5</v>
      </c>
      <c r="I472" s="4">
        <v>1</v>
      </c>
      <c r="J472" s="4">
        <v>0.16</v>
      </c>
      <c r="K472" s="4">
        <v>0.1212</v>
      </c>
      <c r="L472" s="4">
        <v>0.26</v>
      </c>
      <c r="M472" s="4">
        <v>0.44779999999999998</v>
      </c>
      <c r="N472" s="4">
        <v>4</v>
      </c>
      <c r="O472" s="4">
        <v>61</v>
      </c>
      <c r="P472" s="4">
        <v>65</v>
      </c>
      <c r="Q472" s="4">
        <f>SUBTOTAL(109,Table6[casual])</f>
        <v>4921</v>
      </c>
      <c r="R472" s="4">
        <f>SUBTOTAL(109,Table6[registered])</f>
        <v>53383</v>
      </c>
      <c r="S472" s="4">
        <f>SUBTOTAL(109,Table6[cnt])</f>
        <v>58304</v>
      </c>
    </row>
    <row r="473" spans="1:19">
      <c r="A473" s="4">
        <v>472</v>
      </c>
      <c r="B473" s="5">
        <v>40564</v>
      </c>
      <c r="C473" s="4">
        <v>1</v>
      </c>
      <c r="D473" s="4">
        <v>0</v>
      </c>
      <c r="E473" s="4">
        <v>1</v>
      </c>
      <c r="F473" s="4">
        <v>16</v>
      </c>
      <c r="G473" s="4" t="b">
        <v>0</v>
      </c>
      <c r="H473" s="4">
        <v>5</v>
      </c>
      <c r="I473" s="4">
        <v>1</v>
      </c>
      <c r="J473" s="4">
        <v>0.16</v>
      </c>
      <c r="K473" s="4">
        <v>0.13639999999999999</v>
      </c>
      <c r="L473" s="4">
        <v>0.26</v>
      </c>
      <c r="M473" s="4">
        <v>0.35820000000000002</v>
      </c>
      <c r="N473" s="4">
        <v>0</v>
      </c>
      <c r="O473" s="4">
        <v>97</v>
      </c>
      <c r="P473" s="4">
        <v>97</v>
      </c>
      <c r="Q473" s="4">
        <f>SUBTOTAL(109,Table6[casual])</f>
        <v>4921</v>
      </c>
      <c r="R473" s="4">
        <f>SUBTOTAL(109,Table6[registered])</f>
        <v>53383</v>
      </c>
      <c r="S473" s="4">
        <f>SUBTOTAL(109,Table6[cnt])</f>
        <v>58304</v>
      </c>
    </row>
    <row r="474" spans="1:19">
      <c r="A474" s="4">
        <v>473</v>
      </c>
      <c r="B474" s="5">
        <v>40564</v>
      </c>
      <c r="C474" s="4">
        <v>1</v>
      </c>
      <c r="D474" s="4">
        <v>0</v>
      </c>
      <c r="E474" s="4">
        <v>1</v>
      </c>
      <c r="F474" s="4">
        <v>17</v>
      </c>
      <c r="G474" s="4" t="b">
        <v>0</v>
      </c>
      <c r="H474" s="4">
        <v>5</v>
      </c>
      <c r="I474" s="4">
        <v>1</v>
      </c>
      <c r="J474" s="4">
        <v>0.14000000000000001</v>
      </c>
      <c r="K474" s="4">
        <v>0.1212</v>
      </c>
      <c r="L474" s="4">
        <v>0.28000000000000003</v>
      </c>
      <c r="M474" s="4">
        <v>0.35820000000000002</v>
      </c>
      <c r="N474" s="4">
        <v>10</v>
      </c>
      <c r="O474" s="4">
        <v>151</v>
      </c>
      <c r="P474" s="4">
        <v>161</v>
      </c>
      <c r="Q474" s="4">
        <f>SUBTOTAL(109,Table6[casual])</f>
        <v>4921</v>
      </c>
      <c r="R474" s="4">
        <f>SUBTOTAL(109,Table6[registered])</f>
        <v>53383</v>
      </c>
      <c r="S474" s="4">
        <f>SUBTOTAL(109,Table6[cnt])</f>
        <v>58304</v>
      </c>
    </row>
    <row r="475" spans="1:19">
      <c r="A475" s="4">
        <v>474</v>
      </c>
      <c r="B475" s="5">
        <v>40564</v>
      </c>
      <c r="C475" s="4">
        <v>1</v>
      </c>
      <c r="D475" s="4">
        <v>0</v>
      </c>
      <c r="E475" s="4">
        <v>1</v>
      </c>
      <c r="F475" s="4">
        <v>18</v>
      </c>
      <c r="G475" s="4" t="b">
        <v>0</v>
      </c>
      <c r="H475" s="4">
        <v>5</v>
      </c>
      <c r="I475" s="4">
        <v>1</v>
      </c>
      <c r="J475" s="4">
        <v>0.12</v>
      </c>
      <c r="K475" s="4">
        <v>0.1212</v>
      </c>
      <c r="L475" s="4">
        <v>0.3</v>
      </c>
      <c r="M475" s="4">
        <v>0.25369999999999998</v>
      </c>
      <c r="N475" s="4">
        <v>1</v>
      </c>
      <c r="O475" s="4">
        <v>119</v>
      </c>
      <c r="P475" s="4">
        <v>120</v>
      </c>
      <c r="Q475" s="4">
        <f>SUBTOTAL(109,Table6[casual])</f>
        <v>4921</v>
      </c>
      <c r="R475" s="4">
        <f>SUBTOTAL(109,Table6[registered])</f>
        <v>53383</v>
      </c>
      <c r="S475" s="4">
        <f>SUBTOTAL(109,Table6[cnt])</f>
        <v>58304</v>
      </c>
    </row>
    <row r="476" spans="1:19">
      <c r="A476" s="4">
        <v>475</v>
      </c>
      <c r="B476" s="5">
        <v>40564</v>
      </c>
      <c r="C476" s="4">
        <v>1</v>
      </c>
      <c r="D476" s="4">
        <v>0</v>
      </c>
      <c r="E476" s="4">
        <v>1</v>
      </c>
      <c r="F476" s="4">
        <v>19</v>
      </c>
      <c r="G476" s="4" t="b">
        <v>0</v>
      </c>
      <c r="H476" s="4">
        <v>5</v>
      </c>
      <c r="I476" s="4">
        <v>1</v>
      </c>
      <c r="J476" s="4">
        <v>0.12</v>
      </c>
      <c r="K476" s="4">
        <v>0.1061</v>
      </c>
      <c r="L476" s="4">
        <v>0.3</v>
      </c>
      <c r="M476" s="4">
        <v>0.32840000000000003</v>
      </c>
      <c r="N476" s="4">
        <v>3</v>
      </c>
      <c r="O476" s="4">
        <v>93</v>
      </c>
      <c r="P476" s="4">
        <v>96</v>
      </c>
      <c r="Q476" s="4">
        <f>SUBTOTAL(109,Table6[casual])</f>
        <v>4921</v>
      </c>
      <c r="R476" s="4">
        <f>SUBTOTAL(109,Table6[registered])</f>
        <v>53383</v>
      </c>
      <c r="S476" s="4">
        <f>SUBTOTAL(109,Table6[cnt])</f>
        <v>58304</v>
      </c>
    </row>
    <row r="477" spans="1:19">
      <c r="A477" s="4">
        <v>476</v>
      </c>
      <c r="B477" s="5">
        <v>40564</v>
      </c>
      <c r="C477" s="4">
        <v>1</v>
      </c>
      <c r="D477" s="4">
        <v>0</v>
      </c>
      <c r="E477" s="4">
        <v>1</v>
      </c>
      <c r="F477" s="4">
        <v>20</v>
      </c>
      <c r="G477" s="4" t="b">
        <v>0</v>
      </c>
      <c r="H477" s="4">
        <v>5</v>
      </c>
      <c r="I477" s="4">
        <v>1</v>
      </c>
      <c r="J477" s="4">
        <v>0.1</v>
      </c>
      <c r="K477" s="4">
        <v>7.5800000000000006E-2</v>
      </c>
      <c r="L477" s="4">
        <v>0.33</v>
      </c>
      <c r="M477" s="4">
        <v>0.41789999999999999</v>
      </c>
      <c r="N477" s="4">
        <v>1</v>
      </c>
      <c r="O477" s="4">
        <v>52</v>
      </c>
      <c r="P477" s="4">
        <v>53</v>
      </c>
      <c r="Q477" s="4">
        <f>SUBTOTAL(109,Table6[casual])</f>
        <v>4921</v>
      </c>
      <c r="R477" s="4">
        <f>SUBTOTAL(109,Table6[registered])</f>
        <v>53383</v>
      </c>
      <c r="S477" s="4">
        <f>SUBTOTAL(109,Table6[cnt])</f>
        <v>58304</v>
      </c>
    </row>
    <row r="478" spans="1:19">
      <c r="A478" s="4">
        <v>477</v>
      </c>
      <c r="B478" s="5">
        <v>40564</v>
      </c>
      <c r="C478" s="4">
        <v>1</v>
      </c>
      <c r="D478" s="4">
        <v>0</v>
      </c>
      <c r="E478" s="4">
        <v>1</v>
      </c>
      <c r="F478" s="4">
        <v>21</v>
      </c>
      <c r="G478" s="4" t="b">
        <v>0</v>
      </c>
      <c r="H478" s="4">
        <v>5</v>
      </c>
      <c r="I478" s="4">
        <v>1</v>
      </c>
      <c r="J478" s="4">
        <v>0.08</v>
      </c>
      <c r="K478" s="4">
        <v>7.5800000000000006E-2</v>
      </c>
      <c r="L478" s="4">
        <v>0.38</v>
      </c>
      <c r="M478" s="4">
        <v>0.28360000000000002</v>
      </c>
      <c r="N478" s="4">
        <v>0</v>
      </c>
      <c r="O478" s="4">
        <v>41</v>
      </c>
      <c r="P478" s="4">
        <v>41</v>
      </c>
      <c r="Q478" s="4">
        <f>SUBTOTAL(109,Table6[casual])</f>
        <v>4921</v>
      </c>
      <c r="R478" s="4">
        <f>SUBTOTAL(109,Table6[registered])</f>
        <v>53383</v>
      </c>
      <c r="S478" s="4">
        <f>SUBTOTAL(109,Table6[cnt])</f>
        <v>58304</v>
      </c>
    </row>
    <row r="479" spans="1:19">
      <c r="A479" s="4">
        <v>478</v>
      </c>
      <c r="B479" s="5">
        <v>40564</v>
      </c>
      <c r="C479" s="4">
        <v>1</v>
      </c>
      <c r="D479" s="4">
        <v>0</v>
      </c>
      <c r="E479" s="4">
        <v>1</v>
      </c>
      <c r="F479" s="4">
        <v>22</v>
      </c>
      <c r="G479" s="4" t="b">
        <v>0</v>
      </c>
      <c r="H479" s="4">
        <v>5</v>
      </c>
      <c r="I479" s="4">
        <v>1</v>
      </c>
      <c r="J479" s="4">
        <v>0.06</v>
      </c>
      <c r="K479" s="4">
        <v>3.0300000000000001E-2</v>
      </c>
      <c r="L479" s="4">
        <v>0.41</v>
      </c>
      <c r="M479" s="4">
        <v>0.3881</v>
      </c>
      <c r="N479" s="4">
        <v>1</v>
      </c>
      <c r="O479" s="4">
        <v>33</v>
      </c>
      <c r="P479" s="4">
        <v>34</v>
      </c>
      <c r="Q479" s="4">
        <f>SUBTOTAL(109,Table6[casual])</f>
        <v>4921</v>
      </c>
      <c r="R479" s="4">
        <f>SUBTOTAL(109,Table6[registered])</f>
        <v>53383</v>
      </c>
      <c r="S479" s="4">
        <f>SUBTOTAL(109,Table6[cnt])</f>
        <v>58304</v>
      </c>
    </row>
    <row r="480" spans="1:19">
      <c r="A480" s="4">
        <v>479</v>
      </c>
      <c r="B480" s="5">
        <v>40564</v>
      </c>
      <c r="C480" s="4">
        <v>1</v>
      </c>
      <c r="D480" s="4">
        <v>0</v>
      </c>
      <c r="E480" s="4">
        <v>1</v>
      </c>
      <c r="F480" s="4">
        <v>23</v>
      </c>
      <c r="G480" s="4" t="b">
        <v>0</v>
      </c>
      <c r="H480" s="4">
        <v>5</v>
      </c>
      <c r="I480" s="4">
        <v>1</v>
      </c>
      <c r="J480" s="4">
        <v>0.06</v>
      </c>
      <c r="K480" s="4">
        <v>4.5499999999999999E-2</v>
      </c>
      <c r="L480" s="4">
        <v>0.38</v>
      </c>
      <c r="M480" s="4">
        <v>0.32840000000000003</v>
      </c>
      <c r="N480" s="4">
        <v>0</v>
      </c>
      <c r="O480" s="4">
        <v>27</v>
      </c>
      <c r="P480" s="4">
        <v>27</v>
      </c>
      <c r="Q480" s="4">
        <f>SUBTOTAL(109,Table6[casual])</f>
        <v>4921</v>
      </c>
      <c r="R480" s="4">
        <f>SUBTOTAL(109,Table6[registered])</f>
        <v>53383</v>
      </c>
      <c r="S480" s="4">
        <f>SUBTOTAL(109,Table6[cnt])</f>
        <v>58304</v>
      </c>
    </row>
    <row r="481" spans="1:19">
      <c r="A481" s="4">
        <v>480</v>
      </c>
      <c r="B481" s="5">
        <v>40565</v>
      </c>
      <c r="C481" s="4">
        <v>1</v>
      </c>
      <c r="D481" s="4">
        <v>0</v>
      </c>
      <c r="E481" s="4">
        <v>1</v>
      </c>
      <c r="F481" s="4">
        <v>0</v>
      </c>
      <c r="G481" s="4" t="b">
        <v>0</v>
      </c>
      <c r="H481" s="4">
        <v>6</v>
      </c>
      <c r="I481" s="4">
        <v>1</v>
      </c>
      <c r="J481" s="4">
        <v>0.04</v>
      </c>
      <c r="K481" s="4">
        <v>3.0300000000000001E-2</v>
      </c>
      <c r="L481" s="4">
        <v>0.45</v>
      </c>
      <c r="M481" s="4">
        <v>0.25369999999999998</v>
      </c>
      <c r="N481" s="4">
        <v>0</v>
      </c>
      <c r="O481" s="4">
        <v>13</v>
      </c>
      <c r="P481" s="4">
        <v>13</v>
      </c>
      <c r="Q481" s="4">
        <f>SUBTOTAL(109,Table6[casual])</f>
        <v>4921</v>
      </c>
      <c r="R481" s="4">
        <f>SUBTOTAL(109,Table6[registered])</f>
        <v>53383</v>
      </c>
      <c r="S481" s="4">
        <f>SUBTOTAL(109,Table6[cnt])</f>
        <v>58304</v>
      </c>
    </row>
    <row r="482" spans="1:19">
      <c r="A482" s="4">
        <v>481</v>
      </c>
      <c r="B482" s="5">
        <v>40565</v>
      </c>
      <c r="C482" s="4">
        <v>1</v>
      </c>
      <c r="D482" s="4">
        <v>0</v>
      </c>
      <c r="E482" s="4">
        <v>1</v>
      </c>
      <c r="F482" s="4">
        <v>1</v>
      </c>
      <c r="G482" s="4" t="b">
        <v>0</v>
      </c>
      <c r="H482" s="4">
        <v>6</v>
      </c>
      <c r="I482" s="4">
        <v>2</v>
      </c>
      <c r="J482" s="4">
        <v>0.04</v>
      </c>
      <c r="K482" s="4">
        <v>0</v>
      </c>
      <c r="L482" s="4">
        <v>0.41</v>
      </c>
      <c r="M482" s="4">
        <v>0.3881</v>
      </c>
      <c r="N482" s="4">
        <v>3</v>
      </c>
      <c r="O482" s="4">
        <v>9</v>
      </c>
      <c r="P482" s="4">
        <v>12</v>
      </c>
      <c r="Q482" s="4">
        <f>SUBTOTAL(109,Table6[casual])</f>
        <v>4921</v>
      </c>
      <c r="R482" s="4">
        <f>SUBTOTAL(109,Table6[registered])</f>
        <v>53383</v>
      </c>
      <c r="S482" s="4">
        <f>SUBTOTAL(109,Table6[cnt])</f>
        <v>58304</v>
      </c>
    </row>
    <row r="483" spans="1:19">
      <c r="A483" s="4">
        <v>482</v>
      </c>
      <c r="B483" s="5">
        <v>40565</v>
      </c>
      <c r="C483" s="4">
        <v>1</v>
      </c>
      <c r="D483" s="4">
        <v>0</v>
      </c>
      <c r="E483" s="4">
        <v>1</v>
      </c>
      <c r="F483" s="4">
        <v>2</v>
      </c>
      <c r="G483" s="4" t="b">
        <v>0</v>
      </c>
      <c r="H483" s="4">
        <v>6</v>
      </c>
      <c r="I483" s="4">
        <v>2</v>
      </c>
      <c r="J483" s="4">
        <v>0.04</v>
      </c>
      <c r="K483" s="4">
        <v>3.0300000000000001E-2</v>
      </c>
      <c r="L483" s="4">
        <v>0.41</v>
      </c>
      <c r="M483" s="4">
        <v>0.25369999999999998</v>
      </c>
      <c r="N483" s="4">
        <v>0</v>
      </c>
      <c r="O483" s="4">
        <v>11</v>
      </c>
      <c r="P483" s="4">
        <v>11</v>
      </c>
      <c r="Q483" s="4">
        <f>SUBTOTAL(109,Table6[casual])</f>
        <v>4921</v>
      </c>
      <c r="R483" s="4">
        <f>SUBTOTAL(109,Table6[registered])</f>
        <v>53383</v>
      </c>
      <c r="S483" s="4">
        <f>SUBTOTAL(109,Table6[cnt])</f>
        <v>58304</v>
      </c>
    </row>
    <row r="484" spans="1:19">
      <c r="A484" s="4">
        <v>483</v>
      </c>
      <c r="B484" s="5">
        <v>40565</v>
      </c>
      <c r="C484" s="4">
        <v>1</v>
      </c>
      <c r="D484" s="4">
        <v>0</v>
      </c>
      <c r="E484" s="4">
        <v>1</v>
      </c>
      <c r="F484" s="4">
        <v>3</v>
      </c>
      <c r="G484" s="4" t="b">
        <v>0</v>
      </c>
      <c r="H484" s="4">
        <v>6</v>
      </c>
      <c r="I484" s="4">
        <v>2</v>
      </c>
      <c r="J484" s="4">
        <v>0.04</v>
      </c>
      <c r="K484" s="4">
        <v>3.0300000000000001E-2</v>
      </c>
      <c r="L484" s="4">
        <v>0.41</v>
      </c>
      <c r="M484" s="4">
        <v>0.28360000000000002</v>
      </c>
      <c r="N484" s="4">
        <v>1</v>
      </c>
      <c r="O484" s="4">
        <v>6</v>
      </c>
      <c r="P484" s="4">
        <v>7</v>
      </c>
      <c r="Q484" s="4">
        <f>SUBTOTAL(109,Table6[casual])</f>
        <v>4921</v>
      </c>
      <c r="R484" s="4">
        <f>SUBTOTAL(109,Table6[registered])</f>
        <v>53383</v>
      </c>
      <c r="S484" s="4">
        <f>SUBTOTAL(109,Table6[cnt])</f>
        <v>58304</v>
      </c>
    </row>
    <row r="485" spans="1:19">
      <c r="A485" s="4">
        <v>484</v>
      </c>
      <c r="B485" s="5">
        <v>40565</v>
      </c>
      <c r="C485" s="4">
        <v>1</v>
      </c>
      <c r="D485" s="4">
        <v>0</v>
      </c>
      <c r="E485" s="4">
        <v>1</v>
      </c>
      <c r="F485" s="4">
        <v>4</v>
      </c>
      <c r="G485" s="4" t="b">
        <v>0</v>
      </c>
      <c r="H485" s="4">
        <v>6</v>
      </c>
      <c r="I485" s="4">
        <v>2</v>
      </c>
      <c r="J485" s="4">
        <v>0.02</v>
      </c>
      <c r="K485" s="4">
        <v>1.52E-2</v>
      </c>
      <c r="L485" s="4">
        <v>0.48</v>
      </c>
      <c r="M485" s="4">
        <v>0.29849999999999999</v>
      </c>
      <c r="N485" s="4">
        <v>0</v>
      </c>
      <c r="O485" s="4">
        <v>3</v>
      </c>
      <c r="P485" s="4">
        <v>3</v>
      </c>
      <c r="Q485" s="4">
        <f>SUBTOTAL(109,Table6[casual])</f>
        <v>4921</v>
      </c>
      <c r="R485" s="4">
        <f>SUBTOTAL(109,Table6[registered])</f>
        <v>53383</v>
      </c>
      <c r="S485" s="4">
        <f>SUBTOTAL(109,Table6[cnt])</f>
        <v>58304</v>
      </c>
    </row>
    <row r="486" spans="1:19">
      <c r="A486" s="4">
        <v>485</v>
      </c>
      <c r="B486" s="5">
        <v>40565</v>
      </c>
      <c r="C486" s="4">
        <v>1</v>
      </c>
      <c r="D486" s="4">
        <v>0</v>
      </c>
      <c r="E486" s="4">
        <v>1</v>
      </c>
      <c r="F486" s="4">
        <v>6</v>
      </c>
      <c r="G486" s="4" t="b">
        <v>0</v>
      </c>
      <c r="H486" s="4">
        <v>6</v>
      </c>
      <c r="I486" s="4">
        <v>2</v>
      </c>
      <c r="J486" s="4">
        <v>0.02</v>
      </c>
      <c r="K486" s="4">
        <v>3.0300000000000001E-2</v>
      </c>
      <c r="L486" s="4">
        <v>0.44</v>
      </c>
      <c r="M486" s="4">
        <v>0.22389999999999999</v>
      </c>
      <c r="N486" s="4">
        <v>0</v>
      </c>
      <c r="O486" s="4">
        <v>2</v>
      </c>
      <c r="P486" s="4">
        <v>2</v>
      </c>
      <c r="Q486" s="4">
        <f>SUBTOTAL(109,Table6[casual])</f>
        <v>4921</v>
      </c>
      <c r="R486" s="4">
        <f>SUBTOTAL(109,Table6[registered])</f>
        <v>53383</v>
      </c>
      <c r="S486" s="4">
        <f>SUBTOTAL(109,Table6[cnt])</f>
        <v>58304</v>
      </c>
    </row>
    <row r="487" spans="1:19">
      <c r="A487" s="4">
        <v>486</v>
      </c>
      <c r="B487" s="5">
        <v>40565</v>
      </c>
      <c r="C487" s="4">
        <v>1</v>
      </c>
      <c r="D487" s="4">
        <v>0</v>
      </c>
      <c r="E487" s="4">
        <v>1</v>
      </c>
      <c r="F487" s="4">
        <v>7</v>
      </c>
      <c r="G487" s="4" t="b">
        <v>0</v>
      </c>
      <c r="H487" s="4">
        <v>6</v>
      </c>
      <c r="I487" s="4">
        <v>1</v>
      </c>
      <c r="J487" s="4">
        <v>0.02</v>
      </c>
      <c r="K487" s="4">
        <v>1.52E-2</v>
      </c>
      <c r="L487" s="4">
        <v>0.44</v>
      </c>
      <c r="M487" s="4">
        <v>0.28360000000000002</v>
      </c>
      <c r="N487" s="4">
        <v>0</v>
      </c>
      <c r="O487" s="4">
        <v>8</v>
      </c>
      <c r="P487" s="4">
        <v>8</v>
      </c>
      <c r="Q487" s="4">
        <f>SUBTOTAL(109,Table6[casual])</f>
        <v>4921</v>
      </c>
      <c r="R487" s="4">
        <f>SUBTOTAL(109,Table6[registered])</f>
        <v>53383</v>
      </c>
      <c r="S487" s="4">
        <f>SUBTOTAL(109,Table6[cnt])</f>
        <v>58304</v>
      </c>
    </row>
    <row r="488" spans="1:19">
      <c r="A488" s="4">
        <v>487</v>
      </c>
      <c r="B488" s="5">
        <v>40565</v>
      </c>
      <c r="C488" s="4">
        <v>1</v>
      </c>
      <c r="D488" s="4">
        <v>0</v>
      </c>
      <c r="E488" s="4">
        <v>1</v>
      </c>
      <c r="F488" s="4">
        <v>8</v>
      </c>
      <c r="G488" s="4" t="b">
        <v>0</v>
      </c>
      <c r="H488" s="4">
        <v>6</v>
      </c>
      <c r="I488" s="4">
        <v>1</v>
      </c>
      <c r="J488" s="4">
        <v>0.02</v>
      </c>
      <c r="K488" s="4">
        <v>0</v>
      </c>
      <c r="L488" s="4">
        <v>0.44</v>
      </c>
      <c r="M488" s="4">
        <v>0.32840000000000003</v>
      </c>
      <c r="N488" s="4">
        <v>1</v>
      </c>
      <c r="O488" s="4">
        <v>26</v>
      </c>
      <c r="P488" s="4">
        <v>27</v>
      </c>
      <c r="Q488" s="4">
        <f>SUBTOTAL(109,Table6[casual])</f>
        <v>4921</v>
      </c>
      <c r="R488" s="4">
        <f>SUBTOTAL(109,Table6[registered])</f>
        <v>53383</v>
      </c>
      <c r="S488" s="4">
        <f>SUBTOTAL(109,Table6[cnt])</f>
        <v>58304</v>
      </c>
    </row>
    <row r="489" spans="1:19">
      <c r="A489" s="4">
        <v>488</v>
      </c>
      <c r="B489" s="5">
        <v>40565</v>
      </c>
      <c r="C489" s="4">
        <v>1</v>
      </c>
      <c r="D489" s="4">
        <v>0</v>
      </c>
      <c r="E489" s="4">
        <v>1</v>
      </c>
      <c r="F489" s="4">
        <v>9</v>
      </c>
      <c r="G489" s="4" t="b">
        <v>0</v>
      </c>
      <c r="H489" s="4">
        <v>6</v>
      </c>
      <c r="I489" s="4">
        <v>1</v>
      </c>
      <c r="J489" s="4">
        <v>0.04</v>
      </c>
      <c r="K489" s="4">
        <v>3.0300000000000001E-2</v>
      </c>
      <c r="L489" s="4">
        <v>0.41</v>
      </c>
      <c r="M489" s="4">
        <v>0.25369999999999998</v>
      </c>
      <c r="N489" s="4">
        <v>3</v>
      </c>
      <c r="O489" s="4">
        <v>37</v>
      </c>
      <c r="P489" s="4">
        <v>40</v>
      </c>
      <c r="Q489" s="4">
        <f>SUBTOTAL(109,Table6[casual])</f>
        <v>4921</v>
      </c>
      <c r="R489" s="4">
        <f>SUBTOTAL(109,Table6[registered])</f>
        <v>53383</v>
      </c>
      <c r="S489" s="4">
        <f>SUBTOTAL(109,Table6[cnt])</f>
        <v>58304</v>
      </c>
    </row>
    <row r="490" spans="1:19">
      <c r="A490" s="4">
        <v>489</v>
      </c>
      <c r="B490" s="5">
        <v>40565</v>
      </c>
      <c r="C490" s="4">
        <v>1</v>
      </c>
      <c r="D490" s="4">
        <v>0</v>
      </c>
      <c r="E490" s="4">
        <v>1</v>
      </c>
      <c r="F490" s="4">
        <v>10</v>
      </c>
      <c r="G490" s="4" t="b">
        <v>0</v>
      </c>
      <c r="H490" s="4">
        <v>6</v>
      </c>
      <c r="I490" s="4">
        <v>2</v>
      </c>
      <c r="J490" s="4">
        <v>0.04</v>
      </c>
      <c r="K490" s="4">
        <v>6.0600000000000001E-2</v>
      </c>
      <c r="L490" s="4">
        <v>0.41</v>
      </c>
      <c r="M490" s="4">
        <v>0.16420000000000001</v>
      </c>
      <c r="N490" s="4">
        <v>3</v>
      </c>
      <c r="O490" s="4">
        <v>50</v>
      </c>
      <c r="P490" s="4">
        <v>53</v>
      </c>
      <c r="Q490" s="4">
        <f>SUBTOTAL(109,Table6[casual])</f>
        <v>4921</v>
      </c>
      <c r="R490" s="4">
        <f>SUBTOTAL(109,Table6[registered])</f>
        <v>53383</v>
      </c>
      <c r="S490" s="4">
        <f>SUBTOTAL(109,Table6[cnt])</f>
        <v>58304</v>
      </c>
    </row>
    <row r="491" spans="1:19">
      <c r="A491" s="4">
        <v>490</v>
      </c>
      <c r="B491" s="5">
        <v>40565</v>
      </c>
      <c r="C491" s="4">
        <v>1</v>
      </c>
      <c r="D491" s="4">
        <v>0</v>
      </c>
      <c r="E491" s="4">
        <v>1</v>
      </c>
      <c r="F491" s="4">
        <v>11</v>
      </c>
      <c r="G491" s="4" t="b">
        <v>0</v>
      </c>
      <c r="H491" s="4">
        <v>6</v>
      </c>
      <c r="I491" s="4">
        <v>2</v>
      </c>
      <c r="J491" s="4">
        <v>0.06</v>
      </c>
      <c r="K491" s="4">
        <v>7.5800000000000006E-2</v>
      </c>
      <c r="L491" s="4">
        <v>0.38</v>
      </c>
      <c r="M491" s="4">
        <v>0.1343</v>
      </c>
      <c r="N491" s="4">
        <v>4</v>
      </c>
      <c r="O491" s="4">
        <v>59</v>
      </c>
      <c r="P491" s="4">
        <v>63</v>
      </c>
      <c r="Q491" s="4">
        <f>SUBTOTAL(109,Table6[casual])</f>
        <v>4921</v>
      </c>
      <c r="R491" s="4">
        <f>SUBTOTAL(109,Table6[registered])</f>
        <v>53383</v>
      </c>
      <c r="S491" s="4">
        <f>SUBTOTAL(109,Table6[cnt])</f>
        <v>58304</v>
      </c>
    </row>
    <row r="492" spans="1:19">
      <c r="A492" s="4">
        <v>491</v>
      </c>
      <c r="B492" s="5">
        <v>40565</v>
      </c>
      <c r="C492" s="4">
        <v>1</v>
      </c>
      <c r="D492" s="4">
        <v>0</v>
      </c>
      <c r="E492" s="4">
        <v>1</v>
      </c>
      <c r="F492" s="4">
        <v>12</v>
      </c>
      <c r="G492" s="4" t="b">
        <v>0</v>
      </c>
      <c r="H492" s="4">
        <v>6</v>
      </c>
      <c r="I492" s="4">
        <v>2</v>
      </c>
      <c r="J492" s="4">
        <v>0.06</v>
      </c>
      <c r="K492" s="4">
        <v>0.1061</v>
      </c>
      <c r="L492" s="4">
        <v>0.38</v>
      </c>
      <c r="M492" s="4">
        <v>0.1045</v>
      </c>
      <c r="N492" s="4">
        <v>10</v>
      </c>
      <c r="O492" s="4">
        <v>60</v>
      </c>
      <c r="P492" s="4">
        <v>70</v>
      </c>
      <c r="Q492" s="4">
        <f>SUBTOTAL(109,Table6[casual])</f>
        <v>4921</v>
      </c>
      <c r="R492" s="4">
        <f>SUBTOTAL(109,Table6[registered])</f>
        <v>53383</v>
      </c>
      <c r="S492" s="4">
        <f>SUBTOTAL(109,Table6[cnt])</f>
        <v>58304</v>
      </c>
    </row>
    <row r="493" spans="1:19">
      <c r="A493" s="4">
        <v>492</v>
      </c>
      <c r="B493" s="5">
        <v>40565</v>
      </c>
      <c r="C493" s="4">
        <v>1</v>
      </c>
      <c r="D493" s="4">
        <v>0</v>
      </c>
      <c r="E493" s="4">
        <v>1</v>
      </c>
      <c r="F493" s="4">
        <v>13</v>
      </c>
      <c r="G493" s="4" t="b">
        <v>0</v>
      </c>
      <c r="H493" s="4">
        <v>6</v>
      </c>
      <c r="I493" s="4">
        <v>1</v>
      </c>
      <c r="J493" s="4">
        <v>0.08</v>
      </c>
      <c r="K493" s="4">
        <v>0.16669999999999999</v>
      </c>
      <c r="L493" s="4">
        <v>0.35</v>
      </c>
      <c r="M493" s="4">
        <v>0</v>
      </c>
      <c r="N493" s="4">
        <v>12</v>
      </c>
      <c r="O493" s="4">
        <v>72</v>
      </c>
      <c r="P493" s="4">
        <v>84</v>
      </c>
      <c r="Q493" s="4">
        <f>SUBTOTAL(109,Table6[casual])</f>
        <v>4921</v>
      </c>
      <c r="R493" s="4">
        <f>SUBTOTAL(109,Table6[registered])</f>
        <v>53383</v>
      </c>
      <c r="S493" s="4">
        <f>SUBTOTAL(109,Table6[cnt])</f>
        <v>58304</v>
      </c>
    </row>
    <row r="494" spans="1:19">
      <c r="A494" s="4">
        <v>493</v>
      </c>
      <c r="B494" s="5">
        <v>40565</v>
      </c>
      <c r="C494" s="4">
        <v>1</v>
      </c>
      <c r="D494" s="4">
        <v>0</v>
      </c>
      <c r="E494" s="4">
        <v>1</v>
      </c>
      <c r="F494" s="4">
        <v>14</v>
      </c>
      <c r="G494" s="4" t="b">
        <v>0</v>
      </c>
      <c r="H494" s="4">
        <v>6</v>
      </c>
      <c r="I494" s="4">
        <v>1</v>
      </c>
      <c r="J494" s="4">
        <v>0.1</v>
      </c>
      <c r="K494" s="4">
        <v>0.13639999999999999</v>
      </c>
      <c r="L494" s="4">
        <v>0.33</v>
      </c>
      <c r="M494" s="4">
        <v>0.1045</v>
      </c>
      <c r="N494" s="4">
        <v>11</v>
      </c>
      <c r="O494" s="4">
        <v>64</v>
      </c>
      <c r="P494" s="4">
        <v>75</v>
      </c>
      <c r="Q494" s="4">
        <f>SUBTOTAL(109,Table6[casual])</f>
        <v>4921</v>
      </c>
      <c r="R494" s="4">
        <f>SUBTOTAL(109,Table6[registered])</f>
        <v>53383</v>
      </c>
      <c r="S494" s="4">
        <f>SUBTOTAL(109,Table6[cnt])</f>
        <v>58304</v>
      </c>
    </row>
    <row r="495" spans="1:19">
      <c r="A495" s="4">
        <v>494</v>
      </c>
      <c r="B495" s="5">
        <v>40565</v>
      </c>
      <c r="C495" s="4">
        <v>1</v>
      </c>
      <c r="D495" s="4">
        <v>0</v>
      </c>
      <c r="E495" s="4">
        <v>1</v>
      </c>
      <c r="F495" s="4">
        <v>15</v>
      </c>
      <c r="G495" s="4" t="b">
        <v>0</v>
      </c>
      <c r="H495" s="4">
        <v>6</v>
      </c>
      <c r="I495" s="4">
        <v>1</v>
      </c>
      <c r="J495" s="4">
        <v>0.12</v>
      </c>
      <c r="K495" s="4">
        <v>0.1515</v>
      </c>
      <c r="L495" s="4">
        <v>0.28000000000000003</v>
      </c>
      <c r="M495" s="4">
        <v>0</v>
      </c>
      <c r="N495" s="4">
        <v>10</v>
      </c>
      <c r="O495" s="4">
        <v>93</v>
      </c>
      <c r="P495" s="4">
        <v>103</v>
      </c>
      <c r="Q495" s="4">
        <f>SUBTOTAL(109,Table6[casual])</f>
        <v>4921</v>
      </c>
      <c r="R495" s="4">
        <f>SUBTOTAL(109,Table6[registered])</f>
        <v>53383</v>
      </c>
      <c r="S495" s="4">
        <f>SUBTOTAL(109,Table6[cnt])</f>
        <v>58304</v>
      </c>
    </row>
    <row r="496" spans="1:19">
      <c r="A496" s="4">
        <v>495</v>
      </c>
      <c r="B496" s="5">
        <v>40565</v>
      </c>
      <c r="C496" s="4">
        <v>1</v>
      </c>
      <c r="D496" s="4">
        <v>0</v>
      </c>
      <c r="E496" s="4">
        <v>1</v>
      </c>
      <c r="F496" s="4">
        <v>16</v>
      </c>
      <c r="G496" s="4" t="b">
        <v>0</v>
      </c>
      <c r="H496" s="4">
        <v>6</v>
      </c>
      <c r="I496" s="4">
        <v>1</v>
      </c>
      <c r="J496" s="4">
        <v>0.12</v>
      </c>
      <c r="K496" s="4">
        <v>0.13639999999999999</v>
      </c>
      <c r="L496" s="4">
        <v>0.28000000000000003</v>
      </c>
      <c r="M496" s="4">
        <v>0.19400000000000001</v>
      </c>
      <c r="N496" s="4">
        <v>11</v>
      </c>
      <c r="O496" s="4">
        <v>72</v>
      </c>
      <c r="P496" s="4">
        <v>83</v>
      </c>
      <c r="Q496" s="4">
        <f>SUBTOTAL(109,Table6[casual])</f>
        <v>4921</v>
      </c>
      <c r="R496" s="4">
        <f>SUBTOTAL(109,Table6[registered])</f>
        <v>53383</v>
      </c>
      <c r="S496" s="4">
        <f>SUBTOTAL(109,Table6[cnt])</f>
        <v>58304</v>
      </c>
    </row>
    <row r="497" spans="1:19">
      <c r="A497" s="4">
        <v>496</v>
      </c>
      <c r="B497" s="5">
        <v>40565</v>
      </c>
      <c r="C497" s="4">
        <v>1</v>
      </c>
      <c r="D497" s="4">
        <v>0</v>
      </c>
      <c r="E497" s="4">
        <v>1</v>
      </c>
      <c r="F497" s="4">
        <v>17</v>
      </c>
      <c r="G497" s="4" t="b">
        <v>0</v>
      </c>
      <c r="H497" s="4">
        <v>6</v>
      </c>
      <c r="I497" s="4">
        <v>1</v>
      </c>
      <c r="J497" s="4">
        <v>0.12</v>
      </c>
      <c r="K497" s="4">
        <v>0.19700000000000001</v>
      </c>
      <c r="L497" s="4">
        <v>0.28000000000000003</v>
      </c>
      <c r="M497" s="4">
        <v>0</v>
      </c>
      <c r="N497" s="4">
        <v>8</v>
      </c>
      <c r="O497" s="4">
        <v>59</v>
      </c>
      <c r="P497" s="4">
        <v>67</v>
      </c>
      <c r="Q497" s="4">
        <f>SUBTOTAL(109,Table6[casual])</f>
        <v>4921</v>
      </c>
      <c r="R497" s="4">
        <f>SUBTOTAL(109,Table6[registered])</f>
        <v>53383</v>
      </c>
      <c r="S497" s="4">
        <f>SUBTOTAL(109,Table6[cnt])</f>
        <v>58304</v>
      </c>
    </row>
    <row r="498" spans="1:19">
      <c r="A498" s="4">
        <v>497</v>
      </c>
      <c r="B498" s="5">
        <v>40565</v>
      </c>
      <c r="C498" s="4">
        <v>1</v>
      </c>
      <c r="D498" s="4">
        <v>0</v>
      </c>
      <c r="E498" s="4">
        <v>1</v>
      </c>
      <c r="F498" s="4">
        <v>18</v>
      </c>
      <c r="G498" s="4" t="b">
        <v>0</v>
      </c>
      <c r="H498" s="4">
        <v>6</v>
      </c>
      <c r="I498" s="4">
        <v>1</v>
      </c>
      <c r="J498" s="4">
        <v>0.08</v>
      </c>
      <c r="K498" s="4">
        <v>9.0899999999999995E-2</v>
      </c>
      <c r="L498" s="4">
        <v>0.35</v>
      </c>
      <c r="M498" s="4">
        <v>0.19400000000000001</v>
      </c>
      <c r="N498" s="4">
        <v>0</v>
      </c>
      <c r="O498" s="4">
        <v>54</v>
      </c>
      <c r="P498" s="4">
        <v>54</v>
      </c>
      <c r="Q498" s="4">
        <f>SUBTOTAL(109,Table6[casual])</f>
        <v>4921</v>
      </c>
      <c r="R498" s="4">
        <f>SUBTOTAL(109,Table6[registered])</f>
        <v>53383</v>
      </c>
      <c r="S498" s="4">
        <f>SUBTOTAL(109,Table6[cnt])</f>
        <v>58304</v>
      </c>
    </row>
    <row r="499" spans="1:19">
      <c r="A499" s="4">
        <v>498</v>
      </c>
      <c r="B499" s="5">
        <v>40565</v>
      </c>
      <c r="C499" s="4">
        <v>1</v>
      </c>
      <c r="D499" s="4">
        <v>0</v>
      </c>
      <c r="E499" s="4">
        <v>1</v>
      </c>
      <c r="F499" s="4">
        <v>19</v>
      </c>
      <c r="G499" s="4" t="b">
        <v>0</v>
      </c>
      <c r="H499" s="4">
        <v>6</v>
      </c>
      <c r="I499" s="4">
        <v>1</v>
      </c>
      <c r="J499" s="4">
        <v>0.08</v>
      </c>
      <c r="K499" s="4">
        <v>0.1061</v>
      </c>
      <c r="L499" s="4">
        <v>0.35</v>
      </c>
      <c r="M499" s="4">
        <v>0.1343</v>
      </c>
      <c r="N499" s="4">
        <v>6</v>
      </c>
      <c r="O499" s="4">
        <v>53</v>
      </c>
      <c r="P499" s="4">
        <v>59</v>
      </c>
      <c r="Q499" s="4">
        <f>SUBTOTAL(109,Table6[casual])</f>
        <v>4921</v>
      </c>
      <c r="R499" s="4">
        <f>SUBTOTAL(109,Table6[registered])</f>
        <v>53383</v>
      </c>
      <c r="S499" s="4">
        <f>SUBTOTAL(109,Table6[cnt])</f>
        <v>58304</v>
      </c>
    </row>
    <row r="500" spans="1:19">
      <c r="A500" s="4">
        <v>499</v>
      </c>
      <c r="B500" s="5">
        <v>40565</v>
      </c>
      <c r="C500" s="4">
        <v>1</v>
      </c>
      <c r="D500" s="4">
        <v>0</v>
      </c>
      <c r="E500" s="4">
        <v>1</v>
      </c>
      <c r="F500" s="4">
        <v>20</v>
      </c>
      <c r="G500" s="4" t="b">
        <v>0</v>
      </c>
      <c r="H500" s="4">
        <v>6</v>
      </c>
      <c r="I500" s="4">
        <v>1</v>
      </c>
      <c r="J500" s="4">
        <v>0.06</v>
      </c>
      <c r="K500" s="4">
        <v>7.5800000000000006E-2</v>
      </c>
      <c r="L500" s="4">
        <v>0.45</v>
      </c>
      <c r="M500" s="4">
        <v>0.16420000000000001</v>
      </c>
      <c r="N500" s="4">
        <v>1</v>
      </c>
      <c r="O500" s="4">
        <v>44</v>
      </c>
      <c r="P500" s="4">
        <v>45</v>
      </c>
      <c r="Q500" s="4">
        <f>SUBTOTAL(109,Table6[casual])</f>
        <v>4921</v>
      </c>
      <c r="R500" s="4">
        <f>SUBTOTAL(109,Table6[registered])</f>
        <v>53383</v>
      </c>
      <c r="S500" s="4">
        <f>SUBTOTAL(109,Table6[cnt])</f>
        <v>58304</v>
      </c>
    </row>
    <row r="501" spans="1:19">
      <c r="A501" s="4">
        <v>500</v>
      </c>
      <c r="B501" s="5">
        <v>40565</v>
      </c>
      <c r="C501" s="4">
        <v>1</v>
      </c>
      <c r="D501" s="4">
        <v>0</v>
      </c>
      <c r="E501" s="4">
        <v>1</v>
      </c>
      <c r="F501" s="4">
        <v>21</v>
      </c>
      <c r="G501" s="4" t="b">
        <v>0</v>
      </c>
      <c r="H501" s="4">
        <v>6</v>
      </c>
      <c r="I501" s="4">
        <v>1</v>
      </c>
      <c r="J501" s="4">
        <v>0.06</v>
      </c>
      <c r="K501" s="4">
        <v>0.1061</v>
      </c>
      <c r="L501" s="4">
        <v>0.41</v>
      </c>
      <c r="M501" s="4">
        <v>8.9599999999999999E-2</v>
      </c>
      <c r="N501" s="4">
        <v>0</v>
      </c>
      <c r="O501" s="4">
        <v>39</v>
      </c>
      <c r="P501" s="4">
        <v>39</v>
      </c>
      <c r="Q501" s="4">
        <f>SUBTOTAL(109,Table6[casual])</f>
        <v>4921</v>
      </c>
      <c r="R501" s="4">
        <f>SUBTOTAL(109,Table6[registered])</f>
        <v>53383</v>
      </c>
      <c r="S501" s="4">
        <f>SUBTOTAL(109,Table6[cnt])</f>
        <v>58304</v>
      </c>
    </row>
    <row r="502" spans="1:19">
      <c r="A502" s="4">
        <v>501</v>
      </c>
      <c r="B502" s="5">
        <v>40565</v>
      </c>
      <c r="C502" s="4">
        <v>1</v>
      </c>
      <c r="D502" s="4">
        <v>0</v>
      </c>
      <c r="E502" s="4">
        <v>1</v>
      </c>
      <c r="F502" s="4">
        <v>22</v>
      </c>
      <c r="G502" s="4" t="b">
        <v>0</v>
      </c>
      <c r="H502" s="4">
        <v>6</v>
      </c>
      <c r="I502" s="4">
        <v>1</v>
      </c>
      <c r="J502" s="4">
        <v>0.06</v>
      </c>
      <c r="K502" s="4">
        <v>0.1515</v>
      </c>
      <c r="L502" s="4">
        <v>0.49</v>
      </c>
      <c r="M502" s="4">
        <v>0</v>
      </c>
      <c r="N502" s="4">
        <v>7</v>
      </c>
      <c r="O502" s="4">
        <v>23</v>
      </c>
      <c r="P502" s="4">
        <v>30</v>
      </c>
      <c r="Q502" s="4">
        <f>SUBTOTAL(109,Table6[casual])</f>
        <v>4921</v>
      </c>
      <c r="R502" s="4">
        <f>SUBTOTAL(109,Table6[registered])</f>
        <v>53383</v>
      </c>
      <c r="S502" s="4">
        <f>SUBTOTAL(109,Table6[cnt])</f>
        <v>58304</v>
      </c>
    </row>
    <row r="503" spans="1:19">
      <c r="A503" s="4">
        <v>502</v>
      </c>
      <c r="B503" s="5">
        <v>40565</v>
      </c>
      <c r="C503" s="4">
        <v>1</v>
      </c>
      <c r="D503" s="4">
        <v>0</v>
      </c>
      <c r="E503" s="4">
        <v>1</v>
      </c>
      <c r="F503" s="4">
        <v>23</v>
      </c>
      <c r="G503" s="4" t="b">
        <v>0</v>
      </c>
      <c r="H503" s="4">
        <v>6</v>
      </c>
      <c r="I503" s="4">
        <v>1</v>
      </c>
      <c r="J503" s="4">
        <v>0.04</v>
      </c>
      <c r="K503" s="4">
        <v>7.5800000000000006E-2</v>
      </c>
      <c r="L503" s="4">
        <v>0.56999999999999995</v>
      </c>
      <c r="M503" s="4">
        <v>0.1045</v>
      </c>
      <c r="N503" s="4">
        <v>2</v>
      </c>
      <c r="O503" s="4">
        <v>31</v>
      </c>
      <c r="P503" s="4">
        <v>33</v>
      </c>
      <c r="Q503" s="4">
        <f>SUBTOTAL(109,Table6[casual])</f>
        <v>4921</v>
      </c>
      <c r="R503" s="4">
        <f>SUBTOTAL(109,Table6[registered])</f>
        <v>53383</v>
      </c>
      <c r="S503" s="4">
        <f>SUBTOTAL(109,Table6[cnt])</f>
        <v>58304</v>
      </c>
    </row>
    <row r="504" spans="1:19">
      <c r="A504" s="4">
        <v>503</v>
      </c>
      <c r="B504" s="5">
        <v>40566</v>
      </c>
      <c r="C504" s="4">
        <v>1</v>
      </c>
      <c r="D504" s="4">
        <v>0</v>
      </c>
      <c r="E504" s="4">
        <v>1</v>
      </c>
      <c r="F504" s="4">
        <v>0</v>
      </c>
      <c r="G504" s="4" t="b">
        <v>0</v>
      </c>
      <c r="H504" s="4">
        <v>0</v>
      </c>
      <c r="I504" s="4">
        <v>1</v>
      </c>
      <c r="J504" s="4">
        <v>0.04</v>
      </c>
      <c r="K504" s="4">
        <v>7.5800000000000006E-2</v>
      </c>
      <c r="L504" s="4">
        <v>0.56999999999999995</v>
      </c>
      <c r="M504" s="4">
        <v>0.1045</v>
      </c>
      <c r="N504" s="4">
        <v>2</v>
      </c>
      <c r="O504" s="4">
        <v>20</v>
      </c>
      <c r="P504" s="4">
        <v>22</v>
      </c>
      <c r="Q504" s="4">
        <f>SUBTOTAL(109,Table6[casual])</f>
        <v>4921</v>
      </c>
      <c r="R504" s="4">
        <f>SUBTOTAL(109,Table6[registered])</f>
        <v>53383</v>
      </c>
      <c r="S504" s="4">
        <f>SUBTOTAL(109,Table6[cnt])</f>
        <v>58304</v>
      </c>
    </row>
    <row r="505" spans="1:19">
      <c r="A505" s="4">
        <v>504</v>
      </c>
      <c r="B505" s="5">
        <v>40566</v>
      </c>
      <c r="C505" s="4">
        <v>1</v>
      </c>
      <c r="D505" s="4">
        <v>0</v>
      </c>
      <c r="E505" s="4">
        <v>1</v>
      </c>
      <c r="F505" s="4">
        <v>1</v>
      </c>
      <c r="G505" s="4" t="b">
        <v>0</v>
      </c>
      <c r="H505" s="4">
        <v>0</v>
      </c>
      <c r="I505" s="4">
        <v>1</v>
      </c>
      <c r="J505" s="4">
        <v>0.04</v>
      </c>
      <c r="K505" s="4">
        <v>7.5800000000000006E-2</v>
      </c>
      <c r="L505" s="4">
        <v>0.56999999999999995</v>
      </c>
      <c r="M505" s="4">
        <v>0.1045</v>
      </c>
      <c r="N505" s="4">
        <v>1</v>
      </c>
      <c r="O505" s="4">
        <v>12</v>
      </c>
      <c r="P505" s="4">
        <v>13</v>
      </c>
      <c r="Q505" s="4">
        <f>SUBTOTAL(109,Table6[casual])</f>
        <v>4921</v>
      </c>
      <c r="R505" s="4">
        <f>SUBTOTAL(109,Table6[registered])</f>
        <v>53383</v>
      </c>
      <c r="S505" s="4">
        <f>SUBTOTAL(109,Table6[cnt])</f>
        <v>58304</v>
      </c>
    </row>
    <row r="506" spans="1:19">
      <c r="A506" s="4">
        <v>505</v>
      </c>
      <c r="B506" s="5">
        <v>40566</v>
      </c>
      <c r="C506" s="4">
        <v>1</v>
      </c>
      <c r="D506" s="4">
        <v>0</v>
      </c>
      <c r="E506" s="4">
        <v>1</v>
      </c>
      <c r="F506" s="4">
        <v>2</v>
      </c>
      <c r="G506" s="4" t="b">
        <v>0</v>
      </c>
      <c r="H506" s="4">
        <v>0</v>
      </c>
      <c r="I506" s="4">
        <v>1</v>
      </c>
      <c r="J506" s="4">
        <v>0.02</v>
      </c>
      <c r="K506" s="4">
        <v>6.0600000000000001E-2</v>
      </c>
      <c r="L506" s="4">
        <v>0.62</v>
      </c>
      <c r="M506" s="4">
        <v>0.1343</v>
      </c>
      <c r="N506" s="4">
        <v>3</v>
      </c>
      <c r="O506" s="4">
        <v>15</v>
      </c>
      <c r="P506" s="4">
        <v>18</v>
      </c>
      <c r="Q506" s="4">
        <f>SUBTOTAL(109,Table6[casual])</f>
        <v>4921</v>
      </c>
      <c r="R506" s="4">
        <f>SUBTOTAL(109,Table6[registered])</f>
        <v>53383</v>
      </c>
      <c r="S506" s="4">
        <f>SUBTOTAL(109,Table6[cnt])</f>
        <v>58304</v>
      </c>
    </row>
    <row r="507" spans="1:19">
      <c r="A507" s="4">
        <v>506</v>
      </c>
      <c r="B507" s="5">
        <v>40566</v>
      </c>
      <c r="C507" s="4">
        <v>1</v>
      </c>
      <c r="D507" s="4">
        <v>0</v>
      </c>
      <c r="E507" s="4">
        <v>1</v>
      </c>
      <c r="F507" s="4">
        <v>3</v>
      </c>
      <c r="G507" s="4" t="b">
        <v>0</v>
      </c>
      <c r="H507" s="4">
        <v>0</v>
      </c>
      <c r="I507" s="4">
        <v>1</v>
      </c>
      <c r="J507" s="4">
        <v>0.02</v>
      </c>
      <c r="K507" s="4">
        <v>6.0600000000000001E-2</v>
      </c>
      <c r="L507" s="4">
        <v>0.62</v>
      </c>
      <c r="M507" s="4">
        <v>0.1343</v>
      </c>
      <c r="N507" s="4">
        <v>1</v>
      </c>
      <c r="O507" s="4">
        <v>4</v>
      </c>
      <c r="P507" s="4">
        <v>5</v>
      </c>
      <c r="Q507" s="4">
        <f>SUBTOTAL(109,Table6[casual])</f>
        <v>4921</v>
      </c>
      <c r="R507" s="4">
        <f>SUBTOTAL(109,Table6[registered])</f>
        <v>53383</v>
      </c>
      <c r="S507" s="4">
        <f>SUBTOTAL(109,Table6[cnt])</f>
        <v>58304</v>
      </c>
    </row>
    <row r="508" spans="1:19">
      <c r="A508" s="4">
        <v>507</v>
      </c>
      <c r="B508" s="5">
        <v>40566</v>
      </c>
      <c r="C508" s="4">
        <v>1</v>
      </c>
      <c r="D508" s="4">
        <v>0</v>
      </c>
      <c r="E508" s="4">
        <v>1</v>
      </c>
      <c r="F508" s="4">
        <v>5</v>
      </c>
      <c r="G508" s="4" t="b">
        <v>0</v>
      </c>
      <c r="H508" s="4">
        <v>0</v>
      </c>
      <c r="I508" s="4">
        <v>2</v>
      </c>
      <c r="J508" s="4">
        <v>0.04</v>
      </c>
      <c r="K508" s="4">
        <v>7.5800000000000006E-2</v>
      </c>
      <c r="L508" s="4">
        <v>0.56999999999999995</v>
      </c>
      <c r="M508" s="4">
        <v>0.1045</v>
      </c>
      <c r="N508" s="4">
        <v>0</v>
      </c>
      <c r="O508" s="4">
        <v>3</v>
      </c>
      <c r="P508" s="4">
        <v>3</v>
      </c>
      <c r="Q508" s="4">
        <f>SUBTOTAL(109,Table6[casual])</f>
        <v>4921</v>
      </c>
      <c r="R508" s="4">
        <f>SUBTOTAL(109,Table6[registered])</f>
        <v>53383</v>
      </c>
      <c r="S508" s="4">
        <f>SUBTOTAL(109,Table6[cnt])</f>
        <v>58304</v>
      </c>
    </row>
    <row r="509" spans="1:19">
      <c r="A509" s="4">
        <v>508</v>
      </c>
      <c r="B509" s="5">
        <v>40566</v>
      </c>
      <c r="C509" s="4">
        <v>1</v>
      </c>
      <c r="D509" s="4">
        <v>0</v>
      </c>
      <c r="E509" s="4">
        <v>1</v>
      </c>
      <c r="F509" s="4">
        <v>6</v>
      </c>
      <c r="G509" s="4" t="b">
        <v>0</v>
      </c>
      <c r="H509" s="4">
        <v>0</v>
      </c>
      <c r="I509" s="4">
        <v>2</v>
      </c>
      <c r="J509" s="4">
        <v>0.04</v>
      </c>
      <c r="K509" s="4">
        <v>7.5800000000000006E-2</v>
      </c>
      <c r="L509" s="4">
        <v>0.56999999999999995</v>
      </c>
      <c r="M509" s="4">
        <v>0.1045</v>
      </c>
      <c r="N509" s="4">
        <v>0</v>
      </c>
      <c r="O509" s="4">
        <v>1</v>
      </c>
      <c r="P509" s="4">
        <v>1</v>
      </c>
      <c r="Q509" s="4">
        <f>SUBTOTAL(109,Table6[casual])</f>
        <v>4921</v>
      </c>
      <c r="R509" s="4">
        <f>SUBTOTAL(109,Table6[registered])</f>
        <v>53383</v>
      </c>
      <c r="S509" s="4">
        <f>SUBTOTAL(109,Table6[cnt])</f>
        <v>58304</v>
      </c>
    </row>
    <row r="510" spans="1:19">
      <c r="A510" s="4">
        <v>509</v>
      </c>
      <c r="B510" s="5">
        <v>40566</v>
      </c>
      <c r="C510" s="4">
        <v>1</v>
      </c>
      <c r="D510" s="4">
        <v>0</v>
      </c>
      <c r="E510" s="4">
        <v>1</v>
      </c>
      <c r="F510" s="4">
        <v>7</v>
      </c>
      <c r="G510" s="4" t="b">
        <v>0</v>
      </c>
      <c r="H510" s="4">
        <v>0</v>
      </c>
      <c r="I510" s="4">
        <v>1</v>
      </c>
      <c r="J510" s="4">
        <v>0.08</v>
      </c>
      <c r="K510" s="4">
        <v>0.1061</v>
      </c>
      <c r="L510" s="4">
        <v>0.57999999999999996</v>
      </c>
      <c r="M510" s="4">
        <v>0.16420000000000001</v>
      </c>
      <c r="N510" s="4">
        <v>1</v>
      </c>
      <c r="O510" s="4">
        <v>1</v>
      </c>
      <c r="P510" s="4">
        <v>2</v>
      </c>
      <c r="Q510" s="4">
        <f>SUBTOTAL(109,Table6[casual])</f>
        <v>4921</v>
      </c>
      <c r="R510" s="4">
        <f>SUBTOTAL(109,Table6[registered])</f>
        <v>53383</v>
      </c>
      <c r="S510" s="4">
        <f>SUBTOTAL(109,Table6[cnt])</f>
        <v>58304</v>
      </c>
    </row>
    <row r="511" spans="1:19">
      <c r="A511" s="4">
        <v>510</v>
      </c>
      <c r="B511" s="5">
        <v>40566</v>
      </c>
      <c r="C511" s="4">
        <v>1</v>
      </c>
      <c r="D511" s="4">
        <v>0</v>
      </c>
      <c r="E511" s="4">
        <v>1</v>
      </c>
      <c r="F511" s="4">
        <v>8</v>
      </c>
      <c r="G511" s="4" t="b">
        <v>0</v>
      </c>
      <c r="H511" s="4">
        <v>0</v>
      </c>
      <c r="I511" s="4">
        <v>1</v>
      </c>
      <c r="J511" s="4">
        <v>0.06</v>
      </c>
      <c r="K511" s="4">
        <v>7.5800000000000006E-2</v>
      </c>
      <c r="L511" s="4">
        <v>0.62</v>
      </c>
      <c r="M511" s="4">
        <v>0.16420000000000001</v>
      </c>
      <c r="N511" s="4">
        <v>2</v>
      </c>
      <c r="O511" s="4">
        <v>17</v>
      </c>
      <c r="P511" s="4">
        <v>19</v>
      </c>
      <c r="Q511" s="4">
        <f>SUBTOTAL(109,Table6[casual])</f>
        <v>4921</v>
      </c>
      <c r="R511" s="4">
        <f>SUBTOTAL(109,Table6[registered])</f>
        <v>53383</v>
      </c>
      <c r="S511" s="4">
        <f>SUBTOTAL(109,Table6[cnt])</f>
        <v>58304</v>
      </c>
    </row>
    <row r="512" spans="1:19">
      <c r="A512" s="4">
        <v>511</v>
      </c>
      <c r="B512" s="5">
        <v>40566</v>
      </c>
      <c r="C512" s="4">
        <v>1</v>
      </c>
      <c r="D512" s="4">
        <v>0</v>
      </c>
      <c r="E512" s="4">
        <v>1</v>
      </c>
      <c r="F512" s="4">
        <v>9</v>
      </c>
      <c r="G512" s="4" t="b">
        <v>0</v>
      </c>
      <c r="H512" s="4">
        <v>0</v>
      </c>
      <c r="I512" s="4">
        <v>1</v>
      </c>
      <c r="J512" s="4">
        <v>0.1</v>
      </c>
      <c r="K512" s="4">
        <v>7.5800000000000006E-2</v>
      </c>
      <c r="L512" s="4">
        <v>0.54</v>
      </c>
      <c r="M512" s="4">
        <v>0.35820000000000002</v>
      </c>
      <c r="N512" s="4">
        <v>3</v>
      </c>
      <c r="O512" s="4">
        <v>25</v>
      </c>
      <c r="P512" s="4">
        <v>28</v>
      </c>
      <c r="Q512" s="4">
        <f>SUBTOTAL(109,Table6[casual])</f>
        <v>4921</v>
      </c>
      <c r="R512" s="4">
        <f>SUBTOTAL(109,Table6[registered])</f>
        <v>53383</v>
      </c>
      <c r="S512" s="4">
        <f>SUBTOTAL(109,Table6[cnt])</f>
        <v>58304</v>
      </c>
    </row>
    <row r="513" spans="1:19">
      <c r="A513" s="4">
        <v>512</v>
      </c>
      <c r="B513" s="5">
        <v>40566</v>
      </c>
      <c r="C513" s="4">
        <v>1</v>
      </c>
      <c r="D513" s="4">
        <v>0</v>
      </c>
      <c r="E513" s="4">
        <v>1</v>
      </c>
      <c r="F513" s="4">
        <v>10</v>
      </c>
      <c r="G513" s="4" t="b">
        <v>0</v>
      </c>
      <c r="H513" s="4">
        <v>0</v>
      </c>
      <c r="I513" s="4">
        <v>1</v>
      </c>
      <c r="J513" s="4">
        <v>0.14000000000000001</v>
      </c>
      <c r="K513" s="4">
        <v>0.1061</v>
      </c>
      <c r="L513" s="4">
        <v>0.46</v>
      </c>
      <c r="M513" s="4">
        <v>0.3881</v>
      </c>
      <c r="N513" s="4">
        <v>7</v>
      </c>
      <c r="O513" s="4">
        <v>51</v>
      </c>
      <c r="P513" s="4">
        <v>58</v>
      </c>
      <c r="Q513" s="4">
        <f>SUBTOTAL(109,Table6[casual])</f>
        <v>4921</v>
      </c>
      <c r="R513" s="4">
        <f>SUBTOTAL(109,Table6[registered])</f>
        <v>53383</v>
      </c>
      <c r="S513" s="4">
        <f>SUBTOTAL(109,Table6[cnt])</f>
        <v>58304</v>
      </c>
    </row>
    <row r="514" spans="1:19">
      <c r="A514" s="4">
        <v>513</v>
      </c>
      <c r="B514" s="5">
        <v>40566</v>
      </c>
      <c r="C514" s="4">
        <v>1</v>
      </c>
      <c r="D514" s="4">
        <v>0</v>
      </c>
      <c r="E514" s="4">
        <v>1</v>
      </c>
      <c r="F514" s="4">
        <v>11</v>
      </c>
      <c r="G514" s="4" t="b">
        <v>0</v>
      </c>
      <c r="H514" s="4">
        <v>0</v>
      </c>
      <c r="I514" s="4">
        <v>1</v>
      </c>
      <c r="J514" s="4">
        <v>0.14000000000000001</v>
      </c>
      <c r="K514" s="4">
        <v>0.13639999999999999</v>
      </c>
      <c r="L514" s="4">
        <v>0.43</v>
      </c>
      <c r="M514" s="4">
        <v>0.22389999999999999</v>
      </c>
      <c r="N514" s="4">
        <v>22</v>
      </c>
      <c r="O514" s="4">
        <v>77</v>
      </c>
      <c r="P514" s="4">
        <v>99</v>
      </c>
      <c r="Q514" s="4">
        <f>SUBTOTAL(109,Table6[casual])</f>
        <v>4921</v>
      </c>
      <c r="R514" s="4">
        <f>SUBTOTAL(109,Table6[registered])</f>
        <v>53383</v>
      </c>
      <c r="S514" s="4">
        <f>SUBTOTAL(109,Table6[cnt])</f>
        <v>58304</v>
      </c>
    </row>
    <row r="515" spans="1:19">
      <c r="A515" s="4">
        <v>514</v>
      </c>
      <c r="B515" s="5">
        <v>40566</v>
      </c>
      <c r="C515" s="4">
        <v>1</v>
      </c>
      <c r="D515" s="4">
        <v>0</v>
      </c>
      <c r="E515" s="4">
        <v>1</v>
      </c>
      <c r="F515" s="4">
        <v>12</v>
      </c>
      <c r="G515" s="4" t="b">
        <v>0</v>
      </c>
      <c r="H515" s="4">
        <v>0</v>
      </c>
      <c r="I515" s="4">
        <v>1</v>
      </c>
      <c r="J515" s="4">
        <v>0.16</v>
      </c>
      <c r="K515" s="4">
        <v>0.1212</v>
      </c>
      <c r="L515" s="4">
        <v>0.37</v>
      </c>
      <c r="M515" s="4">
        <v>0.4627</v>
      </c>
      <c r="N515" s="4">
        <v>24</v>
      </c>
      <c r="O515" s="4">
        <v>92</v>
      </c>
      <c r="P515" s="4">
        <v>116</v>
      </c>
      <c r="Q515" s="4">
        <f>SUBTOTAL(109,Table6[casual])</f>
        <v>4921</v>
      </c>
      <c r="R515" s="4">
        <f>SUBTOTAL(109,Table6[registered])</f>
        <v>53383</v>
      </c>
      <c r="S515" s="4">
        <f>SUBTOTAL(109,Table6[cnt])</f>
        <v>58304</v>
      </c>
    </row>
    <row r="516" spans="1:19">
      <c r="A516" s="4">
        <v>515</v>
      </c>
      <c r="B516" s="5">
        <v>40566</v>
      </c>
      <c r="C516" s="4">
        <v>1</v>
      </c>
      <c r="D516" s="4">
        <v>0</v>
      </c>
      <c r="E516" s="4">
        <v>1</v>
      </c>
      <c r="F516" s="4">
        <v>13</v>
      </c>
      <c r="G516" s="4" t="b">
        <v>0</v>
      </c>
      <c r="H516" s="4">
        <v>0</v>
      </c>
      <c r="I516" s="4">
        <v>1</v>
      </c>
      <c r="J516" s="4">
        <v>0.14000000000000001</v>
      </c>
      <c r="K516" s="4">
        <v>0.1061</v>
      </c>
      <c r="L516" s="4">
        <v>0.33</v>
      </c>
      <c r="M516" s="4">
        <v>0.3881</v>
      </c>
      <c r="N516" s="4">
        <v>12</v>
      </c>
      <c r="O516" s="4">
        <v>75</v>
      </c>
      <c r="P516" s="4">
        <v>87</v>
      </c>
      <c r="Q516" s="4">
        <f>SUBTOTAL(109,Table6[casual])</f>
        <v>4921</v>
      </c>
      <c r="R516" s="4">
        <f>SUBTOTAL(109,Table6[registered])</f>
        <v>53383</v>
      </c>
      <c r="S516" s="4">
        <f>SUBTOTAL(109,Table6[cnt])</f>
        <v>58304</v>
      </c>
    </row>
    <row r="517" spans="1:19">
      <c r="A517" s="4">
        <v>516</v>
      </c>
      <c r="B517" s="5">
        <v>40566</v>
      </c>
      <c r="C517" s="4">
        <v>1</v>
      </c>
      <c r="D517" s="4">
        <v>0</v>
      </c>
      <c r="E517" s="4">
        <v>1</v>
      </c>
      <c r="F517" s="4">
        <v>14</v>
      </c>
      <c r="G517" s="4" t="b">
        <v>0</v>
      </c>
      <c r="H517" s="4">
        <v>0</v>
      </c>
      <c r="I517" s="4">
        <v>1</v>
      </c>
      <c r="J517" s="4">
        <v>0.16</v>
      </c>
      <c r="K517" s="4">
        <v>0.13639999999999999</v>
      </c>
      <c r="L517" s="4">
        <v>0.28000000000000003</v>
      </c>
      <c r="M517" s="4">
        <v>0.35820000000000002</v>
      </c>
      <c r="N517" s="4">
        <v>17</v>
      </c>
      <c r="O517" s="4">
        <v>93</v>
      </c>
      <c r="P517" s="4">
        <v>110</v>
      </c>
      <c r="Q517" s="4">
        <f>SUBTOTAL(109,Table6[casual])</f>
        <v>4921</v>
      </c>
      <c r="R517" s="4">
        <f>SUBTOTAL(109,Table6[registered])</f>
        <v>53383</v>
      </c>
      <c r="S517" s="4">
        <f>SUBTOTAL(109,Table6[cnt])</f>
        <v>58304</v>
      </c>
    </row>
    <row r="518" spans="1:19">
      <c r="A518" s="4">
        <v>517</v>
      </c>
      <c r="B518" s="5">
        <v>40566</v>
      </c>
      <c r="C518" s="4">
        <v>1</v>
      </c>
      <c r="D518" s="4">
        <v>0</v>
      </c>
      <c r="E518" s="4">
        <v>1</v>
      </c>
      <c r="F518" s="4">
        <v>15</v>
      </c>
      <c r="G518" s="4" t="b">
        <v>0</v>
      </c>
      <c r="H518" s="4">
        <v>0</v>
      </c>
      <c r="I518" s="4">
        <v>1</v>
      </c>
      <c r="J518" s="4">
        <v>0.16</v>
      </c>
      <c r="K518" s="4">
        <v>0.13639999999999999</v>
      </c>
      <c r="L518" s="4">
        <v>0.28000000000000003</v>
      </c>
      <c r="M518" s="4">
        <v>0.35820000000000002</v>
      </c>
      <c r="N518" s="4">
        <v>13</v>
      </c>
      <c r="O518" s="4">
        <v>64</v>
      </c>
      <c r="P518" s="4">
        <v>77</v>
      </c>
      <c r="Q518" s="4">
        <f>SUBTOTAL(109,Table6[casual])</f>
        <v>4921</v>
      </c>
      <c r="R518" s="4">
        <f>SUBTOTAL(109,Table6[registered])</f>
        <v>53383</v>
      </c>
      <c r="S518" s="4">
        <f>SUBTOTAL(109,Table6[cnt])</f>
        <v>58304</v>
      </c>
    </row>
    <row r="519" spans="1:19">
      <c r="A519" s="4">
        <v>518</v>
      </c>
      <c r="B519" s="5">
        <v>40566</v>
      </c>
      <c r="C519" s="4">
        <v>1</v>
      </c>
      <c r="D519" s="4">
        <v>0</v>
      </c>
      <c r="E519" s="4">
        <v>1</v>
      </c>
      <c r="F519" s="4">
        <v>16</v>
      </c>
      <c r="G519" s="4" t="b">
        <v>0</v>
      </c>
      <c r="H519" s="4">
        <v>0</v>
      </c>
      <c r="I519" s="4">
        <v>1</v>
      </c>
      <c r="J519" s="4">
        <v>0.16</v>
      </c>
      <c r="K519" s="4">
        <v>0.13639999999999999</v>
      </c>
      <c r="L519" s="4">
        <v>0.26</v>
      </c>
      <c r="M519" s="4">
        <v>0.32840000000000003</v>
      </c>
      <c r="N519" s="4">
        <v>9</v>
      </c>
      <c r="O519" s="4">
        <v>56</v>
      </c>
      <c r="P519" s="4">
        <v>65</v>
      </c>
      <c r="Q519" s="4">
        <f>SUBTOTAL(109,Table6[casual])</f>
        <v>4921</v>
      </c>
      <c r="R519" s="4">
        <f>SUBTOTAL(109,Table6[registered])</f>
        <v>53383</v>
      </c>
      <c r="S519" s="4">
        <f>SUBTOTAL(109,Table6[cnt])</f>
        <v>58304</v>
      </c>
    </row>
    <row r="520" spans="1:19">
      <c r="A520" s="4">
        <v>519</v>
      </c>
      <c r="B520" s="5">
        <v>40566</v>
      </c>
      <c r="C520" s="4">
        <v>1</v>
      </c>
      <c r="D520" s="4">
        <v>0</v>
      </c>
      <c r="E520" s="4">
        <v>1</v>
      </c>
      <c r="F520" s="4">
        <v>17</v>
      </c>
      <c r="G520" s="4" t="b">
        <v>0</v>
      </c>
      <c r="H520" s="4">
        <v>0</v>
      </c>
      <c r="I520" s="4">
        <v>1</v>
      </c>
      <c r="J520" s="4">
        <v>0.14000000000000001</v>
      </c>
      <c r="K520" s="4">
        <v>0.1061</v>
      </c>
      <c r="L520" s="4">
        <v>0.26</v>
      </c>
      <c r="M520" s="4">
        <v>0.3881</v>
      </c>
      <c r="N520" s="4">
        <v>5</v>
      </c>
      <c r="O520" s="4">
        <v>50</v>
      </c>
      <c r="P520" s="4">
        <v>55</v>
      </c>
      <c r="Q520" s="4">
        <f>SUBTOTAL(109,Table6[casual])</f>
        <v>4921</v>
      </c>
      <c r="R520" s="4">
        <f>SUBTOTAL(109,Table6[registered])</f>
        <v>53383</v>
      </c>
      <c r="S520" s="4">
        <f>SUBTOTAL(109,Table6[cnt])</f>
        <v>58304</v>
      </c>
    </row>
    <row r="521" spans="1:19">
      <c r="A521" s="4">
        <v>520</v>
      </c>
      <c r="B521" s="5">
        <v>40566</v>
      </c>
      <c r="C521" s="4">
        <v>1</v>
      </c>
      <c r="D521" s="4">
        <v>0</v>
      </c>
      <c r="E521" s="4">
        <v>1</v>
      </c>
      <c r="F521" s="4">
        <v>18</v>
      </c>
      <c r="G521" s="4" t="b">
        <v>0</v>
      </c>
      <c r="H521" s="4">
        <v>0</v>
      </c>
      <c r="I521" s="4">
        <v>1</v>
      </c>
      <c r="J521" s="4">
        <v>0.12</v>
      </c>
      <c r="K521" s="4">
        <v>0.1212</v>
      </c>
      <c r="L521" s="4">
        <v>0.3</v>
      </c>
      <c r="M521" s="4">
        <v>0.25369999999999998</v>
      </c>
      <c r="N521" s="4">
        <v>5</v>
      </c>
      <c r="O521" s="4">
        <v>44</v>
      </c>
      <c r="P521" s="4">
        <v>49</v>
      </c>
      <c r="Q521" s="4">
        <f>SUBTOTAL(109,Table6[casual])</f>
        <v>4921</v>
      </c>
      <c r="R521" s="4">
        <f>SUBTOTAL(109,Table6[registered])</f>
        <v>53383</v>
      </c>
      <c r="S521" s="4">
        <f>SUBTOTAL(109,Table6[cnt])</f>
        <v>58304</v>
      </c>
    </row>
    <row r="522" spans="1:19">
      <c r="A522" s="4">
        <v>521</v>
      </c>
      <c r="B522" s="5">
        <v>40566</v>
      </c>
      <c r="C522" s="4">
        <v>1</v>
      </c>
      <c r="D522" s="4">
        <v>0</v>
      </c>
      <c r="E522" s="4">
        <v>1</v>
      </c>
      <c r="F522" s="4">
        <v>19</v>
      </c>
      <c r="G522" s="4" t="b">
        <v>0</v>
      </c>
      <c r="H522" s="4">
        <v>0</v>
      </c>
      <c r="I522" s="4">
        <v>1</v>
      </c>
      <c r="J522" s="4">
        <v>0.12</v>
      </c>
      <c r="K522" s="4">
        <v>0.1212</v>
      </c>
      <c r="L522" s="4">
        <v>0.3</v>
      </c>
      <c r="M522" s="4">
        <v>0.28360000000000002</v>
      </c>
      <c r="N522" s="4">
        <v>5</v>
      </c>
      <c r="O522" s="4">
        <v>45</v>
      </c>
      <c r="P522" s="4">
        <v>50</v>
      </c>
      <c r="Q522" s="4">
        <f>SUBTOTAL(109,Table6[casual])</f>
        <v>4921</v>
      </c>
      <c r="R522" s="4">
        <f>SUBTOTAL(109,Table6[registered])</f>
        <v>53383</v>
      </c>
      <c r="S522" s="4">
        <f>SUBTOTAL(109,Table6[cnt])</f>
        <v>58304</v>
      </c>
    </row>
    <row r="523" spans="1:19">
      <c r="A523" s="4">
        <v>522</v>
      </c>
      <c r="B523" s="5">
        <v>40566</v>
      </c>
      <c r="C523" s="4">
        <v>1</v>
      </c>
      <c r="D523" s="4">
        <v>0</v>
      </c>
      <c r="E523" s="4">
        <v>1</v>
      </c>
      <c r="F523" s="4">
        <v>20</v>
      </c>
      <c r="G523" s="4" t="b">
        <v>0</v>
      </c>
      <c r="H523" s="4">
        <v>0</v>
      </c>
      <c r="I523" s="4">
        <v>1</v>
      </c>
      <c r="J523" s="4">
        <v>0.1</v>
      </c>
      <c r="K523" s="4">
        <v>0.1061</v>
      </c>
      <c r="L523" s="4">
        <v>0.36</v>
      </c>
      <c r="M523" s="4">
        <v>0.25369999999999998</v>
      </c>
      <c r="N523" s="4">
        <v>4</v>
      </c>
      <c r="O523" s="4">
        <v>31</v>
      </c>
      <c r="P523" s="4">
        <v>35</v>
      </c>
      <c r="Q523" s="4">
        <f>SUBTOTAL(109,Table6[casual])</f>
        <v>4921</v>
      </c>
      <c r="R523" s="4">
        <f>SUBTOTAL(109,Table6[registered])</f>
        <v>53383</v>
      </c>
      <c r="S523" s="4">
        <f>SUBTOTAL(109,Table6[cnt])</f>
        <v>58304</v>
      </c>
    </row>
    <row r="524" spans="1:19">
      <c r="A524" s="4">
        <v>523</v>
      </c>
      <c r="B524" s="5">
        <v>40566</v>
      </c>
      <c r="C524" s="4">
        <v>1</v>
      </c>
      <c r="D524" s="4">
        <v>0</v>
      </c>
      <c r="E524" s="4">
        <v>1</v>
      </c>
      <c r="F524" s="4">
        <v>21</v>
      </c>
      <c r="G524" s="4" t="b">
        <v>0</v>
      </c>
      <c r="H524" s="4">
        <v>0</v>
      </c>
      <c r="I524" s="4">
        <v>1</v>
      </c>
      <c r="J524" s="4">
        <v>0.1</v>
      </c>
      <c r="K524" s="4">
        <v>0.1061</v>
      </c>
      <c r="L524" s="4">
        <v>0.36</v>
      </c>
      <c r="M524" s="4">
        <v>0.19400000000000001</v>
      </c>
      <c r="N524" s="4">
        <v>5</v>
      </c>
      <c r="O524" s="4">
        <v>20</v>
      </c>
      <c r="P524" s="4">
        <v>25</v>
      </c>
      <c r="Q524" s="4">
        <f>SUBTOTAL(109,Table6[casual])</f>
        <v>4921</v>
      </c>
      <c r="R524" s="4">
        <f>SUBTOTAL(109,Table6[registered])</f>
        <v>53383</v>
      </c>
      <c r="S524" s="4">
        <f>SUBTOTAL(109,Table6[cnt])</f>
        <v>58304</v>
      </c>
    </row>
    <row r="525" spans="1:19">
      <c r="A525" s="4">
        <v>524</v>
      </c>
      <c r="B525" s="5">
        <v>40566</v>
      </c>
      <c r="C525" s="4">
        <v>1</v>
      </c>
      <c r="D525" s="4">
        <v>0</v>
      </c>
      <c r="E525" s="4">
        <v>1</v>
      </c>
      <c r="F525" s="4">
        <v>22</v>
      </c>
      <c r="G525" s="4" t="b">
        <v>0</v>
      </c>
      <c r="H525" s="4">
        <v>0</v>
      </c>
      <c r="I525" s="4">
        <v>1</v>
      </c>
      <c r="J525" s="4">
        <v>0.08</v>
      </c>
      <c r="K525" s="4">
        <v>9.0899999999999995E-2</v>
      </c>
      <c r="L525" s="4">
        <v>0.38</v>
      </c>
      <c r="M525" s="4">
        <v>0.19400000000000001</v>
      </c>
      <c r="N525" s="4">
        <v>5</v>
      </c>
      <c r="O525" s="4">
        <v>23</v>
      </c>
      <c r="P525" s="4">
        <v>28</v>
      </c>
      <c r="Q525" s="4">
        <f>SUBTOTAL(109,Table6[casual])</f>
        <v>4921</v>
      </c>
      <c r="R525" s="4">
        <f>SUBTOTAL(109,Table6[registered])</f>
        <v>53383</v>
      </c>
      <c r="S525" s="4">
        <f>SUBTOTAL(109,Table6[cnt])</f>
        <v>58304</v>
      </c>
    </row>
    <row r="526" spans="1:19">
      <c r="A526" s="4">
        <v>525</v>
      </c>
      <c r="B526" s="5">
        <v>40566</v>
      </c>
      <c r="C526" s="4">
        <v>1</v>
      </c>
      <c r="D526" s="4">
        <v>0</v>
      </c>
      <c r="E526" s="4">
        <v>1</v>
      </c>
      <c r="F526" s="4">
        <v>23</v>
      </c>
      <c r="G526" s="4" t="b">
        <v>0</v>
      </c>
      <c r="H526" s="4">
        <v>0</v>
      </c>
      <c r="I526" s="4">
        <v>1</v>
      </c>
      <c r="J526" s="4">
        <v>0.06</v>
      </c>
      <c r="K526" s="4">
        <v>6.0600000000000001E-2</v>
      </c>
      <c r="L526" s="4">
        <v>0.41</v>
      </c>
      <c r="M526" s="4">
        <v>0.22389999999999999</v>
      </c>
      <c r="N526" s="4">
        <v>4</v>
      </c>
      <c r="O526" s="4">
        <v>17</v>
      </c>
      <c r="P526" s="4">
        <v>21</v>
      </c>
      <c r="Q526" s="4">
        <f>SUBTOTAL(109,Table6[casual])</f>
        <v>4921</v>
      </c>
      <c r="R526" s="4">
        <f>SUBTOTAL(109,Table6[registered])</f>
        <v>53383</v>
      </c>
      <c r="S526" s="4">
        <f>SUBTOTAL(109,Table6[cnt])</f>
        <v>58304</v>
      </c>
    </row>
    <row r="527" spans="1:19">
      <c r="A527" s="4">
        <v>526</v>
      </c>
      <c r="B527" s="5">
        <v>40567</v>
      </c>
      <c r="C527" s="4">
        <v>1</v>
      </c>
      <c r="D527" s="4">
        <v>0</v>
      </c>
      <c r="E527" s="4">
        <v>1</v>
      </c>
      <c r="F527" s="4">
        <v>0</v>
      </c>
      <c r="G527" s="4" t="b">
        <v>0</v>
      </c>
      <c r="H527" s="4">
        <v>1</v>
      </c>
      <c r="I527" s="4">
        <v>1</v>
      </c>
      <c r="J527" s="4">
        <v>0.06</v>
      </c>
      <c r="K527" s="4">
        <v>6.0600000000000001E-2</v>
      </c>
      <c r="L527" s="4">
        <v>0.41</v>
      </c>
      <c r="M527" s="4">
        <v>0.19400000000000001</v>
      </c>
      <c r="N527" s="4">
        <v>0</v>
      </c>
      <c r="O527" s="4">
        <v>7</v>
      </c>
      <c r="P527" s="4">
        <v>7</v>
      </c>
      <c r="Q527" s="4">
        <f>SUBTOTAL(109,Table6[casual])</f>
        <v>4921</v>
      </c>
      <c r="R527" s="4">
        <f>SUBTOTAL(109,Table6[registered])</f>
        <v>53383</v>
      </c>
      <c r="S527" s="4">
        <f>SUBTOTAL(109,Table6[cnt])</f>
        <v>58304</v>
      </c>
    </row>
    <row r="528" spans="1:19">
      <c r="A528" s="4">
        <v>527</v>
      </c>
      <c r="B528" s="5">
        <v>40567</v>
      </c>
      <c r="C528" s="4">
        <v>1</v>
      </c>
      <c r="D528" s="4">
        <v>0</v>
      </c>
      <c r="E528" s="4">
        <v>1</v>
      </c>
      <c r="F528" s="4">
        <v>1</v>
      </c>
      <c r="G528" s="4" t="b">
        <v>0</v>
      </c>
      <c r="H528" s="4">
        <v>1</v>
      </c>
      <c r="I528" s="4">
        <v>1</v>
      </c>
      <c r="J528" s="4">
        <v>0.04</v>
      </c>
      <c r="K528" s="4">
        <v>4.5499999999999999E-2</v>
      </c>
      <c r="L528" s="4">
        <v>0.45</v>
      </c>
      <c r="M528" s="4">
        <v>0.19400000000000001</v>
      </c>
      <c r="N528" s="4">
        <v>0</v>
      </c>
      <c r="O528" s="4">
        <v>1</v>
      </c>
      <c r="P528" s="4">
        <v>1</v>
      </c>
      <c r="Q528" s="4">
        <f>SUBTOTAL(109,Table6[casual])</f>
        <v>4921</v>
      </c>
      <c r="R528" s="4">
        <f>SUBTOTAL(109,Table6[registered])</f>
        <v>53383</v>
      </c>
      <c r="S528" s="4">
        <f>SUBTOTAL(109,Table6[cnt])</f>
        <v>58304</v>
      </c>
    </row>
    <row r="529" spans="1:19">
      <c r="A529" s="4">
        <v>528</v>
      </c>
      <c r="B529" s="5">
        <v>40567</v>
      </c>
      <c r="C529" s="4">
        <v>1</v>
      </c>
      <c r="D529" s="4">
        <v>0</v>
      </c>
      <c r="E529" s="4">
        <v>1</v>
      </c>
      <c r="F529" s="4">
        <v>3</v>
      </c>
      <c r="G529" s="4" t="b">
        <v>0</v>
      </c>
      <c r="H529" s="4">
        <v>1</v>
      </c>
      <c r="I529" s="4">
        <v>1</v>
      </c>
      <c r="J529" s="4">
        <v>0.04</v>
      </c>
      <c r="K529" s="4">
        <v>3.0300000000000001E-2</v>
      </c>
      <c r="L529" s="4">
        <v>0.45</v>
      </c>
      <c r="M529" s="4">
        <v>0.25369999999999998</v>
      </c>
      <c r="N529" s="4">
        <v>0</v>
      </c>
      <c r="O529" s="4">
        <v>1</v>
      </c>
      <c r="P529" s="4">
        <v>1</v>
      </c>
      <c r="Q529" s="4">
        <f>SUBTOTAL(109,Table6[casual])</f>
        <v>4921</v>
      </c>
      <c r="R529" s="4">
        <f>SUBTOTAL(109,Table6[registered])</f>
        <v>53383</v>
      </c>
      <c r="S529" s="4">
        <f>SUBTOTAL(109,Table6[cnt])</f>
        <v>58304</v>
      </c>
    </row>
    <row r="530" spans="1:19">
      <c r="A530" s="4">
        <v>529</v>
      </c>
      <c r="B530" s="5">
        <v>40567</v>
      </c>
      <c r="C530" s="4">
        <v>1</v>
      </c>
      <c r="D530" s="4">
        <v>0</v>
      </c>
      <c r="E530" s="4">
        <v>1</v>
      </c>
      <c r="F530" s="4">
        <v>4</v>
      </c>
      <c r="G530" s="4" t="b">
        <v>0</v>
      </c>
      <c r="H530" s="4">
        <v>1</v>
      </c>
      <c r="I530" s="4">
        <v>1</v>
      </c>
      <c r="J530" s="4">
        <v>0.02</v>
      </c>
      <c r="K530" s="4">
        <v>6.0600000000000001E-2</v>
      </c>
      <c r="L530" s="4">
        <v>0.48</v>
      </c>
      <c r="M530" s="4">
        <v>0.1343</v>
      </c>
      <c r="N530" s="4">
        <v>0</v>
      </c>
      <c r="O530" s="4">
        <v>1</v>
      </c>
      <c r="P530" s="4">
        <v>1</v>
      </c>
      <c r="Q530" s="4">
        <f>SUBTOTAL(109,Table6[casual])</f>
        <v>4921</v>
      </c>
      <c r="R530" s="4">
        <f>SUBTOTAL(109,Table6[registered])</f>
        <v>53383</v>
      </c>
      <c r="S530" s="4">
        <f>SUBTOTAL(109,Table6[cnt])</f>
        <v>58304</v>
      </c>
    </row>
    <row r="531" spans="1:19">
      <c r="A531" s="4">
        <v>530</v>
      </c>
      <c r="B531" s="5">
        <v>40567</v>
      </c>
      <c r="C531" s="4">
        <v>1</v>
      </c>
      <c r="D531" s="4">
        <v>0</v>
      </c>
      <c r="E531" s="4">
        <v>1</v>
      </c>
      <c r="F531" s="4">
        <v>5</v>
      </c>
      <c r="G531" s="4" t="b">
        <v>0</v>
      </c>
      <c r="H531" s="4">
        <v>1</v>
      </c>
      <c r="I531" s="4">
        <v>1</v>
      </c>
      <c r="J531" s="4">
        <v>0.02</v>
      </c>
      <c r="K531" s="4">
        <v>6.0600000000000001E-2</v>
      </c>
      <c r="L531" s="4">
        <v>0.48</v>
      </c>
      <c r="M531" s="4">
        <v>0.1343</v>
      </c>
      <c r="N531" s="4">
        <v>0</v>
      </c>
      <c r="O531" s="4">
        <v>5</v>
      </c>
      <c r="P531" s="4">
        <v>5</v>
      </c>
      <c r="Q531" s="4">
        <f>SUBTOTAL(109,Table6[casual])</f>
        <v>4921</v>
      </c>
      <c r="R531" s="4">
        <f>SUBTOTAL(109,Table6[registered])</f>
        <v>53383</v>
      </c>
      <c r="S531" s="4">
        <f>SUBTOTAL(109,Table6[cnt])</f>
        <v>58304</v>
      </c>
    </row>
    <row r="532" spans="1:19">
      <c r="A532" s="4">
        <v>531</v>
      </c>
      <c r="B532" s="5">
        <v>40567</v>
      </c>
      <c r="C532" s="4">
        <v>1</v>
      </c>
      <c r="D532" s="4">
        <v>0</v>
      </c>
      <c r="E532" s="4">
        <v>1</v>
      </c>
      <c r="F532" s="4">
        <v>6</v>
      </c>
      <c r="G532" s="4" t="b">
        <v>0</v>
      </c>
      <c r="H532" s="4">
        <v>1</v>
      </c>
      <c r="I532" s="4">
        <v>1</v>
      </c>
      <c r="J532" s="4">
        <v>0.02</v>
      </c>
      <c r="K532" s="4">
        <v>7.5800000000000006E-2</v>
      </c>
      <c r="L532" s="4">
        <v>0.48</v>
      </c>
      <c r="M532" s="4">
        <v>8.9599999999999999E-2</v>
      </c>
      <c r="N532" s="4">
        <v>0</v>
      </c>
      <c r="O532" s="4">
        <v>15</v>
      </c>
      <c r="P532" s="4">
        <v>15</v>
      </c>
      <c r="Q532" s="4">
        <f>SUBTOTAL(109,Table6[casual])</f>
        <v>4921</v>
      </c>
      <c r="R532" s="4">
        <f>SUBTOTAL(109,Table6[registered])</f>
        <v>53383</v>
      </c>
      <c r="S532" s="4">
        <f>SUBTOTAL(109,Table6[cnt])</f>
        <v>58304</v>
      </c>
    </row>
    <row r="533" spans="1:19">
      <c r="A533" s="4">
        <v>532</v>
      </c>
      <c r="B533" s="5">
        <v>40567</v>
      </c>
      <c r="C533" s="4">
        <v>1</v>
      </c>
      <c r="D533" s="4">
        <v>0</v>
      </c>
      <c r="E533" s="4">
        <v>1</v>
      </c>
      <c r="F533" s="4">
        <v>7</v>
      </c>
      <c r="G533" s="4" t="b">
        <v>0</v>
      </c>
      <c r="H533" s="4">
        <v>1</v>
      </c>
      <c r="I533" s="4">
        <v>1</v>
      </c>
      <c r="J533" s="4">
        <v>0.02</v>
      </c>
      <c r="K533" s="4">
        <v>0.1212</v>
      </c>
      <c r="L533" s="4">
        <v>0.48</v>
      </c>
      <c r="M533" s="4">
        <v>0</v>
      </c>
      <c r="N533" s="4">
        <v>5</v>
      </c>
      <c r="O533" s="4">
        <v>79</v>
      </c>
      <c r="P533" s="4">
        <v>84</v>
      </c>
      <c r="Q533" s="4">
        <f>SUBTOTAL(109,Table6[casual])</f>
        <v>4921</v>
      </c>
      <c r="R533" s="4">
        <f>SUBTOTAL(109,Table6[registered])</f>
        <v>53383</v>
      </c>
      <c r="S533" s="4">
        <f>SUBTOTAL(109,Table6[cnt])</f>
        <v>58304</v>
      </c>
    </row>
    <row r="534" spans="1:19">
      <c r="A534" s="4">
        <v>533</v>
      </c>
      <c r="B534" s="5">
        <v>40567</v>
      </c>
      <c r="C534" s="4">
        <v>1</v>
      </c>
      <c r="D534" s="4">
        <v>0</v>
      </c>
      <c r="E534" s="4">
        <v>1</v>
      </c>
      <c r="F534" s="4">
        <v>8</v>
      </c>
      <c r="G534" s="4" t="b">
        <v>0</v>
      </c>
      <c r="H534" s="4">
        <v>1</v>
      </c>
      <c r="I534" s="4">
        <v>1</v>
      </c>
      <c r="J534" s="4">
        <v>0.04</v>
      </c>
      <c r="K534" s="4">
        <v>0.13639999999999999</v>
      </c>
      <c r="L534" s="4">
        <v>0.49</v>
      </c>
      <c r="M534" s="4">
        <v>0</v>
      </c>
      <c r="N534" s="4">
        <v>6</v>
      </c>
      <c r="O534" s="4">
        <v>171</v>
      </c>
      <c r="P534" s="4">
        <v>177</v>
      </c>
      <c r="Q534" s="4">
        <f>SUBTOTAL(109,Table6[casual])</f>
        <v>4921</v>
      </c>
      <c r="R534" s="4">
        <f>SUBTOTAL(109,Table6[registered])</f>
        <v>53383</v>
      </c>
      <c r="S534" s="4">
        <f>SUBTOTAL(109,Table6[cnt])</f>
        <v>58304</v>
      </c>
    </row>
    <row r="535" spans="1:19">
      <c r="A535" s="4">
        <v>534</v>
      </c>
      <c r="B535" s="5">
        <v>40567</v>
      </c>
      <c r="C535" s="4">
        <v>1</v>
      </c>
      <c r="D535" s="4">
        <v>0</v>
      </c>
      <c r="E535" s="4">
        <v>1</v>
      </c>
      <c r="F535" s="4">
        <v>9</v>
      </c>
      <c r="G535" s="4" t="b">
        <v>0</v>
      </c>
      <c r="H535" s="4">
        <v>1</v>
      </c>
      <c r="I535" s="4">
        <v>1</v>
      </c>
      <c r="J535" s="4">
        <v>0.06</v>
      </c>
      <c r="K535" s="4">
        <v>0.1515</v>
      </c>
      <c r="L535" s="4">
        <v>0.41</v>
      </c>
      <c r="M535" s="4">
        <v>0</v>
      </c>
      <c r="N535" s="4">
        <v>4</v>
      </c>
      <c r="O535" s="4">
        <v>98</v>
      </c>
      <c r="P535" s="4">
        <v>102</v>
      </c>
      <c r="Q535" s="4">
        <f>SUBTOTAL(109,Table6[casual])</f>
        <v>4921</v>
      </c>
      <c r="R535" s="4">
        <f>SUBTOTAL(109,Table6[registered])</f>
        <v>53383</v>
      </c>
      <c r="S535" s="4">
        <f>SUBTOTAL(109,Table6[cnt])</f>
        <v>58304</v>
      </c>
    </row>
    <row r="536" spans="1:19">
      <c r="A536" s="4">
        <v>535</v>
      </c>
      <c r="B536" s="5">
        <v>40567</v>
      </c>
      <c r="C536" s="4">
        <v>1</v>
      </c>
      <c r="D536" s="4">
        <v>0</v>
      </c>
      <c r="E536" s="4">
        <v>1</v>
      </c>
      <c r="F536" s="4">
        <v>10</v>
      </c>
      <c r="G536" s="4" t="b">
        <v>0</v>
      </c>
      <c r="H536" s="4">
        <v>1</v>
      </c>
      <c r="I536" s="4">
        <v>1</v>
      </c>
      <c r="J536" s="4">
        <v>0.1</v>
      </c>
      <c r="K536" s="4">
        <v>0.13639999999999999</v>
      </c>
      <c r="L536" s="4">
        <v>0.42</v>
      </c>
      <c r="M536" s="4">
        <v>0</v>
      </c>
      <c r="N536" s="4">
        <v>6</v>
      </c>
      <c r="O536" s="4">
        <v>34</v>
      </c>
      <c r="P536" s="4">
        <v>40</v>
      </c>
      <c r="Q536" s="4">
        <f>SUBTOTAL(109,Table6[casual])</f>
        <v>4921</v>
      </c>
      <c r="R536" s="4">
        <f>SUBTOTAL(109,Table6[registered])</f>
        <v>53383</v>
      </c>
      <c r="S536" s="4">
        <f>SUBTOTAL(109,Table6[cnt])</f>
        <v>58304</v>
      </c>
    </row>
    <row r="537" spans="1:19">
      <c r="A537" s="4">
        <v>536</v>
      </c>
      <c r="B537" s="5">
        <v>40567</v>
      </c>
      <c r="C537" s="4">
        <v>1</v>
      </c>
      <c r="D537" s="4">
        <v>0</v>
      </c>
      <c r="E537" s="4">
        <v>1</v>
      </c>
      <c r="F537" s="4">
        <v>11</v>
      </c>
      <c r="G537" s="4" t="b">
        <v>0</v>
      </c>
      <c r="H537" s="4">
        <v>1</v>
      </c>
      <c r="I537" s="4">
        <v>1</v>
      </c>
      <c r="J537" s="4">
        <v>0.1</v>
      </c>
      <c r="K537" s="4">
        <v>0.1212</v>
      </c>
      <c r="L537" s="4">
        <v>0.46</v>
      </c>
      <c r="M537" s="4">
        <v>0.1343</v>
      </c>
      <c r="N537" s="4">
        <v>3</v>
      </c>
      <c r="O537" s="4">
        <v>43</v>
      </c>
      <c r="P537" s="4">
        <v>46</v>
      </c>
      <c r="Q537" s="4">
        <f>SUBTOTAL(109,Table6[casual])</f>
        <v>4921</v>
      </c>
      <c r="R537" s="4">
        <f>SUBTOTAL(109,Table6[registered])</f>
        <v>53383</v>
      </c>
      <c r="S537" s="4">
        <f>SUBTOTAL(109,Table6[cnt])</f>
        <v>58304</v>
      </c>
    </row>
    <row r="538" spans="1:19">
      <c r="A538" s="4">
        <v>537</v>
      </c>
      <c r="B538" s="5">
        <v>40567</v>
      </c>
      <c r="C538" s="4">
        <v>1</v>
      </c>
      <c r="D538" s="4">
        <v>0</v>
      </c>
      <c r="E538" s="4">
        <v>1</v>
      </c>
      <c r="F538" s="4">
        <v>12</v>
      </c>
      <c r="G538" s="4" t="b">
        <v>0</v>
      </c>
      <c r="H538" s="4">
        <v>1</v>
      </c>
      <c r="I538" s="4">
        <v>2</v>
      </c>
      <c r="J538" s="4">
        <v>0.12</v>
      </c>
      <c r="K538" s="4">
        <v>0.13639999999999999</v>
      </c>
      <c r="L538" s="4">
        <v>0.42</v>
      </c>
      <c r="M538" s="4">
        <v>0.19400000000000001</v>
      </c>
      <c r="N538" s="4">
        <v>11</v>
      </c>
      <c r="O538" s="4">
        <v>52</v>
      </c>
      <c r="P538" s="4">
        <v>63</v>
      </c>
      <c r="Q538" s="4">
        <f>SUBTOTAL(109,Table6[casual])</f>
        <v>4921</v>
      </c>
      <c r="R538" s="4">
        <f>SUBTOTAL(109,Table6[registered])</f>
        <v>53383</v>
      </c>
      <c r="S538" s="4">
        <f>SUBTOTAL(109,Table6[cnt])</f>
        <v>58304</v>
      </c>
    </row>
    <row r="539" spans="1:19">
      <c r="A539" s="4">
        <v>538</v>
      </c>
      <c r="B539" s="5">
        <v>40567</v>
      </c>
      <c r="C539" s="4">
        <v>1</v>
      </c>
      <c r="D539" s="4">
        <v>0</v>
      </c>
      <c r="E539" s="4">
        <v>1</v>
      </c>
      <c r="F539" s="4">
        <v>13</v>
      </c>
      <c r="G539" s="4" t="b">
        <v>0</v>
      </c>
      <c r="H539" s="4">
        <v>1</v>
      </c>
      <c r="I539" s="4">
        <v>2</v>
      </c>
      <c r="J539" s="4">
        <v>0.14000000000000001</v>
      </c>
      <c r="K539" s="4">
        <v>0.13639999999999999</v>
      </c>
      <c r="L539" s="4">
        <v>0.43</v>
      </c>
      <c r="M539" s="4">
        <v>0.22389999999999999</v>
      </c>
      <c r="N539" s="4">
        <v>6</v>
      </c>
      <c r="O539" s="4">
        <v>54</v>
      </c>
      <c r="P539" s="4">
        <v>60</v>
      </c>
      <c r="Q539" s="4">
        <f>SUBTOTAL(109,Table6[casual])</f>
        <v>4921</v>
      </c>
      <c r="R539" s="4">
        <f>SUBTOTAL(109,Table6[registered])</f>
        <v>53383</v>
      </c>
      <c r="S539" s="4">
        <f>SUBTOTAL(109,Table6[cnt])</f>
        <v>58304</v>
      </c>
    </row>
    <row r="540" spans="1:19">
      <c r="A540" s="4">
        <v>539</v>
      </c>
      <c r="B540" s="5">
        <v>40567</v>
      </c>
      <c r="C540" s="4">
        <v>1</v>
      </c>
      <c r="D540" s="4">
        <v>0</v>
      </c>
      <c r="E540" s="4">
        <v>1</v>
      </c>
      <c r="F540" s="4">
        <v>14</v>
      </c>
      <c r="G540" s="4" t="b">
        <v>0</v>
      </c>
      <c r="H540" s="4">
        <v>1</v>
      </c>
      <c r="I540" s="4">
        <v>2</v>
      </c>
      <c r="J540" s="4">
        <v>0.14000000000000001</v>
      </c>
      <c r="K540" s="4">
        <v>0.13639999999999999</v>
      </c>
      <c r="L540" s="4">
        <v>0.46</v>
      </c>
      <c r="M540" s="4">
        <v>0.22389999999999999</v>
      </c>
      <c r="N540" s="4">
        <v>2</v>
      </c>
      <c r="O540" s="4">
        <v>43</v>
      </c>
      <c r="P540" s="4">
        <v>45</v>
      </c>
      <c r="Q540" s="4">
        <f>SUBTOTAL(109,Table6[casual])</f>
        <v>4921</v>
      </c>
      <c r="R540" s="4">
        <f>SUBTOTAL(109,Table6[registered])</f>
        <v>53383</v>
      </c>
      <c r="S540" s="4">
        <f>SUBTOTAL(109,Table6[cnt])</f>
        <v>58304</v>
      </c>
    </row>
    <row r="541" spans="1:19">
      <c r="A541" s="4">
        <v>540</v>
      </c>
      <c r="B541" s="5">
        <v>40567</v>
      </c>
      <c r="C541" s="4">
        <v>1</v>
      </c>
      <c r="D541" s="4">
        <v>0</v>
      </c>
      <c r="E541" s="4">
        <v>1</v>
      </c>
      <c r="F541" s="4">
        <v>15</v>
      </c>
      <c r="G541" s="4" t="b">
        <v>0</v>
      </c>
      <c r="H541" s="4">
        <v>1</v>
      </c>
      <c r="I541" s="4">
        <v>1</v>
      </c>
      <c r="J541" s="4">
        <v>0.16</v>
      </c>
      <c r="K541" s="4">
        <v>0.16669999999999999</v>
      </c>
      <c r="L541" s="4">
        <v>0.4</v>
      </c>
      <c r="M541" s="4">
        <v>0.16420000000000001</v>
      </c>
      <c r="N541" s="4">
        <v>7</v>
      </c>
      <c r="O541" s="4">
        <v>50</v>
      </c>
      <c r="P541" s="4">
        <v>57</v>
      </c>
      <c r="Q541" s="4">
        <f>SUBTOTAL(109,Table6[casual])</f>
        <v>4921</v>
      </c>
      <c r="R541" s="4">
        <f>SUBTOTAL(109,Table6[registered])</f>
        <v>53383</v>
      </c>
      <c r="S541" s="4">
        <f>SUBTOTAL(109,Table6[cnt])</f>
        <v>58304</v>
      </c>
    </row>
    <row r="542" spans="1:19">
      <c r="A542" s="4">
        <v>541</v>
      </c>
      <c r="B542" s="5">
        <v>40567</v>
      </c>
      <c r="C542" s="4">
        <v>1</v>
      </c>
      <c r="D542" s="4">
        <v>0</v>
      </c>
      <c r="E542" s="4">
        <v>1</v>
      </c>
      <c r="F542" s="4">
        <v>16</v>
      </c>
      <c r="G542" s="4" t="b">
        <v>0</v>
      </c>
      <c r="H542" s="4">
        <v>1</v>
      </c>
      <c r="I542" s="4">
        <v>1</v>
      </c>
      <c r="J542" s="4">
        <v>0.16</v>
      </c>
      <c r="K542" s="4">
        <v>0.1515</v>
      </c>
      <c r="L542" s="4">
        <v>0.47</v>
      </c>
      <c r="M542" s="4">
        <v>0.25369999999999998</v>
      </c>
      <c r="N542" s="4">
        <v>4</v>
      </c>
      <c r="O542" s="4">
        <v>66</v>
      </c>
      <c r="P542" s="4">
        <v>70</v>
      </c>
      <c r="Q542" s="4">
        <f>SUBTOTAL(109,Table6[casual])</f>
        <v>4921</v>
      </c>
      <c r="R542" s="4">
        <f>SUBTOTAL(109,Table6[registered])</f>
        <v>53383</v>
      </c>
      <c r="S542" s="4">
        <f>SUBTOTAL(109,Table6[cnt])</f>
        <v>58304</v>
      </c>
    </row>
    <row r="543" spans="1:19">
      <c r="A543" s="4">
        <v>542</v>
      </c>
      <c r="B543" s="5">
        <v>40567</v>
      </c>
      <c r="C543" s="4">
        <v>1</v>
      </c>
      <c r="D543" s="4">
        <v>0</v>
      </c>
      <c r="E543" s="4">
        <v>1</v>
      </c>
      <c r="F543" s="4">
        <v>17</v>
      </c>
      <c r="G543" s="4" t="b">
        <v>0</v>
      </c>
      <c r="H543" s="4">
        <v>1</v>
      </c>
      <c r="I543" s="4">
        <v>1</v>
      </c>
      <c r="J543" s="4">
        <v>0.14000000000000001</v>
      </c>
      <c r="K543" s="4">
        <v>0.1212</v>
      </c>
      <c r="L543" s="4">
        <v>0.5</v>
      </c>
      <c r="M543" s="4">
        <v>0.25369999999999998</v>
      </c>
      <c r="N543" s="4">
        <v>6</v>
      </c>
      <c r="O543" s="4">
        <v>178</v>
      </c>
      <c r="P543" s="4">
        <v>184</v>
      </c>
      <c r="Q543" s="4">
        <f>SUBTOTAL(109,Table6[casual])</f>
        <v>4921</v>
      </c>
      <c r="R543" s="4">
        <f>SUBTOTAL(109,Table6[registered])</f>
        <v>53383</v>
      </c>
      <c r="S543" s="4">
        <f>SUBTOTAL(109,Table6[cnt])</f>
        <v>58304</v>
      </c>
    </row>
    <row r="544" spans="1:19">
      <c r="A544" s="4">
        <v>543</v>
      </c>
      <c r="B544" s="5">
        <v>40567</v>
      </c>
      <c r="C544" s="4">
        <v>1</v>
      </c>
      <c r="D544" s="4">
        <v>0</v>
      </c>
      <c r="E544" s="4">
        <v>1</v>
      </c>
      <c r="F544" s="4">
        <v>18</v>
      </c>
      <c r="G544" s="4" t="b">
        <v>0</v>
      </c>
      <c r="H544" s="4">
        <v>1</v>
      </c>
      <c r="I544" s="4">
        <v>1</v>
      </c>
      <c r="J544" s="4">
        <v>0.14000000000000001</v>
      </c>
      <c r="K544" s="4">
        <v>0.13639999999999999</v>
      </c>
      <c r="L544" s="4">
        <v>0.59</v>
      </c>
      <c r="M544" s="4">
        <v>0.19400000000000001</v>
      </c>
      <c r="N544" s="4">
        <v>8</v>
      </c>
      <c r="O544" s="4">
        <v>145</v>
      </c>
      <c r="P544" s="4">
        <v>153</v>
      </c>
      <c r="Q544" s="4">
        <f>SUBTOTAL(109,Table6[casual])</f>
        <v>4921</v>
      </c>
      <c r="R544" s="4">
        <f>SUBTOTAL(109,Table6[registered])</f>
        <v>53383</v>
      </c>
      <c r="S544" s="4">
        <f>SUBTOTAL(109,Table6[cnt])</f>
        <v>58304</v>
      </c>
    </row>
    <row r="545" spans="1:19">
      <c r="A545" s="4">
        <v>544</v>
      </c>
      <c r="B545" s="5">
        <v>40567</v>
      </c>
      <c r="C545" s="4">
        <v>1</v>
      </c>
      <c r="D545" s="4">
        <v>0</v>
      </c>
      <c r="E545" s="4">
        <v>1</v>
      </c>
      <c r="F545" s="4">
        <v>19</v>
      </c>
      <c r="G545" s="4" t="b">
        <v>0</v>
      </c>
      <c r="H545" s="4">
        <v>1</v>
      </c>
      <c r="I545" s="4">
        <v>1</v>
      </c>
      <c r="J545" s="4">
        <v>0.14000000000000001</v>
      </c>
      <c r="K545" s="4">
        <v>0.1515</v>
      </c>
      <c r="L545" s="4">
        <v>0.54</v>
      </c>
      <c r="M545" s="4">
        <v>0.16420000000000001</v>
      </c>
      <c r="N545" s="4">
        <v>5</v>
      </c>
      <c r="O545" s="4">
        <v>101</v>
      </c>
      <c r="P545" s="4">
        <v>106</v>
      </c>
      <c r="Q545" s="4">
        <f>SUBTOTAL(109,Table6[casual])</f>
        <v>4921</v>
      </c>
      <c r="R545" s="4">
        <f>SUBTOTAL(109,Table6[registered])</f>
        <v>53383</v>
      </c>
      <c r="S545" s="4">
        <f>SUBTOTAL(109,Table6[cnt])</f>
        <v>58304</v>
      </c>
    </row>
    <row r="546" spans="1:19">
      <c r="A546" s="4">
        <v>545</v>
      </c>
      <c r="B546" s="5">
        <v>40567</v>
      </c>
      <c r="C546" s="4">
        <v>1</v>
      </c>
      <c r="D546" s="4">
        <v>0</v>
      </c>
      <c r="E546" s="4">
        <v>1</v>
      </c>
      <c r="F546" s="4">
        <v>20</v>
      </c>
      <c r="G546" s="4" t="b">
        <v>0</v>
      </c>
      <c r="H546" s="4">
        <v>1</v>
      </c>
      <c r="I546" s="4">
        <v>1</v>
      </c>
      <c r="J546" s="4">
        <v>0.14000000000000001</v>
      </c>
      <c r="K546" s="4">
        <v>0.13639999999999999</v>
      </c>
      <c r="L546" s="4">
        <v>0.59</v>
      </c>
      <c r="M546" s="4">
        <v>0.19400000000000001</v>
      </c>
      <c r="N546" s="4">
        <v>1</v>
      </c>
      <c r="O546" s="4">
        <v>80</v>
      </c>
      <c r="P546" s="4">
        <v>81</v>
      </c>
      <c r="Q546" s="4">
        <f>SUBTOTAL(109,Table6[casual])</f>
        <v>4921</v>
      </c>
      <c r="R546" s="4">
        <f>SUBTOTAL(109,Table6[registered])</f>
        <v>53383</v>
      </c>
      <c r="S546" s="4">
        <f>SUBTOTAL(109,Table6[cnt])</f>
        <v>58304</v>
      </c>
    </row>
    <row r="547" spans="1:19">
      <c r="A547" s="4">
        <v>546</v>
      </c>
      <c r="B547" s="5">
        <v>40567</v>
      </c>
      <c r="C547" s="4">
        <v>1</v>
      </c>
      <c r="D547" s="4">
        <v>0</v>
      </c>
      <c r="E547" s="4">
        <v>1</v>
      </c>
      <c r="F547" s="4">
        <v>21</v>
      </c>
      <c r="G547" s="4" t="b">
        <v>0</v>
      </c>
      <c r="H547" s="4">
        <v>1</v>
      </c>
      <c r="I547" s="4">
        <v>1</v>
      </c>
      <c r="J547" s="4">
        <v>0.14000000000000001</v>
      </c>
      <c r="K547" s="4">
        <v>0.1515</v>
      </c>
      <c r="L547" s="4">
        <v>0.63</v>
      </c>
      <c r="M547" s="4">
        <v>0.16420000000000001</v>
      </c>
      <c r="N547" s="4">
        <v>6</v>
      </c>
      <c r="O547" s="4">
        <v>53</v>
      </c>
      <c r="P547" s="4">
        <v>59</v>
      </c>
      <c r="Q547" s="4">
        <f>SUBTOTAL(109,Table6[casual])</f>
        <v>4921</v>
      </c>
      <c r="R547" s="4">
        <f>SUBTOTAL(109,Table6[registered])</f>
        <v>53383</v>
      </c>
      <c r="S547" s="4">
        <f>SUBTOTAL(109,Table6[cnt])</f>
        <v>58304</v>
      </c>
    </row>
    <row r="548" spans="1:19">
      <c r="A548" s="4">
        <v>547</v>
      </c>
      <c r="B548" s="5">
        <v>40567</v>
      </c>
      <c r="C548" s="4">
        <v>1</v>
      </c>
      <c r="D548" s="4">
        <v>0</v>
      </c>
      <c r="E548" s="4">
        <v>1</v>
      </c>
      <c r="F548" s="4">
        <v>22</v>
      </c>
      <c r="G548" s="4" t="b">
        <v>0</v>
      </c>
      <c r="H548" s="4">
        <v>1</v>
      </c>
      <c r="I548" s="4">
        <v>2</v>
      </c>
      <c r="J548" s="4">
        <v>0.14000000000000001</v>
      </c>
      <c r="K548" s="4">
        <v>0.13639999999999999</v>
      </c>
      <c r="L548" s="4">
        <v>0.63</v>
      </c>
      <c r="M548" s="4">
        <v>0.22389999999999999</v>
      </c>
      <c r="N548" s="4">
        <v>3</v>
      </c>
      <c r="O548" s="4">
        <v>32</v>
      </c>
      <c r="P548" s="4">
        <v>35</v>
      </c>
      <c r="Q548" s="4">
        <f>SUBTOTAL(109,Table6[casual])</f>
        <v>4921</v>
      </c>
      <c r="R548" s="4">
        <f>SUBTOTAL(109,Table6[registered])</f>
        <v>53383</v>
      </c>
      <c r="S548" s="4">
        <f>SUBTOTAL(109,Table6[cnt])</f>
        <v>58304</v>
      </c>
    </row>
    <row r="549" spans="1:19">
      <c r="A549" s="4">
        <v>548</v>
      </c>
      <c r="B549" s="5">
        <v>40567</v>
      </c>
      <c r="C549" s="4">
        <v>1</v>
      </c>
      <c r="D549" s="4">
        <v>0</v>
      </c>
      <c r="E549" s="4">
        <v>1</v>
      </c>
      <c r="F549" s="4">
        <v>23</v>
      </c>
      <c r="G549" s="4" t="b">
        <v>0</v>
      </c>
      <c r="H549" s="4">
        <v>1</v>
      </c>
      <c r="I549" s="4">
        <v>2</v>
      </c>
      <c r="J549" s="4">
        <v>0.16</v>
      </c>
      <c r="K549" s="4">
        <v>0.1515</v>
      </c>
      <c r="L549" s="4">
        <v>0.64</v>
      </c>
      <c r="M549" s="4">
        <v>0.25369999999999998</v>
      </c>
      <c r="N549" s="4">
        <v>3</v>
      </c>
      <c r="O549" s="4">
        <v>21</v>
      </c>
      <c r="P549" s="4">
        <v>24</v>
      </c>
      <c r="Q549" s="4">
        <f>SUBTOTAL(109,Table6[casual])</f>
        <v>4921</v>
      </c>
      <c r="R549" s="4">
        <f>SUBTOTAL(109,Table6[registered])</f>
        <v>53383</v>
      </c>
      <c r="S549" s="4">
        <f>SUBTOTAL(109,Table6[cnt])</f>
        <v>58304</v>
      </c>
    </row>
    <row r="550" spans="1:19">
      <c r="A550" s="4">
        <v>549</v>
      </c>
      <c r="B550" s="5">
        <v>40568</v>
      </c>
      <c r="C550" s="4">
        <v>1</v>
      </c>
      <c r="D550" s="4">
        <v>0</v>
      </c>
      <c r="E550" s="4">
        <v>1</v>
      </c>
      <c r="F550" s="4">
        <v>0</v>
      </c>
      <c r="G550" s="4" t="b">
        <v>0</v>
      </c>
      <c r="H550" s="4">
        <v>2</v>
      </c>
      <c r="I550" s="4">
        <v>2</v>
      </c>
      <c r="J550" s="4">
        <v>0.16</v>
      </c>
      <c r="K550" s="4">
        <v>0.13639999999999999</v>
      </c>
      <c r="L550" s="4">
        <v>0.69</v>
      </c>
      <c r="M550" s="4">
        <v>0.28360000000000002</v>
      </c>
      <c r="N550" s="4">
        <v>3</v>
      </c>
      <c r="O550" s="4">
        <v>6</v>
      </c>
      <c r="P550" s="4">
        <v>9</v>
      </c>
      <c r="Q550" s="4">
        <f>SUBTOTAL(109,Table6[casual])</f>
        <v>4921</v>
      </c>
      <c r="R550" s="4">
        <f>SUBTOTAL(109,Table6[registered])</f>
        <v>53383</v>
      </c>
      <c r="S550" s="4">
        <f>SUBTOTAL(109,Table6[cnt])</f>
        <v>58304</v>
      </c>
    </row>
    <row r="551" spans="1:19">
      <c r="A551" s="4">
        <v>550</v>
      </c>
      <c r="B551" s="5">
        <v>40568</v>
      </c>
      <c r="C551" s="4">
        <v>1</v>
      </c>
      <c r="D551" s="4">
        <v>0</v>
      </c>
      <c r="E551" s="4">
        <v>1</v>
      </c>
      <c r="F551" s="4">
        <v>1</v>
      </c>
      <c r="G551" s="4" t="b">
        <v>0</v>
      </c>
      <c r="H551" s="4">
        <v>2</v>
      </c>
      <c r="I551" s="4">
        <v>2</v>
      </c>
      <c r="J551" s="4">
        <v>0.16</v>
      </c>
      <c r="K551" s="4">
        <v>0.16669999999999999</v>
      </c>
      <c r="L551" s="4">
        <v>0.69</v>
      </c>
      <c r="M551" s="4">
        <v>0.16420000000000001</v>
      </c>
      <c r="N551" s="4">
        <v>0</v>
      </c>
      <c r="O551" s="4">
        <v>5</v>
      </c>
      <c r="P551" s="4">
        <v>5</v>
      </c>
      <c r="Q551" s="4">
        <f>SUBTOTAL(109,Table6[casual])</f>
        <v>4921</v>
      </c>
      <c r="R551" s="4">
        <f>SUBTOTAL(109,Table6[registered])</f>
        <v>53383</v>
      </c>
      <c r="S551" s="4">
        <f>SUBTOTAL(109,Table6[cnt])</f>
        <v>58304</v>
      </c>
    </row>
    <row r="552" spans="1:19">
      <c r="A552" s="4">
        <v>551</v>
      </c>
      <c r="B552" s="5">
        <v>40568</v>
      </c>
      <c r="C552" s="4">
        <v>1</v>
      </c>
      <c r="D552" s="4">
        <v>0</v>
      </c>
      <c r="E552" s="4">
        <v>1</v>
      </c>
      <c r="F552" s="4">
        <v>2</v>
      </c>
      <c r="G552" s="4" t="b">
        <v>0</v>
      </c>
      <c r="H552" s="4">
        <v>2</v>
      </c>
      <c r="I552" s="4">
        <v>1</v>
      </c>
      <c r="J552" s="4">
        <v>0.16</v>
      </c>
      <c r="K552" s="4">
        <v>0.1515</v>
      </c>
      <c r="L552" s="4">
        <v>0.69</v>
      </c>
      <c r="M552" s="4">
        <v>0.22389999999999999</v>
      </c>
      <c r="N552" s="4">
        <v>0</v>
      </c>
      <c r="O552" s="4">
        <v>2</v>
      </c>
      <c r="P552" s="4">
        <v>2</v>
      </c>
      <c r="Q552" s="4">
        <f>SUBTOTAL(109,Table6[casual])</f>
        <v>4921</v>
      </c>
      <c r="R552" s="4">
        <f>SUBTOTAL(109,Table6[registered])</f>
        <v>53383</v>
      </c>
      <c r="S552" s="4">
        <f>SUBTOTAL(109,Table6[cnt])</f>
        <v>58304</v>
      </c>
    </row>
    <row r="553" spans="1:19">
      <c r="A553" s="4">
        <v>552</v>
      </c>
      <c r="B553" s="5">
        <v>40568</v>
      </c>
      <c r="C553" s="4">
        <v>1</v>
      </c>
      <c r="D553" s="4">
        <v>0</v>
      </c>
      <c r="E553" s="4">
        <v>1</v>
      </c>
      <c r="F553" s="4">
        <v>4</v>
      </c>
      <c r="G553" s="4" t="b">
        <v>0</v>
      </c>
      <c r="H553" s="4">
        <v>2</v>
      </c>
      <c r="I553" s="4">
        <v>1</v>
      </c>
      <c r="J553" s="4">
        <v>0.14000000000000001</v>
      </c>
      <c r="K553" s="4">
        <v>0.16669999999999999</v>
      </c>
      <c r="L553" s="4">
        <v>0.74</v>
      </c>
      <c r="M553" s="4">
        <v>0.1045</v>
      </c>
      <c r="N553" s="4">
        <v>0</v>
      </c>
      <c r="O553" s="4">
        <v>1</v>
      </c>
      <c r="P553" s="4">
        <v>1</v>
      </c>
      <c r="Q553" s="4">
        <f>SUBTOTAL(109,Table6[casual])</f>
        <v>4921</v>
      </c>
      <c r="R553" s="4">
        <f>SUBTOTAL(109,Table6[registered])</f>
        <v>53383</v>
      </c>
      <c r="S553" s="4">
        <f>SUBTOTAL(109,Table6[cnt])</f>
        <v>58304</v>
      </c>
    </row>
    <row r="554" spans="1:19">
      <c r="A554" s="4">
        <v>553</v>
      </c>
      <c r="B554" s="5">
        <v>40568</v>
      </c>
      <c r="C554" s="4">
        <v>1</v>
      </c>
      <c r="D554" s="4">
        <v>0</v>
      </c>
      <c r="E554" s="4">
        <v>1</v>
      </c>
      <c r="F554" s="4">
        <v>5</v>
      </c>
      <c r="G554" s="4" t="b">
        <v>0</v>
      </c>
      <c r="H554" s="4">
        <v>2</v>
      </c>
      <c r="I554" s="4">
        <v>1</v>
      </c>
      <c r="J554" s="4">
        <v>0.14000000000000001</v>
      </c>
      <c r="K554" s="4">
        <v>0.13639999999999999</v>
      </c>
      <c r="L554" s="4">
        <v>0.74</v>
      </c>
      <c r="M554" s="4">
        <v>0.22389999999999999</v>
      </c>
      <c r="N554" s="4">
        <v>0</v>
      </c>
      <c r="O554" s="4">
        <v>9</v>
      </c>
      <c r="P554" s="4">
        <v>9</v>
      </c>
      <c r="Q554" s="4">
        <f>SUBTOTAL(109,Table6[casual])</f>
        <v>4921</v>
      </c>
      <c r="R554" s="4">
        <f>SUBTOTAL(109,Table6[registered])</f>
        <v>53383</v>
      </c>
      <c r="S554" s="4">
        <f>SUBTOTAL(109,Table6[cnt])</f>
        <v>58304</v>
      </c>
    </row>
    <row r="555" spans="1:19">
      <c r="A555" s="4">
        <v>554</v>
      </c>
      <c r="B555" s="5">
        <v>40568</v>
      </c>
      <c r="C555" s="4">
        <v>1</v>
      </c>
      <c r="D555" s="4">
        <v>0</v>
      </c>
      <c r="E555" s="4">
        <v>1</v>
      </c>
      <c r="F555" s="4">
        <v>6</v>
      </c>
      <c r="G555" s="4" t="b">
        <v>0</v>
      </c>
      <c r="H555" s="4">
        <v>2</v>
      </c>
      <c r="I555" s="4">
        <v>1</v>
      </c>
      <c r="J555" s="4">
        <v>0.16</v>
      </c>
      <c r="K555" s="4">
        <v>0.18179999999999999</v>
      </c>
      <c r="L555" s="4">
        <v>0.74</v>
      </c>
      <c r="M555" s="4">
        <v>0.1045</v>
      </c>
      <c r="N555" s="4">
        <v>1</v>
      </c>
      <c r="O555" s="4">
        <v>35</v>
      </c>
      <c r="P555" s="4">
        <v>36</v>
      </c>
      <c r="Q555" s="4">
        <f>SUBTOTAL(109,Table6[casual])</f>
        <v>4921</v>
      </c>
      <c r="R555" s="4">
        <f>SUBTOTAL(109,Table6[registered])</f>
        <v>53383</v>
      </c>
      <c r="S555" s="4">
        <f>SUBTOTAL(109,Table6[cnt])</f>
        <v>58304</v>
      </c>
    </row>
    <row r="556" spans="1:19">
      <c r="A556" s="4">
        <v>555</v>
      </c>
      <c r="B556" s="5">
        <v>40568</v>
      </c>
      <c r="C556" s="4">
        <v>1</v>
      </c>
      <c r="D556" s="4">
        <v>0</v>
      </c>
      <c r="E556" s="4">
        <v>1</v>
      </c>
      <c r="F556" s="4">
        <v>7</v>
      </c>
      <c r="G556" s="4" t="b">
        <v>0</v>
      </c>
      <c r="H556" s="4">
        <v>2</v>
      </c>
      <c r="I556" s="4">
        <v>1</v>
      </c>
      <c r="J556" s="4">
        <v>0.16</v>
      </c>
      <c r="K556" s="4">
        <v>0.1515</v>
      </c>
      <c r="L556" s="4">
        <v>0.74</v>
      </c>
      <c r="M556" s="4">
        <v>0.22389999999999999</v>
      </c>
      <c r="N556" s="4">
        <v>5</v>
      </c>
      <c r="O556" s="4">
        <v>103</v>
      </c>
      <c r="P556" s="4">
        <v>108</v>
      </c>
      <c r="Q556" s="4">
        <f>SUBTOTAL(109,Table6[casual])</f>
        <v>4921</v>
      </c>
      <c r="R556" s="4">
        <f>SUBTOTAL(109,Table6[registered])</f>
        <v>53383</v>
      </c>
      <c r="S556" s="4">
        <f>SUBTOTAL(109,Table6[cnt])</f>
        <v>58304</v>
      </c>
    </row>
    <row r="557" spans="1:19">
      <c r="A557" s="4">
        <v>556</v>
      </c>
      <c r="B557" s="5">
        <v>40568</v>
      </c>
      <c r="C557" s="4">
        <v>1</v>
      </c>
      <c r="D557" s="4">
        <v>0</v>
      </c>
      <c r="E557" s="4">
        <v>1</v>
      </c>
      <c r="F557" s="4">
        <v>8</v>
      </c>
      <c r="G557" s="4" t="b">
        <v>0</v>
      </c>
      <c r="H557" s="4">
        <v>2</v>
      </c>
      <c r="I557" s="4">
        <v>2</v>
      </c>
      <c r="J557" s="4">
        <v>0.16</v>
      </c>
      <c r="K557" s="4">
        <v>0.18179999999999999</v>
      </c>
      <c r="L557" s="4">
        <v>0.74</v>
      </c>
      <c r="M557" s="4">
        <v>0.1343</v>
      </c>
      <c r="N557" s="4">
        <v>5</v>
      </c>
      <c r="O557" s="4">
        <v>233</v>
      </c>
      <c r="P557" s="4">
        <v>238</v>
      </c>
      <c r="Q557" s="4">
        <f>SUBTOTAL(109,Table6[casual])</f>
        <v>4921</v>
      </c>
      <c r="R557" s="4">
        <f>SUBTOTAL(109,Table6[registered])</f>
        <v>53383</v>
      </c>
      <c r="S557" s="4">
        <f>SUBTOTAL(109,Table6[cnt])</f>
        <v>58304</v>
      </c>
    </row>
    <row r="558" spans="1:19">
      <c r="A558" s="4">
        <v>557</v>
      </c>
      <c r="B558" s="5">
        <v>40568</v>
      </c>
      <c r="C558" s="4">
        <v>1</v>
      </c>
      <c r="D558" s="4">
        <v>0</v>
      </c>
      <c r="E558" s="4">
        <v>1</v>
      </c>
      <c r="F558" s="4">
        <v>9</v>
      </c>
      <c r="G558" s="4" t="b">
        <v>0</v>
      </c>
      <c r="H558" s="4">
        <v>2</v>
      </c>
      <c r="I558" s="4">
        <v>2</v>
      </c>
      <c r="J558" s="4">
        <v>0.2</v>
      </c>
      <c r="K558" s="4">
        <v>0.2273</v>
      </c>
      <c r="L558" s="4">
        <v>0.64</v>
      </c>
      <c r="M558" s="4">
        <v>8.9599999999999999E-2</v>
      </c>
      <c r="N558" s="4">
        <v>10</v>
      </c>
      <c r="O558" s="4">
        <v>134</v>
      </c>
      <c r="P558" s="4">
        <v>144</v>
      </c>
      <c r="Q558" s="4">
        <f>SUBTOTAL(109,Table6[casual])</f>
        <v>4921</v>
      </c>
      <c r="R558" s="4">
        <f>SUBTOTAL(109,Table6[registered])</f>
        <v>53383</v>
      </c>
      <c r="S558" s="4">
        <f>SUBTOTAL(109,Table6[cnt])</f>
        <v>58304</v>
      </c>
    </row>
    <row r="559" spans="1:19">
      <c r="A559" s="4">
        <v>558</v>
      </c>
      <c r="B559" s="5">
        <v>40568</v>
      </c>
      <c r="C559" s="4">
        <v>1</v>
      </c>
      <c r="D559" s="4">
        <v>0</v>
      </c>
      <c r="E559" s="4">
        <v>1</v>
      </c>
      <c r="F559" s="4">
        <v>10</v>
      </c>
      <c r="G559" s="4" t="b">
        <v>0</v>
      </c>
      <c r="H559" s="4">
        <v>2</v>
      </c>
      <c r="I559" s="4">
        <v>2</v>
      </c>
      <c r="J559" s="4">
        <v>0.22</v>
      </c>
      <c r="K559" s="4">
        <v>0.2424</v>
      </c>
      <c r="L559" s="4">
        <v>0.6</v>
      </c>
      <c r="M559" s="4">
        <v>0.1045</v>
      </c>
      <c r="N559" s="4">
        <v>6</v>
      </c>
      <c r="O559" s="4">
        <v>49</v>
      </c>
      <c r="P559" s="4">
        <v>55</v>
      </c>
      <c r="Q559" s="4">
        <f>SUBTOTAL(109,Table6[casual])</f>
        <v>4921</v>
      </c>
      <c r="R559" s="4">
        <f>SUBTOTAL(109,Table6[registered])</f>
        <v>53383</v>
      </c>
      <c r="S559" s="4">
        <f>SUBTOTAL(109,Table6[cnt])</f>
        <v>58304</v>
      </c>
    </row>
    <row r="560" spans="1:19">
      <c r="A560" s="4">
        <v>559</v>
      </c>
      <c r="B560" s="5">
        <v>40568</v>
      </c>
      <c r="C560" s="4">
        <v>1</v>
      </c>
      <c r="D560" s="4">
        <v>0</v>
      </c>
      <c r="E560" s="4">
        <v>1</v>
      </c>
      <c r="F560" s="4">
        <v>11</v>
      </c>
      <c r="G560" s="4" t="b">
        <v>0</v>
      </c>
      <c r="H560" s="4">
        <v>2</v>
      </c>
      <c r="I560" s="4">
        <v>2</v>
      </c>
      <c r="J560" s="4">
        <v>0.24</v>
      </c>
      <c r="K560" s="4">
        <v>0.2424</v>
      </c>
      <c r="L560" s="4">
        <v>0.6</v>
      </c>
      <c r="M560" s="4">
        <v>0.1343</v>
      </c>
      <c r="N560" s="4">
        <v>6</v>
      </c>
      <c r="O560" s="4">
        <v>55</v>
      </c>
      <c r="P560" s="4">
        <v>61</v>
      </c>
      <c r="Q560" s="4">
        <f>SUBTOTAL(109,Table6[casual])</f>
        <v>4921</v>
      </c>
      <c r="R560" s="4">
        <f>SUBTOTAL(109,Table6[registered])</f>
        <v>53383</v>
      </c>
      <c r="S560" s="4">
        <f>SUBTOTAL(109,Table6[cnt])</f>
        <v>58304</v>
      </c>
    </row>
    <row r="561" spans="1:19">
      <c r="A561" s="4">
        <v>560</v>
      </c>
      <c r="B561" s="5">
        <v>40568</v>
      </c>
      <c r="C561" s="4">
        <v>1</v>
      </c>
      <c r="D561" s="4">
        <v>0</v>
      </c>
      <c r="E561" s="4">
        <v>1</v>
      </c>
      <c r="F561" s="4">
        <v>12</v>
      </c>
      <c r="G561" s="4" t="b">
        <v>0</v>
      </c>
      <c r="H561" s="4">
        <v>2</v>
      </c>
      <c r="I561" s="4">
        <v>2</v>
      </c>
      <c r="J561" s="4">
        <v>0.26</v>
      </c>
      <c r="K561" s="4">
        <v>0.28789999999999999</v>
      </c>
      <c r="L561" s="4">
        <v>0.56000000000000005</v>
      </c>
      <c r="M561" s="4">
        <v>8.9599999999999999E-2</v>
      </c>
      <c r="N561" s="4">
        <v>21</v>
      </c>
      <c r="O561" s="4">
        <v>85</v>
      </c>
      <c r="P561" s="4">
        <v>106</v>
      </c>
      <c r="Q561" s="4">
        <f>SUBTOTAL(109,Table6[casual])</f>
        <v>4921</v>
      </c>
      <c r="R561" s="4">
        <f>SUBTOTAL(109,Table6[registered])</f>
        <v>53383</v>
      </c>
      <c r="S561" s="4">
        <f>SUBTOTAL(109,Table6[cnt])</f>
        <v>58304</v>
      </c>
    </row>
    <row r="562" spans="1:19">
      <c r="A562" s="4">
        <v>561</v>
      </c>
      <c r="B562" s="5">
        <v>40568</v>
      </c>
      <c r="C562" s="4">
        <v>1</v>
      </c>
      <c r="D562" s="4">
        <v>0</v>
      </c>
      <c r="E562" s="4">
        <v>1</v>
      </c>
      <c r="F562" s="4">
        <v>13</v>
      </c>
      <c r="G562" s="4" t="b">
        <v>0</v>
      </c>
      <c r="H562" s="4">
        <v>2</v>
      </c>
      <c r="I562" s="4">
        <v>2</v>
      </c>
      <c r="J562" s="4">
        <v>0.26</v>
      </c>
      <c r="K562" s="4">
        <v>0.2727</v>
      </c>
      <c r="L562" s="4">
        <v>0.56000000000000005</v>
      </c>
      <c r="M562" s="4">
        <v>0.1343</v>
      </c>
      <c r="N562" s="4">
        <v>21</v>
      </c>
      <c r="O562" s="4">
        <v>72</v>
      </c>
      <c r="P562" s="4">
        <v>93</v>
      </c>
      <c r="Q562" s="4">
        <f>SUBTOTAL(109,Table6[casual])</f>
        <v>4921</v>
      </c>
      <c r="R562" s="4">
        <f>SUBTOTAL(109,Table6[registered])</f>
        <v>53383</v>
      </c>
      <c r="S562" s="4">
        <f>SUBTOTAL(109,Table6[cnt])</f>
        <v>58304</v>
      </c>
    </row>
    <row r="563" spans="1:19">
      <c r="A563" s="4">
        <v>562</v>
      </c>
      <c r="B563" s="5">
        <v>40568</v>
      </c>
      <c r="C563" s="4">
        <v>1</v>
      </c>
      <c r="D563" s="4">
        <v>0</v>
      </c>
      <c r="E563" s="4">
        <v>1</v>
      </c>
      <c r="F563" s="4">
        <v>14</v>
      </c>
      <c r="G563" s="4" t="b">
        <v>0</v>
      </c>
      <c r="H563" s="4">
        <v>2</v>
      </c>
      <c r="I563" s="4">
        <v>2</v>
      </c>
      <c r="J563" s="4">
        <v>0.3</v>
      </c>
      <c r="K563" s="4">
        <v>0.33329999999999999</v>
      </c>
      <c r="L563" s="4">
        <v>0.45</v>
      </c>
      <c r="M563" s="4">
        <v>0</v>
      </c>
      <c r="N563" s="4">
        <v>11</v>
      </c>
      <c r="O563" s="4">
        <v>57</v>
      </c>
      <c r="P563" s="4">
        <v>68</v>
      </c>
      <c r="Q563" s="4">
        <f>SUBTOTAL(109,Table6[casual])</f>
        <v>4921</v>
      </c>
      <c r="R563" s="4">
        <f>SUBTOTAL(109,Table6[registered])</f>
        <v>53383</v>
      </c>
      <c r="S563" s="4">
        <f>SUBTOTAL(109,Table6[cnt])</f>
        <v>58304</v>
      </c>
    </row>
    <row r="564" spans="1:19">
      <c r="A564" s="4">
        <v>563</v>
      </c>
      <c r="B564" s="5">
        <v>40568</v>
      </c>
      <c r="C564" s="4">
        <v>1</v>
      </c>
      <c r="D564" s="4">
        <v>0</v>
      </c>
      <c r="E564" s="4">
        <v>1</v>
      </c>
      <c r="F564" s="4">
        <v>15</v>
      </c>
      <c r="G564" s="4" t="b">
        <v>0</v>
      </c>
      <c r="H564" s="4">
        <v>2</v>
      </c>
      <c r="I564" s="4">
        <v>2</v>
      </c>
      <c r="J564" s="4">
        <v>0.32</v>
      </c>
      <c r="K564" s="4">
        <v>0.34849999999999998</v>
      </c>
      <c r="L564" s="4">
        <v>0.42</v>
      </c>
      <c r="M564" s="4">
        <v>0</v>
      </c>
      <c r="N564" s="4">
        <v>21</v>
      </c>
      <c r="O564" s="4">
        <v>63</v>
      </c>
      <c r="P564" s="4">
        <v>84</v>
      </c>
      <c r="Q564" s="4">
        <f>SUBTOTAL(109,Table6[casual])</f>
        <v>4921</v>
      </c>
      <c r="R564" s="4">
        <f>SUBTOTAL(109,Table6[registered])</f>
        <v>53383</v>
      </c>
      <c r="S564" s="4">
        <f>SUBTOTAL(109,Table6[cnt])</f>
        <v>58304</v>
      </c>
    </row>
    <row r="565" spans="1:19">
      <c r="A565" s="4">
        <v>564</v>
      </c>
      <c r="B565" s="5">
        <v>40568</v>
      </c>
      <c r="C565" s="4">
        <v>1</v>
      </c>
      <c r="D565" s="4">
        <v>0</v>
      </c>
      <c r="E565" s="4">
        <v>1</v>
      </c>
      <c r="F565" s="4">
        <v>16</v>
      </c>
      <c r="G565" s="4" t="b">
        <v>0</v>
      </c>
      <c r="H565" s="4">
        <v>2</v>
      </c>
      <c r="I565" s="4">
        <v>2</v>
      </c>
      <c r="J565" s="4">
        <v>0.32</v>
      </c>
      <c r="K565" s="4">
        <v>0.34849999999999998</v>
      </c>
      <c r="L565" s="4">
        <v>0.42</v>
      </c>
      <c r="M565" s="4">
        <v>0</v>
      </c>
      <c r="N565" s="4">
        <v>14</v>
      </c>
      <c r="O565" s="4">
        <v>102</v>
      </c>
      <c r="P565" s="4">
        <v>116</v>
      </c>
      <c r="Q565" s="4">
        <f>SUBTOTAL(109,Table6[casual])</f>
        <v>4921</v>
      </c>
      <c r="R565" s="4">
        <f>SUBTOTAL(109,Table6[registered])</f>
        <v>53383</v>
      </c>
      <c r="S565" s="4">
        <f>SUBTOTAL(109,Table6[cnt])</f>
        <v>58304</v>
      </c>
    </row>
    <row r="566" spans="1:19">
      <c r="A566" s="4">
        <v>565</v>
      </c>
      <c r="B566" s="5">
        <v>40568</v>
      </c>
      <c r="C566" s="4">
        <v>1</v>
      </c>
      <c r="D566" s="4">
        <v>0</v>
      </c>
      <c r="E566" s="4">
        <v>1</v>
      </c>
      <c r="F566" s="4">
        <v>17</v>
      </c>
      <c r="G566" s="4" t="b">
        <v>0</v>
      </c>
      <c r="H566" s="4">
        <v>2</v>
      </c>
      <c r="I566" s="4">
        <v>1</v>
      </c>
      <c r="J566" s="4">
        <v>0.3</v>
      </c>
      <c r="K566" s="4">
        <v>0.33329999999999999</v>
      </c>
      <c r="L566" s="4">
        <v>0.45</v>
      </c>
      <c r="M566" s="4">
        <v>0</v>
      </c>
      <c r="N566" s="4">
        <v>14</v>
      </c>
      <c r="O566" s="4">
        <v>208</v>
      </c>
      <c r="P566" s="4">
        <v>222</v>
      </c>
      <c r="Q566" s="4">
        <f>SUBTOTAL(109,Table6[casual])</f>
        <v>4921</v>
      </c>
      <c r="R566" s="4">
        <f>SUBTOTAL(109,Table6[registered])</f>
        <v>53383</v>
      </c>
      <c r="S566" s="4">
        <f>SUBTOTAL(109,Table6[cnt])</f>
        <v>58304</v>
      </c>
    </row>
    <row r="567" spans="1:19">
      <c r="A567" s="4">
        <v>566</v>
      </c>
      <c r="B567" s="5">
        <v>40568</v>
      </c>
      <c r="C567" s="4">
        <v>1</v>
      </c>
      <c r="D567" s="4">
        <v>0</v>
      </c>
      <c r="E567" s="4">
        <v>1</v>
      </c>
      <c r="F567" s="4">
        <v>18</v>
      </c>
      <c r="G567" s="4" t="b">
        <v>0</v>
      </c>
      <c r="H567" s="4">
        <v>2</v>
      </c>
      <c r="I567" s="4">
        <v>2</v>
      </c>
      <c r="J567" s="4">
        <v>0.3</v>
      </c>
      <c r="K567" s="4">
        <v>0.31819999999999998</v>
      </c>
      <c r="L567" s="4">
        <v>0.49</v>
      </c>
      <c r="M567" s="4">
        <v>8.9599999999999999E-2</v>
      </c>
      <c r="N567" s="4">
        <v>7</v>
      </c>
      <c r="O567" s="4">
        <v>218</v>
      </c>
      <c r="P567" s="4">
        <v>225</v>
      </c>
      <c r="Q567" s="4">
        <f>SUBTOTAL(109,Table6[casual])</f>
        <v>4921</v>
      </c>
      <c r="R567" s="4">
        <f>SUBTOTAL(109,Table6[registered])</f>
        <v>53383</v>
      </c>
      <c r="S567" s="4">
        <f>SUBTOTAL(109,Table6[cnt])</f>
        <v>58304</v>
      </c>
    </row>
    <row r="568" spans="1:19">
      <c r="A568" s="4">
        <v>567</v>
      </c>
      <c r="B568" s="5">
        <v>40568</v>
      </c>
      <c r="C568" s="4">
        <v>1</v>
      </c>
      <c r="D568" s="4">
        <v>0</v>
      </c>
      <c r="E568" s="4">
        <v>1</v>
      </c>
      <c r="F568" s="4">
        <v>19</v>
      </c>
      <c r="G568" s="4" t="b">
        <v>0</v>
      </c>
      <c r="H568" s="4">
        <v>2</v>
      </c>
      <c r="I568" s="4">
        <v>2</v>
      </c>
      <c r="J568" s="4">
        <v>0.26</v>
      </c>
      <c r="K568" s="4">
        <v>0.2576</v>
      </c>
      <c r="L568" s="4">
        <v>0.65</v>
      </c>
      <c r="M568" s="4">
        <v>0.16420000000000001</v>
      </c>
      <c r="N568" s="4">
        <v>13</v>
      </c>
      <c r="O568" s="4">
        <v>133</v>
      </c>
      <c r="P568" s="4">
        <v>146</v>
      </c>
      <c r="Q568" s="4">
        <f>SUBTOTAL(109,Table6[casual])</f>
        <v>4921</v>
      </c>
      <c r="R568" s="4">
        <f>SUBTOTAL(109,Table6[registered])</f>
        <v>53383</v>
      </c>
      <c r="S568" s="4">
        <f>SUBTOTAL(109,Table6[cnt])</f>
        <v>58304</v>
      </c>
    </row>
    <row r="569" spans="1:19">
      <c r="A569" s="4">
        <v>568</v>
      </c>
      <c r="B569" s="5">
        <v>40568</v>
      </c>
      <c r="C569" s="4">
        <v>1</v>
      </c>
      <c r="D569" s="4">
        <v>0</v>
      </c>
      <c r="E569" s="4">
        <v>1</v>
      </c>
      <c r="F569" s="4">
        <v>20</v>
      </c>
      <c r="G569" s="4" t="b">
        <v>0</v>
      </c>
      <c r="H569" s="4">
        <v>2</v>
      </c>
      <c r="I569" s="4">
        <v>1</v>
      </c>
      <c r="J569" s="4">
        <v>0.24</v>
      </c>
      <c r="K569" s="4">
        <v>0.2273</v>
      </c>
      <c r="L569" s="4">
        <v>0.65</v>
      </c>
      <c r="M569" s="4">
        <v>0.19400000000000001</v>
      </c>
      <c r="N569" s="4">
        <v>16</v>
      </c>
      <c r="O569" s="4">
        <v>103</v>
      </c>
      <c r="P569" s="4">
        <v>119</v>
      </c>
      <c r="Q569" s="4">
        <f>SUBTOTAL(109,Table6[casual])</f>
        <v>4921</v>
      </c>
      <c r="R569" s="4">
        <f>SUBTOTAL(109,Table6[registered])</f>
        <v>53383</v>
      </c>
      <c r="S569" s="4">
        <f>SUBTOTAL(109,Table6[cnt])</f>
        <v>58304</v>
      </c>
    </row>
    <row r="570" spans="1:19">
      <c r="A570" s="4">
        <v>569</v>
      </c>
      <c r="B570" s="5">
        <v>40568</v>
      </c>
      <c r="C570" s="4">
        <v>1</v>
      </c>
      <c r="D570" s="4">
        <v>0</v>
      </c>
      <c r="E570" s="4">
        <v>1</v>
      </c>
      <c r="F570" s="4">
        <v>21</v>
      </c>
      <c r="G570" s="4" t="b">
        <v>0</v>
      </c>
      <c r="H570" s="4">
        <v>2</v>
      </c>
      <c r="I570" s="4">
        <v>1</v>
      </c>
      <c r="J570" s="4">
        <v>0.24</v>
      </c>
      <c r="K570" s="4">
        <v>0.2273</v>
      </c>
      <c r="L570" s="4">
        <v>0.65</v>
      </c>
      <c r="M570" s="4">
        <v>0.19400000000000001</v>
      </c>
      <c r="N570" s="4">
        <v>5</v>
      </c>
      <c r="O570" s="4">
        <v>40</v>
      </c>
      <c r="P570" s="4">
        <v>45</v>
      </c>
      <c r="Q570" s="4">
        <f>SUBTOTAL(109,Table6[casual])</f>
        <v>4921</v>
      </c>
      <c r="R570" s="4">
        <f>SUBTOTAL(109,Table6[registered])</f>
        <v>53383</v>
      </c>
      <c r="S570" s="4">
        <f>SUBTOTAL(109,Table6[cnt])</f>
        <v>58304</v>
      </c>
    </row>
    <row r="571" spans="1:19">
      <c r="A571" s="4">
        <v>570</v>
      </c>
      <c r="B571" s="5">
        <v>40568</v>
      </c>
      <c r="C571" s="4">
        <v>1</v>
      </c>
      <c r="D571" s="4">
        <v>0</v>
      </c>
      <c r="E571" s="4">
        <v>1</v>
      </c>
      <c r="F571" s="4">
        <v>22</v>
      </c>
      <c r="G571" s="4" t="b">
        <v>0</v>
      </c>
      <c r="H571" s="4">
        <v>2</v>
      </c>
      <c r="I571" s="4">
        <v>1</v>
      </c>
      <c r="J571" s="4">
        <v>0.22</v>
      </c>
      <c r="K571" s="4">
        <v>0.2273</v>
      </c>
      <c r="L571" s="4">
        <v>0.64</v>
      </c>
      <c r="M571" s="4">
        <v>0.16420000000000001</v>
      </c>
      <c r="N571" s="4">
        <v>4</v>
      </c>
      <c r="O571" s="4">
        <v>49</v>
      </c>
      <c r="P571" s="4">
        <v>53</v>
      </c>
      <c r="Q571" s="4">
        <f>SUBTOTAL(109,Table6[casual])</f>
        <v>4921</v>
      </c>
      <c r="R571" s="4">
        <f>SUBTOTAL(109,Table6[registered])</f>
        <v>53383</v>
      </c>
      <c r="S571" s="4">
        <f>SUBTOTAL(109,Table6[cnt])</f>
        <v>58304</v>
      </c>
    </row>
    <row r="572" spans="1:19">
      <c r="A572" s="4">
        <v>571</v>
      </c>
      <c r="B572" s="5">
        <v>40568</v>
      </c>
      <c r="C572" s="4">
        <v>1</v>
      </c>
      <c r="D572" s="4">
        <v>0</v>
      </c>
      <c r="E572" s="4">
        <v>1</v>
      </c>
      <c r="F572" s="4">
        <v>23</v>
      </c>
      <c r="G572" s="4" t="b">
        <v>0</v>
      </c>
      <c r="H572" s="4">
        <v>2</v>
      </c>
      <c r="I572" s="4">
        <v>2</v>
      </c>
      <c r="J572" s="4">
        <v>0.22</v>
      </c>
      <c r="K572" s="4">
        <v>0.2273</v>
      </c>
      <c r="L572" s="4">
        <v>0.64</v>
      </c>
      <c r="M572" s="4">
        <v>0.16420000000000001</v>
      </c>
      <c r="N572" s="4">
        <v>3</v>
      </c>
      <c r="O572" s="4">
        <v>37</v>
      </c>
      <c r="P572" s="4">
        <v>40</v>
      </c>
      <c r="Q572" s="4">
        <f>SUBTOTAL(109,Table6[casual])</f>
        <v>4921</v>
      </c>
      <c r="R572" s="4">
        <f>SUBTOTAL(109,Table6[registered])</f>
        <v>53383</v>
      </c>
      <c r="S572" s="4">
        <f>SUBTOTAL(109,Table6[cnt])</f>
        <v>58304</v>
      </c>
    </row>
    <row r="573" spans="1:19">
      <c r="A573" s="4">
        <v>572</v>
      </c>
      <c r="B573" s="5">
        <v>40569</v>
      </c>
      <c r="C573" s="4">
        <v>1</v>
      </c>
      <c r="D573" s="4">
        <v>0</v>
      </c>
      <c r="E573" s="4">
        <v>1</v>
      </c>
      <c r="F573" s="4">
        <v>0</v>
      </c>
      <c r="G573" s="4" t="b">
        <v>0</v>
      </c>
      <c r="H573" s="4">
        <v>3</v>
      </c>
      <c r="I573" s="4">
        <v>2</v>
      </c>
      <c r="J573" s="4">
        <v>0.22</v>
      </c>
      <c r="K573" s="4">
        <v>0.2273</v>
      </c>
      <c r="L573" s="4">
        <v>0.69</v>
      </c>
      <c r="M573" s="4">
        <v>0.1343</v>
      </c>
      <c r="N573" s="4">
        <v>3</v>
      </c>
      <c r="O573" s="4">
        <v>14</v>
      </c>
      <c r="P573" s="4">
        <v>17</v>
      </c>
      <c r="Q573" s="4">
        <f>SUBTOTAL(109,Table6[casual])</f>
        <v>4921</v>
      </c>
      <c r="R573" s="4">
        <f>SUBTOTAL(109,Table6[registered])</f>
        <v>53383</v>
      </c>
      <c r="S573" s="4">
        <f>SUBTOTAL(109,Table6[cnt])</f>
        <v>58304</v>
      </c>
    </row>
    <row r="574" spans="1:19">
      <c r="A574" s="4">
        <v>573</v>
      </c>
      <c r="B574" s="5">
        <v>40569</v>
      </c>
      <c r="C574" s="4">
        <v>1</v>
      </c>
      <c r="D574" s="4">
        <v>0</v>
      </c>
      <c r="E574" s="4">
        <v>1</v>
      </c>
      <c r="F574" s="4">
        <v>1</v>
      </c>
      <c r="G574" s="4" t="b">
        <v>0</v>
      </c>
      <c r="H574" s="4">
        <v>3</v>
      </c>
      <c r="I574" s="4">
        <v>2</v>
      </c>
      <c r="J574" s="4">
        <v>0.24</v>
      </c>
      <c r="K574" s="4">
        <v>0.2424</v>
      </c>
      <c r="L574" s="4">
        <v>0.65</v>
      </c>
      <c r="M574" s="4">
        <v>0.1343</v>
      </c>
      <c r="N574" s="4">
        <v>0</v>
      </c>
      <c r="O574" s="4">
        <v>5</v>
      </c>
      <c r="P574" s="4">
        <v>5</v>
      </c>
      <c r="Q574" s="4">
        <f>SUBTOTAL(109,Table6[casual])</f>
        <v>4921</v>
      </c>
      <c r="R574" s="4">
        <f>SUBTOTAL(109,Table6[registered])</f>
        <v>53383</v>
      </c>
      <c r="S574" s="4">
        <f>SUBTOTAL(109,Table6[cnt])</f>
        <v>58304</v>
      </c>
    </row>
    <row r="575" spans="1:19">
      <c r="A575" s="4">
        <v>574</v>
      </c>
      <c r="B575" s="5">
        <v>40569</v>
      </c>
      <c r="C575" s="4">
        <v>1</v>
      </c>
      <c r="D575" s="4">
        <v>0</v>
      </c>
      <c r="E575" s="4">
        <v>1</v>
      </c>
      <c r="F575" s="4">
        <v>2</v>
      </c>
      <c r="G575" s="4" t="b">
        <v>0</v>
      </c>
      <c r="H575" s="4">
        <v>3</v>
      </c>
      <c r="I575" s="4">
        <v>3</v>
      </c>
      <c r="J575" s="4">
        <v>0.22</v>
      </c>
      <c r="K575" s="4">
        <v>0.2273</v>
      </c>
      <c r="L575" s="4">
        <v>0.69</v>
      </c>
      <c r="M575" s="4">
        <v>0.19400000000000001</v>
      </c>
      <c r="N575" s="4">
        <v>3</v>
      </c>
      <c r="O575" s="4">
        <v>7</v>
      </c>
      <c r="P575" s="4">
        <v>10</v>
      </c>
      <c r="Q575" s="4">
        <f>SUBTOTAL(109,Table6[casual])</f>
        <v>4921</v>
      </c>
      <c r="R575" s="4">
        <f>SUBTOTAL(109,Table6[registered])</f>
        <v>53383</v>
      </c>
      <c r="S575" s="4">
        <f>SUBTOTAL(109,Table6[cnt])</f>
        <v>58304</v>
      </c>
    </row>
    <row r="576" spans="1:19">
      <c r="A576" s="4">
        <v>575</v>
      </c>
      <c r="B576" s="5">
        <v>40569</v>
      </c>
      <c r="C576" s="4">
        <v>1</v>
      </c>
      <c r="D576" s="4">
        <v>0</v>
      </c>
      <c r="E576" s="4">
        <v>1</v>
      </c>
      <c r="F576" s="4">
        <v>5</v>
      </c>
      <c r="G576" s="4" t="b">
        <v>0</v>
      </c>
      <c r="H576" s="4">
        <v>3</v>
      </c>
      <c r="I576" s="4">
        <v>3</v>
      </c>
      <c r="J576" s="4">
        <v>0.2</v>
      </c>
      <c r="K576" s="4">
        <v>0.18179999999999999</v>
      </c>
      <c r="L576" s="4">
        <v>0.86</v>
      </c>
      <c r="M576" s="4">
        <v>0.28360000000000002</v>
      </c>
      <c r="N576" s="4">
        <v>0</v>
      </c>
      <c r="O576" s="4">
        <v>1</v>
      </c>
      <c r="P576" s="4">
        <v>1</v>
      </c>
      <c r="Q576" s="4">
        <f>SUBTOTAL(109,Table6[casual])</f>
        <v>4921</v>
      </c>
      <c r="R576" s="4">
        <f>SUBTOTAL(109,Table6[registered])</f>
        <v>53383</v>
      </c>
      <c r="S576" s="4">
        <f>SUBTOTAL(109,Table6[cnt])</f>
        <v>58304</v>
      </c>
    </row>
    <row r="577" spans="1:19">
      <c r="A577" s="4">
        <v>576</v>
      </c>
      <c r="B577" s="5">
        <v>40569</v>
      </c>
      <c r="C577" s="4">
        <v>1</v>
      </c>
      <c r="D577" s="4">
        <v>0</v>
      </c>
      <c r="E577" s="4">
        <v>1</v>
      </c>
      <c r="F577" s="4">
        <v>6</v>
      </c>
      <c r="G577" s="4" t="b">
        <v>0</v>
      </c>
      <c r="H577" s="4">
        <v>3</v>
      </c>
      <c r="I577" s="4">
        <v>3</v>
      </c>
      <c r="J577" s="4">
        <v>0.2</v>
      </c>
      <c r="K577" s="4">
        <v>0.18179999999999999</v>
      </c>
      <c r="L577" s="4">
        <v>0.86</v>
      </c>
      <c r="M577" s="4">
        <v>0.28360000000000002</v>
      </c>
      <c r="N577" s="4">
        <v>0</v>
      </c>
      <c r="O577" s="4">
        <v>8</v>
      </c>
      <c r="P577" s="4">
        <v>8</v>
      </c>
      <c r="Q577" s="4">
        <f>SUBTOTAL(109,Table6[casual])</f>
        <v>4921</v>
      </c>
      <c r="R577" s="4">
        <f>SUBTOTAL(109,Table6[registered])</f>
        <v>53383</v>
      </c>
      <c r="S577" s="4">
        <f>SUBTOTAL(109,Table6[cnt])</f>
        <v>58304</v>
      </c>
    </row>
    <row r="578" spans="1:19">
      <c r="A578" s="4">
        <v>577</v>
      </c>
      <c r="B578" s="5">
        <v>40569</v>
      </c>
      <c r="C578" s="4">
        <v>1</v>
      </c>
      <c r="D578" s="4">
        <v>0</v>
      </c>
      <c r="E578" s="4">
        <v>1</v>
      </c>
      <c r="F578" s="4">
        <v>7</v>
      </c>
      <c r="G578" s="4" t="b">
        <v>0</v>
      </c>
      <c r="H578" s="4">
        <v>3</v>
      </c>
      <c r="I578" s="4">
        <v>3</v>
      </c>
      <c r="J578" s="4">
        <v>0.22</v>
      </c>
      <c r="K578" s="4">
        <v>0.21210000000000001</v>
      </c>
      <c r="L578" s="4">
        <v>0.87</v>
      </c>
      <c r="M578" s="4">
        <v>0.29849999999999999</v>
      </c>
      <c r="N578" s="4">
        <v>1</v>
      </c>
      <c r="O578" s="4">
        <v>29</v>
      </c>
      <c r="P578" s="4">
        <v>30</v>
      </c>
      <c r="Q578" s="4">
        <f>SUBTOTAL(109,Table6[casual])</f>
        <v>4921</v>
      </c>
      <c r="R578" s="4">
        <f>SUBTOTAL(109,Table6[registered])</f>
        <v>53383</v>
      </c>
      <c r="S578" s="4">
        <f>SUBTOTAL(109,Table6[cnt])</f>
        <v>58304</v>
      </c>
    </row>
    <row r="579" spans="1:19">
      <c r="A579" s="4">
        <v>578</v>
      </c>
      <c r="B579" s="5">
        <v>40569</v>
      </c>
      <c r="C579" s="4">
        <v>1</v>
      </c>
      <c r="D579" s="4">
        <v>0</v>
      </c>
      <c r="E579" s="4">
        <v>1</v>
      </c>
      <c r="F579" s="4">
        <v>8</v>
      </c>
      <c r="G579" s="4" t="b">
        <v>0</v>
      </c>
      <c r="H579" s="4">
        <v>3</v>
      </c>
      <c r="I579" s="4">
        <v>3</v>
      </c>
      <c r="J579" s="4">
        <v>0.22</v>
      </c>
      <c r="K579" s="4">
        <v>0.21210000000000001</v>
      </c>
      <c r="L579" s="4">
        <v>0.87</v>
      </c>
      <c r="M579" s="4">
        <v>0.29849999999999999</v>
      </c>
      <c r="N579" s="4">
        <v>3</v>
      </c>
      <c r="O579" s="4">
        <v>69</v>
      </c>
      <c r="P579" s="4">
        <v>72</v>
      </c>
      <c r="Q579" s="4">
        <f>SUBTOTAL(109,Table6[casual])</f>
        <v>4921</v>
      </c>
      <c r="R579" s="4">
        <f>SUBTOTAL(109,Table6[registered])</f>
        <v>53383</v>
      </c>
      <c r="S579" s="4">
        <f>SUBTOTAL(109,Table6[cnt])</f>
        <v>58304</v>
      </c>
    </row>
    <row r="580" spans="1:19">
      <c r="A580" s="4">
        <v>579</v>
      </c>
      <c r="B580" s="5">
        <v>40569</v>
      </c>
      <c r="C580" s="4">
        <v>1</v>
      </c>
      <c r="D580" s="4">
        <v>0</v>
      </c>
      <c r="E580" s="4">
        <v>1</v>
      </c>
      <c r="F580" s="4">
        <v>9</v>
      </c>
      <c r="G580" s="4" t="b">
        <v>0</v>
      </c>
      <c r="H580" s="4">
        <v>3</v>
      </c>
      <c r="I580" s="4">
        <v>3</v>
      </c>
      <c r="J580" s="4">
        <v>0.22</v>
      </c>
      <c r="K580" s="4">
        <v>0.21210000000000001</v>
      </c>
      <c r="L580" s="4">
        <v>0.87</v>
      </c>
      <c r="M580" s="4">
        <v>0.29849999999999999</v>
      </c>
      <c r="N580" s="4">
        <v>3</v>
      </c>
      <c r="O580" s="4">
        <v>55</v>
      </c>
      <c r="P580" s="4">
        <v>58</v>
      </c>
      <c r="Q580" s="4">
        <f>SUBTOTAL(109,Table6[casual])</f>
        <v>4921</v>
      </c>
      <c r="R580" s="4">
        <f>SUBTOTAL(109,Table6[registered])</f>
        <v>53383</v>
      </c>
      <c r="S580" s="4">
        <f>SUBTOTAL(109,Table6[cnt])</f>
        <v>58304</v>
      </c>
    </row>
    <row r="581" spans="1:19">
      <c r="A581" s="4">
        <v>580</v>
      </c>
      <c r="B581" s="5">
        <v>40569</v>
      </c>
      <c r="C581" s="4">
        <v>1</v>
      </c>
      <c r="D581" s="4">
        <v>0</v>
      </c>
      <c r="E581" s="4">
        <v>1</v>
      </c>
      <c r="F581" s="4">
        <v>10</v>
      </c>
      <c r="G581" s="4" t="b">
        <v>0</v>
      </c>
      <c r="H581" s="4">
        <v>3</v>
      </c>
      <c r="I581" s="4">
        <v>3</v>
      </c>
      <c r="J581" s="4">
        <v>0.22</v>
      </c>
      <c r="K581" s="4">
        <v>0.21210000000000001</v>
      </c>
      <c r="L581" s="4">
        <v>0.93</v>
      </c>
      <c r="M581" s="4">
        <v>0.28360000000000002</v>
      </c>
      <c r="N581" s="4">
        <v>2</v>
      </c>
      <c r="O581" s="4">
        <v>26</v>
      </c>
      <c r="P581" s="4">
        <v>28</v>
      </c>
      <c r="Q581" s="4">
        <f>SUBTOTAL(109,Table6[casual])</f>
        <v>4921</v>
      </c>
      <c r="R581" s="4">
        <f>SUBTOTAL(109,Table6[registered])</f>
        <v>53383</v>
      </c>
      <c r="S581" s="4">
        <f>SUBTOTAL(109,Table6[cnt])</f>
        <v>58304</v>
      </c>
    </row>
    <row r="582" spans="1:19">
      <c r="A582" s="4">
        <v>581</v>
      </c>
      <c r="B582" s="5">
        <v>40569</v>
      </c>
      <c r="C582" s="4">
        <v>1</v>
      </c>
      <c r="D582" s="4">
        <v>0</v>
      </c>
      <c r="E582" s="4">
        <v>1</v>
      </c>
      <c r="F582" s="4">
        <v>11</v>
      </c>
      <c r="G582" s="4" t="b">
        <v>0</v>
      </c>
      <c r="H582" s="4">
        <v>3</v>
      </c>
      <c r="I582" s="4">
        <v>3</v>
      </c>
      <c r="J582" s="4">
        <v>0.22</v>
      </c>
      <c r="K582" s="4">
        <v>0.19700000000000001</v>
      </c>
      <c r="L582" s="4">
        <v>0.93</v>
      </c>
      <c r="M582" s="4">
        <v>0.32840000000000003</v>
      </c>
      <c r="N582" s="4">
        <v>6</v>
      </c>
      <c r="O582" s="4">
        <v>35</v>
      </c>
      <c r="P582" s="4">
        <v>41</v>
      </c>
      <c r="Q582" s="4">
        <f>SUBTOTAL(109,Table6[casual])</f>
        <v>4921</v>
      </c>
      <c r="R582" s="4">
        <f>SUBTOTAL(109,Table6[registered])</f>
        <v>53383</v>
      </c>
      <c r="S582" s="4">
        <f>SUBTOTAL(109,Table6[cnt])</f>
        <v>58304</v>
      </c>
    </row>
    <row r="583" spans="1:19">
      <c r="A583" s="4">
        <v>582</v>
      </c>
      <c r="B583" s="5">
        <v>40569</v>
      </c>
      <c r="C583" s="4">
        <v>1</v>
      </c>
      <c r="D583" s="4">
        <v>0</v>
      </c>
      <c r="E583" s="4">
        <v>1</v>
      </c>
      <c r="F583" s="4">
        <v>12</v>
      </c>
      <c r="G583" s="4" t="b">
        <v>0</v>
      </c>
      <c r="H583" s="4">
        <v>3</v>
      </c>
      <c r="I583" s="4">
        <v>3</v>
      </c>
      <c r="J583" s="4">
        <v>0.22</v>
      </c>
      <c r="K583" s="4">
        <v>0.19700000000000001</v>
      </c>
      <c r="L583" s="4">
        <v>0.93</v>
      </c>
      <c r="M583" s="4">
        <v>0.32840000000000003</v>
      </c>
      <c r="N583" s="4">
        <v>7</v>
      </c>
      <c r="O583" s="4">
        <v>41</v>
      </c>
      <c r="P583" s="4">
        <v>48</v>
      </c>
      <c r="Q583" s="4">
        <f>SUBTOTAL(109,Table6[casual])</f>
        <v>4921</v>
      </c>
      <c r="R583" s="4">
        <f>SUBTOTAL(109,Table6[registered])</f>
        <v>53383</v>
      </c>
      <c r="S583" s="4">
        <f>SUBTOTAL(109,Table6[cnt])</f>
        <v>58304</v>
      </c>
    </row>
    <row r="584" spans="1:19">
      <c r="A584" s="4">
        <v>583</v>
      </c>
      <c r="B584" s="5">
        <v>40569</v>
      </c>
      <c r="C584" s="4">
        <v>1</v>
      </c>
      <c r="D584" s="4">
        <v>0</v>
      </c>
      <c r="E584" s="4">
        <v>1</v>
      </c>
      <c r="F584" s="4">
        <v>13</v>
      </c>
      <c r="G584" s="4" t="b">
        <v>0</v>
      </c>
      <c r="H584" s="4">
        <v>3</v>
      </c>
      <c r="I584" s="4">
        <v>3</v>
      </c>
      <c r="J584" s="4">
        <v>0.22</v>
      </c>
      <c r="K584" s="4">
        <v>0.19700000000000001</v>
      </c>
      <c r="L584" s="4">
        <v>0.93</v>
      </c>
      <c r="M584" s="4">
        <v>0.32840000000000003</v>
      </c>
      <c r="N584" s="4">
        <v>4</v>
      </c>
      <c r="O584" s="4">
        <v>43</v>
      </c>
      <c r="P584" s="4">
        <v>47</v>
      </c>
      <c r="Q584" s="4">
        <f>SUBTOTAL(109,Table6[casual])</f>
        <v>4921</v>
      </c>
      <c r="R584" s="4">
        <f>SUBTOTAL(109,Table6[registered])</f>
        <v>53383</v>
      </c>
      <c r="S584" s="4">
        <f>SUBTOTAL(109,Table6[cnt])</f>
        <v>58304</v>
      </c>
    </row>
    <row r="585" spans="1:19">
      <c r="A585" s="4">
        <v>584</v>
      </c>
      <c r="B585" s="5">
        <v>40569</v>
      </c>
      <c r="C585" s="4">
        <v>1</v>
      </c>
      <c r="D585" s="4">
        <v>0</v>
      </c>
      <c r="E585" s="4">
        <v>1</v>
      </c>
      <c r="F585" s="4">
        <v>14</v>
      </c>
      <c r="G585" s="4" t="b">
        <v>0</v>
      </c>
      <c r="H585" s="4">
        <v>3</v>
      </c>
      <c r="I585" s="4">
        <v>3</v>
      </c>
      <c r="J585" s="4">
        <v>0.22</v>
      </c>
      <c r="K585" s="4">
        <v>0.19700000000000001</v>
      </c>
      <c r="L585" s="4">
        <v>0.93</v>
      </c>
      <c r="M585" s="4">
        <v>0.35820000000000002</v>
      </c>
      <c r="N585" s="4">
        <v>0</v>
      </c>
      <c r="O585" s="4">
        <v>36</v>
      </c>
      <c r="P585" s="4">
        <v>36</v>
      </c>
      <c r="Q585" s="4">
        <f>SUBTOTAL(109,Table6[casual])</f>
        <v>4921</v>
      </c>
      <c r="R585" s="4">
        <f>SUBTOTAL(109,Table6[registered])</f>
        <v>53383</v>
      </c>
      <c r="S585" s="4">
        <f>SUBTOTAL(109,Table6[cnt])</f>
        <v>58304</v>
      </c>
    </row>
    <row r="586" spans="1:19">
      <c r="A586" s="4">
        <v>585</v>
      </c>
      <c r="B586" s="5">
        <v>40569</v>
      </c>
      <c r="C586" s="4">
        <v>1</v>
      </c>
      <c r="D586" s="4">
        <v>0</v>
      </c>
      <c r="E586" s="4">
        <v>1</v>
      </c>
      <c r="F586" s="4">
        <v>15</v>
      </c>
      <c r="G586" s="4" t="b">
        <v>0</v>
      </c>
      <c r="H586" s="4">
        <v>3</v>
      </c>
      <c r="I586" s="4">
        <v>3</v>
      </c>
      <c r="J586" s="4">
        <v>0.22</v>
      </c>
      <c r="K586" s="4">
        <v>0.18179999999999999</v>
      </c>
      <c r="L586" s="4">
        <v>0.93</v>
      </c>
      <c r="M586" s="4">
        <v>0.4627</v>
      </c>
      <c r="N586" s="4">
        <v>1</v>
      </c>
      <c r="O586" s="4">
        <v>42</v>
      </c>
      <c r="P586" s="4">
        <v>43</v>
      </c>
      <c r="Q586" s="4">
        <f>SUBTOTAL(109,Table6[casual])</f>
        <v>4921</v>
      </c>
      <c r="R586" s="4">
        <f>SUBTOTAL(109,Table6[registered])</f>
        <v>53383</v>
      </c>
      <c r="S586" s="4">
        <f>SUBTOTAL(109,Table6[cnt])</f>
        <v>58304</v>
      </c>
    </row>
    <row r="587" spans="1:19">
      <c r="A587" s="4">
        <v>586</v>
      </c>
      <c r="B587" s="5">
        <v>40569</v>
      </c>
      <c r="C587" s="4">
        <v>1</v>
      </c>
      <c r="D587" s="4">
        <v>0</v>
      </c>
      <c r="E587" s="4">
        <v>1</v>
      </c>
      <c r="F587" s="4">
        <v>16</v>
      </c>
      <c r="G587" s="4" t="b">
        <v>0</v>
      </c>
      <c r="H587" s="4">
        <v>3</v>
      </c>
      <c r="I587" s="4">
        <v>4</v>
      </c>
      <c r="J587" s="4">
        <v>0.22</v>
      </c>
      <c r="K587" s="4">
        <v>0.19700000000000001</v>
      </c>
      <c r="L587" s="4">
        <v>0.93</v>
      </c>
      <c r="M587" s="4">
        <v>0.32840000000000003</v>
      </c>
      <c r="N587" s="4">
        <v>1</v>
      </c>
      <c r="O587" s="4">
        <v>35</v>
      </c>
      <c r="P587" s="4">
        <v>36</v>
      </c>
      <c r="Q587" s="4">
        <f>SUBTOTAL(109,Table6[casual])</f>
        <v>4921</v>
      </c>
      <c r="R587" s="4">
        <f>SUBTOTAL(109,Table6[registered])</f>
        <v>53383</v>
      </c>
      <c r="S587" s="4">
        <f>SUBTOTAL(109,Table6[cnt])</f>
        <v>58304</v>
      </c>
    </row>
    <row r="588" spans="1:19">
      <c r="A588" s="4">
        <v>587</v>
      </c>
      <c r="B588" s="5">
        <v>40569</v>
      </c>
      <c r="C588" s="4">
        <v>1</v>
      </c>
      <c r="D588" s="4">
        <v>0</v>
      </c>
      <c r="E588" s="4">
        <v>1</v>
      </c>
      <c r="F588" s="4">
        <v>17</v>
      </c>
      <c r="G588" s="4" t="b">
        <v>0</v>
      </c>
      <c r="H588" s="4">
        <v>3</v>
      </c>
      <c r="I588" s="4">
        <v>3</v>
      </c>
      <c r="J588" s="4">
        <v>0.2</v>
      </c>
      <c r="K588" s="4">
        <v>0.18179999999999999</v>
      </c>
      <c r="L588" s="4">
        <v>0.93</v>
      </c>
      <c r="M588" s="4">
        <v>0.35820000000000002</v>
      </c>
      <c r="N588" s="4">
        <v>0</v>
      </c>
      <c r="O588" s="4">
        <v>26</v>
      </c>
      <c r="P588" s="4">
        <v>26</v>
      </c>
      <c r="Q588" s="4">
        <f>SUBTOTAL(109,Table6[casual])</f>
        <v>4921</v>
      </c>
      <c r="R588" s="4">
        <f>SUBTOTAL(109,Table6[registered])</f>
        <v>53383</v>
      </c>
      <c r="S588" s="4">
        <f>SUBTOTAL(109,Table6[cnt])</f>
        <v>58304</v>
      </c>
    </row>
    <row r="589" spans="1:19">
      <c r="A589" s="4">
        <v>588</v>
      </c>
      <c r="B589" s="5">
        <v>40570</v>
      </c>
      <c r="C589" s="4">
        <v>1</v>
      </c>
      <c r="D589" s="4">
        <v>0</v>
      </c>
      <c r="E589" s="4">
        <v>1</v>
      </c>
      <c r="F589" s="4">
        <v>16</v>
      </c>
      <c r="G589" s="4" t="b">
        <v>0</v>
      </c>
      <c r="H589" s="4">
        <v>4</v>
      </c>
      <c r="I589" s="4">
        <v>1</v>
      </c>
      <c r="J589" s="4">
        <v>0.22</v>
      </c>
      <c r="K589" s="4">
        <v>0.2273</v>
      </c>
      <c r="L589" s="4">
        <v>0.55000000000000004</v>
      </c>
      <c r="M589" s="4">
        <v>0.19400000000000001</v>
      </c>
      <c r="N589" s="4">
        <v>1</v>
      </c>
      <c r="O589" s="4">
        <v>23</v>
      </c>
      <c r="P589" s="4">
        <v>24</v>
      </c>
      <c r="Q589" s="4">
        <f>SUBTOTAL(109,Table6[casual])</f>
        <v>4921</v>
      </c>
      <c r="R589" s="4">
        <f>SUBTOTAL(109,Table6[registered])</f>
        <v>53383</v>
      </c>
      <c r="S589" s="4">
        <f>SUBTOTAL(109,Table6[cnt])</f>
        <v>58304</v>
      </c>
    </row>
    <row r="590" spans="1:19">
      <c r="A590" s="4">
        <v>589</v>
      </c>
      <c r="B590" s="5">
        <v>40570</v>
      </c>
      <c r="C590" s="4">
        <v>1</v>
      </c>
      <c r="D590" s="4">
        <v>0</v>
      </c>
      <c r="E590" s="4">
        <v>1</v>
      </c>
      <c r="F590" s="4">
        <v>17</v>
      </c>
      <c r="G590" s="4" t="b">
        <v>0</v>
      </c>
      <c r="H590" s="4">
        <v>4</v>
      </c>
      <c r="I590" s="4">
        <v>1</v>
      </c>
      <c r="J590" s="4">
        <v>0.22</v>
      </c>
      <c r="K590" s="4">
        <v>0.2424</v>
      </c>
      <c r="L590" s="4">
        <v>0.55000000000000004</v>
      </c>
      <c r="M590" s="4">
        <v>0.1045</v>
      </c>
      <c r="N590" s="4">
        <v>2</v>
      </c>
      <c r="O590" s="4">
        <v>82</v>
      </c>
      <c r="P590" s="4">
        <v>84</v>
      </c>
      <c r="Q590" s="4">
        <f>SUBTOTAL(109,Table6[casual])</f>
        <v>4921</v>
      </c>
      <c r="R590" s="4">
        <f>SUBTOTAL(109,Table6[registered])</f>
        <v>53383</v>
      </c>
      <c r="S590" s="4">
        <f>SUBTOTAL(109,Table6[cnt])</f>
        <v>58304</v>
      </c>
    </row>
    <row r="591" spans="1:19">
      <c r="A591" s="4">
        <v>590</v>
      </c>
      <c r="B591" s="5">
        <v>40570</v>
      </c>
      <c r="C591" s="4">
        <v>1</v>
      </c>
      <c r="D591" s="4">
        <v>0</v>
      </c>
      <c r="E591" s="4">
        <v>1</v>
      </c>
      <c r="F591" s="4">
        <v>18</v>
      </c>
      <c r="G591" s="4" t="b">
        <v>0</v>
      </c>
      <c r="H591" s="4">
        <v>4</v>
      </c>
      <c r="I591" s="4">
        <v>1</v>
      </c>
      <c r="J591" s="4">
        <v>0.2</v>
      </c>
      <c r="K591" s="4">
        <v>0.2273</v>
      </c>
      <c r="L591" s="4">
        <v>0.69</v>
      </c>
      <c r="M591" s="4">
        <v>8.9599999999999999E-2</v>
      </c>
      <c r="N591" s="4">
        <v>3</v>
      </c>
      <c r="O591" s="4">
        <v>101</v>
      </c>
      <c r="P591" s="4">
        <v>104</v>
      </c>
      <c r="Q591" s="4">
        <f>SUBTOTAL(109,Table6[casual])</f>
        <v>4921</v>
      </c>
      <c r="R591" s="4">
        <f>SUBTOTAL(109,Table6[registered])</f>
        <v>53383</v>
      </c>
      <c r="S591" s="4">
        <f>SUBTOTAL(109,Table6[cnt])</f>
        <v>58304</v>
      </c>
    </row>
    <row r="592" spans="1:19">
      <c r="A592" s="4">
        <v>591</v>
      </c>
      <c r="B592" s="5">
        <v>40570</v>
      </c>
      <c r="C592" s="4">
        <v>1</v>
      </c>
      <c r="D592" s="4">
        <v>0</v>
      </c>
      <c r="E592" s="4">
        <v>1</v>
      </c>
      <c r="F592" s="4">
        <v>19</v>
      </c>
      <c r="G592" s="4" t="b">
        <v>0</v>
      </c>
      <c r="H592" s="4">
        <v>4</v>
      </c>
      <c r="I592" s="4">
        <v>1</v>
      </c>
      <c r="J592" s="4">
        <v>0.2</v>
      </c>
      <c r="K592" s="4">
        <v>0.2273</v>
      </c>
      <c r="L592" s="4">
        <v>0.69</v>
      </c>
      <c r="M592" s="4">
        <v>8.9599999999999999E-2</v>
      </c>
      <c r="N592" s="4">
        <v>3</v>
      </c>
      <c r="O592" s="4">
        <v>76</v>
      </c>
      <c r="P592" s="4">
        <v>79</v>
      </c>
      <c r="Q592" s="4">
        <f>SUBTOTAL(109,Table6[casual])</f>
        <v>4921</v>
      </c>
      <c r="R592" s="4">
        <f>SUBTOTAL(109,Table6[registered])</f>
        <v>53383</v>
      </c>
      <c r="S592" s="4">
        <f>SUBTOTAL(109,Table6[cnt])</f>
        <v>58304</v>
      </c>
    </row>
    <row r="593" spans="1:19">
      <c r="A593" s="4">
        <v>592</v>
      </c>
      <c r="B593" s="5">
        <v>40570</v>
      </c>
      <c r="C593" s="4">
        <v>1</v>
      </c>
      <c r="D593" s="4">
        <v>0</v>
      </c>
      <c r="E593" s="4">
        <v>1</v>
      </c>
      <c r="F593" s="4">
        <v>20</v>
      </c>
      <c r="G593" s="4" t="b">
        <v>0</v>
      </c>
      <c r="H593" s="4">
        <v>4</v>
      </c>
      <c r="I593" s="4">
        <v>1</v>
      </c>
      <c r="J593" s="4">
        <v>0.18</v>
      </c>
      <c r="K593" s="4">
        <v>0.21210000000000001</v>
      </c>
      <c r="L593" s="4">
        <v>0.74</v>
      </c>
      <c r="M593" s="4">
        <v>8.9599999999999999E-2</v>
      </c>
      <c r="N593" s="4">
        <v>4</v>
      </c>
      <c r="O593" s="4">
        <v>55</v>
      </c>
      <c r="P593" s="4">
        <v>59</v>
      </c>
      <c r="Q593" s="4">
        <f>SUBTOTAL(109,Table6[casual])</f>
        <v>4921</v>
      </c>
      <c r="R593" s="4">
        <f>SUBTOTAL(109,Table6[registered])</f>
        <v>53383</v>
      </c>
      <c r="S593" s="4">
        <f>SUBTOTAL(109,Table6[cnt])</f>
        <v>58304</v>
      </c>
    </row>
    <row r="594" spans="1:19">
      <c r="A594" s="4">
        <v>593</v>
      </c>
      <c r="B594" s="5">
        <v>40570</v>
      </c>
      <c r="C594" s="4">
        <v>1</v>
      </c>
      <c r="D594" s="4">
        <v>0</v>
      </c>
      <c r="E594" s="4">
        <v>1</v>
      </c>
      <c r="F594" s="4">
        <v>21</v>
      </c>
      <c r="G594" s="4" t="b">
        <v>0</v>
      </c>
      <c r="H594" s="4">
        <v>4</v>
      </c>
      <c r="I594" s="4">
        <v>1</v>
      </c>
      <c r="J594" s="4">
        <v>0.18</v>
      </c>
      <c r="K594" s="4">
        <v>0.21210000000000001</v>
      </c>
      <c r="L594" s="4">
        <v>0.74</v>
      </c>
      <c r="M594" s="4">
        <v>8.9599999999999999E-2</v>
      </c>
      <c r="N594" s="4">
        <v>2</v>
      </c>
      <c r="O594" s="4">
        <v>36</v>
      </c>
      <c r="P594" s="4">
        <v>38</v>
      </c>
      <c r="Q594" s="4">
        <f>SUBTOTAL(109,Table6[casual])</f>
        <v>4921</v>
      </c>
      <c r="R594" s="4">
        <f>SUBTOTAL(109,Table6[registered])</f>
        <v>53383</v>
      </c>
      <c r="S594" s="4">
        <f>SUBTOTAL(109,Table6[cnt])</f>
        <v>58304</v>
      </c>
    </row>
    <row r="595" spans="1:19">
      <c r="A595" s="4">
        <v>594</v>
      </c>
      <c r="B595" s="5">
        <v>40570</v>
      </c>
      <c r="C595" s="4">
        <v>1</v>
      </c>
      <c r="D595" s="4">
        <v>0</v>
      </c>
      <c r="E595" s="4">
        <v>1</v>
      </c>
      <c r="F595" s="4">
        <v>22</v>
      </c>
      <c r="G595" s="4" t="b">
        <v>0</v>
      </c>
      <c r="H595" s="4">
        <v>4</v>
      </c>
      <c r="I595" s="4">
        <v>1</v>
      </c>
      <c r="J595" s="4">
        <v>0.18</v>
      </c>
      <c r="K595" s="4">
        <v>0.21210000000000001</v>
      </c>
      <c r="L595" s="4">
        <v>0.74</v>
      </c>
      <c r="M595" s="4">
        <v>8.9599999999999999E-2</v>
      </c>
      <c r="N595" s="4">
        <v>0</v>
      </c>
      <c r="O595" s="4">
        <v>27</v>
      </c>
      <c r="P595" s="4">
        <v>27</v>
      </c>
      <c r="Q595" s="4">
        <f>SUBTOTAL(109,Table6[casual])</f>
        <v>4921</v>
      </c>
      <c r="R595" s="4">
        <f>SUBTOTAL(109,Table6[registered])</f>
        <v>53383</v>
      </c>
      <c r="S595" s="4">
        <f>SUBTOTAL(109,Table6[cnt])</f>
        <v>58304</v>
      </c>
    </row>
    <row r="596" spans="1:19">
      <c r="A596" s="4">
        <v>595</v>
      </c>
      <c r="B596" s="5">
        <v>40570</v>
      </c>
      <c r="C596" s="4">
        <v>1</v>
      </c>
      <c r="D596" s="4">
        <v>0</v>
      </c>
      <c r="E596" s="4">
        <v>1</v>
      </c>
      <c r="F596" s="4">
        <v>23</v>
      </c>
      <c r="G596" s="4" t="b">
        <v>0</v>
      </c>
      <c r="H596" s="4">
        <v>4</v>
      </c>
      <c r="I596" s="4">
        <v>1</v>
      </c>
      <c r="J596" s="4">
        <v>0.18</v>
      </c>
      <c r="K596" s="4">
        <v>0.19700000000000001</v>
      </c>
      <c r="L596" s="4">
        <v>0.8</v>
      </c>
      <c r="M596" s="4">
        <v>0.16420000000000001</v>
      </c>
      <c r="N596" s="4">
        <v>0</v>
      </c>
      <c r="O596" s="4">
        <v>16</v>
      </c>
      <c r="P596" s="4">
        <v>16</v>
      </c>
      <c r="Q596" s="4">
        <f>SUBTOTAL(109,Table6[casual])</f>
        <v>4921</v>
      </c>
      <c r="R596" s="4">
        <f>SUBTOTAL(109,Table6[registered])</f>
        <v>53383</v>
      </c>
      <c r="S596" s="4">
        <f>SUBTOTAL(109,Table6[cnt])</f>
        <v>58304</v>
      </c>
    </row>
    <row r="597" spans="1:19">
      <c r="A597" s="4">
        <v>596</v>
      </c>
      <c r="B597" s="5">
        <v>40571</v>
      </c>
      <c r="C597" s="4">
        <v>1</v>
      </c>
      <c r="D597" s="4">
        <v>0</v>
      </c>
      <c r="E597" s="4">
        <v>1</v>
      </c>
      <c r="F597" s="4">
        <v>0</v>
      </c>
      <c r="G597" s="4" t="b">
        <v>0</v>
      </c>
      <c r="H597" s="4">
        <v>5</v>
      </c>
      <c r="I597" s="4">
        <v>2</v>
      </c>
      <c r="J597" s="4">
        <v>0.2</v>
      </c>
      <c r="K597" s="4">
        <v>0.21210000000000001</v>
      </c>
      <c r="L597" s="4">
        <v>0.75</v>
      </c>
      <c r="M597" s="4">
        <v>0.1343</v>
      </c>
      <c r="N597" s="4">
        <v>0</v>
      </c>
      <c r="O597" s="4">
        <v>9</v>
      </c>
      <c r="P597" s="4">
        <v>9</v>
      </c>
      <c r="Q597" s="4">
        <f>SUBTOTAL(109,Table6[casual])</f>
        <v>4921</v>
      </c>
      <c r="R597" s="4">
        <f>SUBTOTAL(109,Table6[registered])</f>
        <v>53383</v>
      </c>
      <c r="S597" s="4">
        <f>SUBTOTAL(109,Table6[cnt])</f>
        <v>58304</v>
      </c>
    </row>
    <row r="598" spans="1:19">
      <c r="A598" s="4">
        <v>597</v>
      </c>
      <c r="B598" s="5">
        <v>40571</v>
      </c>
      <c r="C598" s="4">
        <v>1</v>
      </c>
      <c r="D598" s="4">
        <v>0</v>
      </c>
      <c r="E598" s="4">
        <v>1</v>
      </c>
      <c r="F598" s="4">
        <v>1</v>
      </c>
      <c r="G598" s="4" t="b">
        <v>0</v>
      </c>
      <c r="H598" s="4">
        <v>5</v>
      </c>
      <c r="I598" s="4">
        <v>2</v>
      </c>
      <c r="J598" s="4">
        <v>0.2</v>
      </c>
      <c r="K598" s="4">
        <v>0.21210000000000001</v>
      </c>
      <c r="L598" s="4">
        <v>0.75</v>
      </c>
      <c r="M598" s="4">
        <v>0.1343</v>
      </c>
      <c r="N598" s="4">
        <v>1</v>
      </c>
      <c r="O598" s="4">
        <v>2</v>
      </c>
      <c r="P598" s="4">
        <v>3</v>
      </c>
      <c r="Q598" s="4">
        <f>SUBTOTAL(109,Table6[casual])</f>
        <v>4921</v>
      </c>
      <c r="R598" s="4">
        <f>SUBTOTAL(109,Table6[registered])</f>
        <v>53383</v>
      </c>
      <c r="S598" s="4">
        <f>SUBTOTAL(109,Table6[cnt])</f>
        <v>58304</v>
      </c>
    </row>
    <row r="599" spans="1:19">
      <c r="A599" s="4">
        <v>598</v>
      </c>
      <c r="B599" s="5">
        <v>40571</v>
      </c>
      <c r="C599" s="4">
        <v>1</v>
      </c>
      <c r="D599" s="4">
        <v>0</v>
      </c>
      <c r="E599" s="4">
        <v>1</v>
      </c>
      <c r="F599" s="4">
        <v>2</v>
      </c>
      <c r="G599" s="4" t="b">
        <v>0</v>
      </c>
      <c r="H599" s="4">
        <v>5</v>
      </c>
      <c r="I599" s="4">
        <v>2</v>
      </c>
      <c r="J599" s="4">
        <v>0.2</v>
      </c>
      <c r="K599" s="4">
        <v>0.21210000000000001</v>
      </c>
      <c r="L599" s="4">
        <v>0.75</v>
      </c>
      <c r="M599" s="4">
        <v>0.16420000000000001</v>
      </c>
      <c r="N599" s="4">
        <v>0</v>
      </c>
      <c r="O599" s="4">
        <v>2</v>
      </c>
      <c r="P599" s="4">
        <v>2</v>
      </c>
      <c r="Q599" s="4">
        <f>SUBTOTAL(109,Table6[casual])</f>
        <v>4921</v>
      </c>
      <c r="R599" s="4">
        <f>SUBTOTAL(109,Table6[registered])</f>
        <v>53383</v>
      </c>
      <c r="S599" s="4">
        <f>SUBTOTAL(109,Table6[cnt])</f>
        <v>58304</v>
      </c>
    </row>
    <row r="600" spans="1:19">
      <c r="A600" s="4">
        <v>599</v>
      </c>
      <c r="B600" s="5">
        <v>40571</v>
      </c>
      <c r="C600" s="4">
        <v>1</v>
      </c>
      <c r="D600" s="4">
        <v>0</v>
      </c>
      <c r="E600" s="4">
        <v>1</v>
      </c>
      <c r="F600" s="4">
        <v>3</v>
      </c>
      <c r="G600" s="4" t="b">
        <v>0</v>
      </c>
      <c r="H600" s="4">
        <v>5</v>
      </c>
      <c r="I600" s="4">
        <v>2</v>
      </c>
      <c r="J600" s="4">
        <v>0.2</v>
      </c>
      <c r="K600" s="4">
        <v>0.2273</v>
      </c>
      <c r="L600" s="4">
        <v>0.75</v>
      </c>
      <c r="M600" s="4">
        <v>0.1045</v>
      </c>
      <c r="N600" s="4">
        <v>1</v>
      </c>
      <c r="O600" s="4">
        <v>0</v>
      </c>
      <c r="P600" s="4">
        <v>1</v>
      </c>
      <c r="Q600" s="4">
        <f>SUBTOTAL(109,Table6[casual])</f>
        <v>4921</v>
      </c>
      <c r="R600" s="4">
        <f>SUBTOTAL(109,Table6[registered])</f>
        <v>53383</v>
      </c>
      <c r="S600" s="4">
        <f>SUBTOTAL(109,Table6[cnt])</f>
        <v>58304</v>
      </c>
    </row>
    <row r="601" spans="1:19">
      <c r="A601" s="4">
        <v>600</v>
      </c>
      <c r="B601" s="5">
        <v>40571</v>
      </c>
      <c r="C601" s="4">
        <v>1</v>
      </c>
      <c r="D601" s="4">
        <v>0</v>
      </c>
      <c r="E601" s="4">
        <v>1</v>
      </c>
      <c r="F601" s="4">
        <v>5</v>
      </c>
      <c r="G601" s="4" t="b">
        <v>0</v>
      </c>
      <c r="H601" s="4">
        <v>5</v>
      </c>
      <c r="I601" s="4">
        <v>2</v>
      </c>
      <c r="J601" s="4">
        <v>0.18</v>
      </c>
      <c r="K601" s="4">
        <v>0.21210000000000001</v>
      </c>
      <c r="L601" s="4">
        <v>0.8</v>
      </c>
      <c r="M601" s="4">
        <v>0.1045</v>
      </c>
      <c r="N601" s="4">
        <v>0</v>
      </c>
      <c r="O601" s="4">
        <v>4</v>
      </c>
      <c r="P601" s="4">
        <v>4</v>
      </c>
      <c r="Q601" s="4">
        <f>SUBTOTAL(109,Table6[casual])</f>
        <v>4921</v>
      </c>
      <c r="R601" s="4">
        <f>SUBTOTAL(109,Table6[registered])</f>
        <v>53383</v>
      </c>
      <c r="S601" s="4">
        <f>SUBTOTAL(109,Table6[cnt])</f>
        <v>58304</v>
      </c>
    </row>
    <row r="602" spans="1:19">
      <c r="A602" s="4">
        <v>601</v>
      </c>
      <c r="B602" s="5">
        <v>40571</v>
      </c>
      <c r="C602" s="4">
        <v>1</v>
      </c>
      <c r="D602" s="4">
        <v>0</v>
      </c>
      <c r="E602" s="4">
        <v>1</v>
      </c>
      <c r="F602" s="4">
        <v>6</v>
      </c>
      <c r="G602" s="4" t="b">
        <v>0</v>
      </c>
      <c r="H602" s="4">
        <v>5</v>
      </c>
      <c r="I602" s="4">
        <v>2</v>
      </c>
      <c r="J602" s="4">
        <v>0.18</v>
      </c>
      <c r="K602" s="4">
        <v>0.19700000000000001</v>
      </c>
      <c r="L602" s="4">
        <v>0.8</v>
      </c>
      <c r="M602" s="4">
        <v>0.1343</v>
      </c>
      <c r="N602" s="4">
        <v>0</v>
      </c>
      <c r="O602" s="4">
        <v>16</v>
      </c>
      <c r="P602" s="4">
        <v>16</v>
      </c>
      <c r="Q602" s="4">
        <f>SUBTOTAL(109,Table6[casual])</f>
        <v>4921</v>
      </c>
      <c r="R602" s="4">
        <f>SUBTOTAL(109,Table6[registered])</f>
        <v>53383</v>
      </c>
      <c r="S602" s="4">
        <f>SUBTOTAL(109,Table6[cnt])</f>
        <v>58304</v>
      </c>
    </row>
    <row r="603" spans="1:19">
      <c r="A603" s="4">
        <v>602</v>
      </c>
      <c r="B603" s="5">
        <v>40571</v>
      </c>
      <c r="C603" s="4">
        <v>1</v>
      </c>
      <c r="D603" s="4">
        <v>0</v>
      </c>
      <c r="E603" s="4">
        <v>1</v>
      </c>
      <c r="F603" s="4">
        <v>7</v>
      </c>
      <c r="G603" s="4" t="b">
        <v>0</v>
      </c>
      <c r="H603" s="4">
        <v>5</v>
      </c>
      <c r="I603" s="4">
        <v>2</v>
      </c>
      <c r="J603" s="4">
        <v>0.16</v>
      </c>
      <c r="K603" s="4">
        <v>0.19700000000000001</v>
      </c>
      <c r="L603" s="4">
        <v>0.86</v>
      </c>
      <c r="M603" s="4">
        <v>8.9599999999999999E-2</v>
      </c>
      <c r="N603" s="4">
        <v>2</v>
      </c>
      <c r="O603" s="4">
        <v>58</v>
      </c>
      <c r="P603" s="4">
        <v>60</v>
      </c>
      <c r="Q603" s="4">
        <f>SUBTOTAL(109,Table6[casual])</f>
        <v>4921</v>
      </c>
      <c r="R603" s="4">
        <f>SUBTOTAL(109,Table6[registered])</f>
        <v>53383</v>
      </c>
      <c r="S603" s="4">
        <f>SUBTOTAL(109,Table6[cnt])</f>
        <v>58304</v>
      </c>
    </row>
    <row r="604" spans="1:19">
      <c r="A604" s="4">
        <v>603</v>
      </c>
      <c r="B604" s="5">
        <v>40571</v>
      </c>
      <c r="C604" s="4">
        <v>1</v>
      </c>
      <c r="D604" s="4">
        <v>0</v>
      </c>
      <c r="E604" s="4">
        <v>1</v>
      </c>
      <c r="F604" s="4">
        <v>8</v>
      </c>
      <c r="G604" s="4" t="b">
        <v>0</v>
      </c>
      <c r="H604" s="4">
        <v>5</v>
      </c>
      <c r="I604" s="4">
        <v>2</v>
      </c>
      <c r="J604" s="4">
        <v>0.16</v>
      </c>
      <c r="K604" s="4">
        <v>0.19700000000000001</v>
      </c>
      <c r="L604" s="4">
        <v>0.86</v>
      </c>
      <c r="M604" s="4">
        <v>8.9599999999999999E-2</v>
      </c>
      <c r="N604" s="4">
        <v>2</v>
      </c>
      <c r="O604" s="4">
        <v>155</v>
      </c>
      <c r="P604" s="4">
        <v>157</v>
      </c>
      <c r="Q604" s="4">
        <f>SUBTOTAL(109,Table6[casual])</f>
        <v>4921</v>
      </c>
      <c r="R604" s="4">
        <f>SUBTOTAL(109,Table6[registered])</f>
        <v>53383</v>
      </c>
      <c r="S604" s="4">
        <f>SUBTOTAL(109,Table6[cnt])</f>
        <v>58304</v>
      </c>
    </row>
    <row r="605" spans="1:19">
      <c r="A605" s="4">
        <v>604</v>
      </c>
      <c r="B605" s="5">
        <v>40571</v>
      </c>
      <c r="C605" s="4">
        <v>1</v>
      </c>
      <c r="D605" s="4">
        <v>0</v>
      </c>
      <c r="E605" s="4">
        <v>1</v>
      </c>
      <c r="F605" s="4">
        <v>9</v>
      </c>
      <c r="G605" s="4" t="b">
        <v>0</v>
      </c>
      <c r="H605" s="4">
        <v>5</v>
      </c>
      <c r="I605" s="4">
        <v>3</v>
      </c>
      <c r="J605" s="4">
        <v>0.18</v>
      </c>
      <c r="K605" s="4">
        <v>0.21210000000000001</v>
      </c>
      <c r="L605" s="4">
        <v>0.86</v>
      </c>
      <c r="M605" s="4">
        <v>8.9599999999999999E-2</v>
      </c>
      <c r="N605" s="4">
        <v>6</v>
      </c>
      <c r="O605" s="4">
        <v>95</v>
      </c>
      <c r="P605" s="4">
        <v>101</v>
      </c>
      <c r="Q605" s="4">
        <f>SUBTOTAL(109,Table6[casual])</f>
        <v>4921</v>
      </c>
      <c r="R605" s="4">
        <f>SUBTOTAL(109,Table6[registered])</f>
        <v>53383</v>
      </c>
      <c r="S605" s="4">
        <f>SUBTOTAL(109,Table6[cnt])</f>
        <v>58304</v>
      </c>
    </row>
    <row r="606" spans="1:19">
      <c r="A606" s="4">
        <v>605</v>
      </c>
      <c r="B606" s="5">
        <v>40571</v>
      </c>
      <c r="C606" s="4">
        <v>1</v>
      </c>
      <c r="D606" s="4">
        <v>0</v>
      </c>
      <c r="E606" s="4">
        <v>1</v>
      </c>
      <c r="F606" s="4">
        <v>10</v>
      </c>
      <c r="G606" s="4" t="b">
        <v>0</v>
      </c>
      <c r="H606" s="4">
        <v>5</v>
      </c>
      <c r="I606" s="4">
        <v>3</v>
      </c>
      <c r="J606" s="4">
        <v>0.18</v>
      </c>
      <c r="K606" s="4">
        <v>0.21210000000000001</v>
      </c>
      <c r="L606" s="4">
        <v>0.86</v>
      </c>
      <c r="M606" s="4">
        <v>0.1045</v>
      </c>
      <c r="N606" s="4">
        <v>0</v>
      </c>
      <c r="O606" s="4">
        <v>49</v>
      </c>
      <c r="P606" s="4">
        <v>49</v>
      </c>
      <c r="Q606" s="4">
        <f>SUBTOTAL(109,Table6[casual])</f>
        <v>4921</v>
      </c>
      <c r="R606" s="4">
        <f>SUBTOTAL(109,Table6[registered])</f>
        <v>53383</v>
      </c>
      <c r="S606" s="4">
        <f>SUBTOTAL(109,Table6[cnt])</f>
        <v>58304</v>
      </c>
    </row>
    <row r="607" spans="1:19">
      <c r="A607" s="4">
        <v>606</v>
      </c>
      <c r="B607" s="5">
        <v>40571</v>
      </c>
      <c r="C607" s="4">
        <v>1</v>
      </c>
      <c r="D607" s="4">
        <v>0</v>
      </c>
      <c r="E607" s="4">
        <v>1</v>
      </c>
      <c r="F607" s="4">
        <v>11</v>
      </c>
      <c r="G607" s="4" t="b">
        <v>0</v>
      </c>
      <c r="H607" s="4">
        <v>5</v>
      </c>
      <c r="I607" s="4">
        <v>3</v>
      </c>
      <c r="J607" s="4">
        <v>0.18</v>
      </c>
      <c r="K607" s="4">
        <v>0.21210000000000001</v>
      </c>
      <c r="L607" s="4">
        <v>0.93</v>
      </c>
      <c r="M607" s="4">
        <v>0.1045</v>
      </c>
      <c r="N607" s="4">
        <v>0</v>
      </c>
      <c r="O607" s="4">
        <v>30</v>
      </c>
      <c r="P607" s="4">
        <v>30</v>
      </c>
      <c r="Q607" s="4">
        <f>SUBTOTAL(109,Table6[casual])</f>
        <v>4921</v>
      </c>
      <c r="R607" s="4">
        <f>SUBTOTAL(109,Table6[registered])</f>
        <v>53383</v>
      </c>
      <c r="S607" s="4">
        <f>SUBTOTAL(109,Table6[cnt])</f>
        <v>58304</v>
      </c>
    </row>
    <row r="608" spans="1:19">
      <c r="A608" s="4">
        <v>607</v>
      </c>
      <c r="B608" s="5">
        <v>40571</v>
      </c>
      <c r="C608" s="4">
        <v>1</v>
      </c>
      <c r="D608" s="4">
        <v>0</v>
      </c>
      <c r="E608" s="4">
        <v>1</v>
      </c>
      <c r="F608" s="4">
        <v>12</v>
      </c>
      <c r="G608" s="4" t="b">
        <v>0</v>
      </c>
      <c r="H608" s="4">
        <v>5</v>
      </c>
      <c r="I608" s="4">
        <v>3</v>
      </c>
      <c r="J608" s="4">
        <v>0.18</v>
      </c>
      <c r="K608" s="4">
        <v>0.21210000000000001</v>
      </c>
      <c r="L608" s="4">
        <v>0.93</v>
      </c>
      <c r="M608" s="4">
        <v>0.1045</v>
      </c>
      <c r="N608" s="4">
        <v>1</v>
      </c>
      <c r="O608" s="4">
        <v>28</v>
      </c>
      <c r="P608" s="4">
        <v>29</v>
      </c>
      <c r="Q608" s="4">
        <f>SUBTOTAL(109,Table6[casual])</f>
        <v>4921</v>
      </c>
      <c r="R608" s="4">
        <f>SUBTOTAL(109,Table6[registered])</f>
        <v>53383</v>
      </c>
      <c r="S608" s="4">
        <f>SUBTOTAL(109,Table6[cnt])</f>
        <v>58304</v>
      </c>
    </row>
    <row r="609" spans="1:19">
      <c r="A609" s="4">
        <v>608</v>
      </c>
      <c r="B609" s="5">
        <v>40571</v>
      </c>
      <c r="C609" s="4">
        <v>1</v>
      </c>
      <c r="D609" s="4">
        <v>0</v>
      </c>
      <c r="E609" s="4">
        <v>1</v>
      </c>
      <c r="F609" s="4">
        <v>13</v>
      </c>
      <c r="G609" s="4" t="b">
        <v>0</v>
      </c>
      <c r="H609" s="4">
        <v>5</v>
      </c>
      <c r="I609" s="4">
        <v>3</v>
      </c>
      <c r="J609" s="4">
        <v>0.18</v>
      </c>
      <c r="K609" s="4">
        <v>0.21210000000000001</v>
      </c>
      <c r="L609" s="4">
        <v>0.93</v>
      </c>
      <c r="M609" s="4">
        <v>0.1045</v>
      </c>
      <c r="N609" s="4">
        <v>0</v>
      </c>
      <c r="O609" s="4">
        <v>31</v>
      </c>
      <c r="P609" s="4">
        <v>31</v>
      </c>
      <c r="Q609" s="4">
        <f>SUBTOTAL(109,Table6[casual])</f>
        <v>4921</v>
      </c>
      <c r="R609" s="4">
        <f>SUBTOTAL(109,Table6[registered])</f>
        <v>53383</v>
      </c>
      <c r="S609" s="4">
        <f>SUBTOTAL(109,Table6[cnt])</f>
        <v>58304</v>
      </c>
    </row>
    <row r="610" spans="1:19">
      <c r="A610" s="4">
        <v>609</v>
      </c>
      <c r="B610" s="5">
        <v>40571</v>
      </c>
      <c r="C610" s="4">
        <v>1</v>
      </c>
      <c r="D610" s="4">
        <v>0</v>
      </c>
      <c r="E610" s="4">
        <v>1</v>
      </c>
      <c r="F610" s="4">
        <v>14</v>
      </c>
      <c r="G610" s="4" t="b">
        <v>0</v>
      </c>
      <c r="H610" s="4">
        <v>5</v>
      </c>
      <c r="I610" s="4">
        <v>3</v>
      </c>
      <c r="J610" s="4">
        <v>0.22</v>
      </c>
      <c r="K610" s="4">
        <v>0.2727</v>
      </c>
      <c r="L610" s="4">
        <v>0.8</v>
      </c>
      <c r="M610" s="4">
        <v>0</v>
      </c>
      <c r="N610" s="4">
        <v>2</v>
      </c>
      <c r="O610" s="4">
        <v>36</v>
      </c>
      <c r="P610" s="4">
        <v>38</v>
      </c>
      <c r="Q610" s="4">
        <f>SUBTOTAL(109,Table6[casual])</f>
        <v>4921</v>
      </c>
      <c r="R610" s="4">
        <f>SUBTOTAL(109,Table6[registered])</f>
        <v>53383</v>
      </c>
      <c r="S610" s="4">
        <f>SUBTOTAL(109,Table6[cnt])</f>
        <v>58304</v>
      </c>
    </row>
    <row r="611" spans="1:19">
      <c r="A611" s="4">
        <v>610</v>
      </c>
      <c r="B611" s="5">
        <v>40571</v>
      </c>
      <c r="C611" s="4">
        <v>1</v>
      </c>
      <c r="D611" s="4">
        <v>0</v>
      </c>
      <c r="E611" s="4">
        <v>1</v>
      </c>
      <c r="F611" s="4">
        <v>15</v>
      </c>
      <c r="G611" s="4" t="b">
        <v>0</v>
      </c>
      <c r="H611" s="4">
        <v>5</v>
      </c>
      <c r="I611" s="4">
        <v>2</v>
      </c>
      <c r="J611" s="4">
        <v>0.2</v>
      </c>
      <c r="K611" s="4">
        <v>0.2576</v>
      </c>
      <c r="L611" s="4">
        <v>0.86</v>
      </c>
      <c r="M611" s="4">
        <v>0</v>
      </c>
      <c r="N611" s="4">
        <v>1</v>
      </c>
      <c r="O611" s="4">
        <v>40</v>
      </c>
      <c r="P611" s="4">
        <v>41</v>
      </c>
      <c r="Q611" s="4">
        <f>SUBTOTAL(109,Table6[casual])</f>
        <v>4921</v>
      </c>
      <c r="R611" s="4">
        <f>SUBTOTAL(109,Table6[registered])</f>
        <v>53383</v>
      </c>
      <c r="S611" s="4">
        <f>SUBTOTAL(109,Table6[cnt])</f>
        <v>58304</v>
      </c>
    </row>
    <row r="612" spans="1:19">
      <c r="A612" s="2">
        <v>611</v>
      </c>
      <c r="B612" s="3">
        <v>40571</v>
      </c>
      <c r="C612" s="2">
        <v>1</v>
      </c>
      <c r="D612" s="2">
        <v>0</v>
      </c>
      <c r="E612" s="2">
        <v>1</v>
      </c>
      <c r="F612" s="2">
        <v>16</v>
      </c>
      <c r="G612" s="2" t="b">
        <v>0</v>
      </c>
      <c r="H612" s="2">
        <v>5</v>
      </c>
      <c r="I612" s="2">
        <v>1</v>
      </c>
      <c r="J612" s="2">
        <v>0.22</v>
      </c>
      <c r="K612" s="2">
        <v>0.2727</v>
      </c>
      <c r="L612" s="2">
        <v>0.8</v>
      </c>
      <c r="M612" s="2">
        <v>0</v>
      </c>
      <c r="N612" s="2">
        <v>10</v>
      </c>
      <c r="O612" s="2">
        <v>70</v>
      </c>
      <c r="P612" s="2">
        <v>80</v>
      </c>
      <c r="Q612" s="4">
        <f>SUBTOTAL(109,Table6[casual])</f>
        <v>4921</v>
      </c>
      <c r="R612" s="4">
        <f>SUBTOTAL(109,Table6[registered])</f>
        <v>53383</v>
      </c>
      <c r="S612" s="4">
        <f>SUBTOTAL(109,Table6[cnt])</f>
        <v>58304</v>
      </c>
    </row>
    <row r="613" spans="1:19">
      <c r="A613" s="2">
        <v>612</v>
      </c>
      <c r="B613" s="3">
        <v>40571</v>
      </c>
      <c r="C613" s="2">
        <v>1</v>
      </c>
      <c r="D613" s="2">
        <v>0</v>
      </c>
      <c r="E613" s="2">
        <v>1</v>
      </c>
      <c r="F613" s="2">
        <v>17</v>
      </c>
      <c r="G613" s="2" t="b">
        <v>0</v>
      </c>
      <c r="H613" s="2">
        <v>5</v>
      </c>
      <c r="I613" s="2">
        <v>1</v>
      </c>
      <c r="J613" s="2">
        <v>0.24</v>
      </c>
      <c r="K613" s="2">
        <v>0.2424</v>
      </c>
      <c r="L613" s="2">
        <v>0.75</v>
      </c>
      <c r="M613" s="2">
        <v>0.1343</v>
      </c>
      <c r="N613" s="2">
        <v>2</v>
      </c>
      <c r="O613" s="2">
        <v>147</v>
      </c>
      <c r="P613" s="2">
        <v>149</v>
      </c>
      <c r="Q613" s="4">
        <f>SUBTOTAL(109,Table6[casual])</f>
        <v>4921</v>
      </c>
      <c r="R613" s="4">
        <f>SUBTOTAL(109,Table6[registered])</f>
        <v>53383</v>
      </c>
      <c r="S613" s="4">
        <f>SUBTOTAL(109,Table6[cnt])</f>
        <v>58304</v>
      </c>
    </row>
    <row r="614" spans="1:19">
      <c r="A614" s="2">
        <v>613</v>
      </c>
      <c r="B614" s="3">
        <v>40571</v>
      </c>
      <c r="C614" s="2">
        <v>1</v>
      </c>
      <c r="D614" s="2">
        <v>0</v>
      </c>
      <c r="E614" s="2">
        <v>1</v>
      </c>
      <c r="F614" s="2">
        <v>18</v>
      </c>
      <c r="G614" s="2" t="b">
        <v>0</v>
      </c>
      <c r="H614" s="2">
        <v>5</v>
      </c>
      <c r="I614" s="2">
        <v>1</v>
      </c>
      <c r="J614" s="2">
        <v>0.24</v>
      </c>
      <c r="K614" s="2">
        <v>0.2273</v>
      </c>
      <c r="L614" s="2">
        <v>0.75</v>
      </c>
      <c r="M614" s="2">
        <v>0.19400000000000001</v>
      </c>
      <c r="N614" s="2">
        <v>2</v>
      </c>
      <c r="O614" s="2">
        <v>107</v>
      </c>
      <c r="P614" s="2">
        <v>109</v>
      </c>
      <c r="Q614" s="4">
        <f>SUBTOTAL(109,Table6[casual])</f>
        <v>4921</v>
      </c>
      <c r="R614" s="4">
        <f>SUBTOTAL(109,Table6[registered])</f>
        <v>53383</v>
      </c>
      <c r="S614" s="4">
        <f>SUBTOTAL(109,Table6[cnt])</f>
        <v>58304</v>
      </c>
    </row>
    <row r="615" spans="1:19">
      <c r="A615" s="2">
        <v>614</v>
      </c>
      <c r="B615" s="3">
        <v>40571</v>
      </c>
      <c r="C615" s="2">
        <v>1</v>
      </c>
      <c r="D615" s="2">
        <v>0</v>
      </c>
      <c r="E615" s="2">
        <v>1</v>
      </c>
      <c r="F615" s="2">
        <v>19</v>
      </c>
      <c r="G615" s="2" t="b">
        <v>0</v>
      </c>
      <c r="H615" s="2">
        <v>5</v>
      </c>
      <c r="I615" s="2">
        <v>2</v>
      </c>
      <c r="J615" s="2">
        <v>0.24</v>
      </c>
      <c r="K615" s="2">
        <v>0.2424</v>
      </c>
      <c r="L615" s="2">
        <v>0.75</v>
      </c>
      <c r="M615" s="2">
        <v>0.1343</v>
      </c>
      <c r="N615" s="2">
        <v>5</v>
      </c>
      <c r="O615" s="2">
        <v>84</v>
      </c>
      <c r="P615" s="2">
        <v>89</v>
      </c>
      <c r="Q615" s="4">
        <f>SUBTOTAL(109,Table6[casual])</f>
        <v>4921</v>
      </c>
      <c r="R615" s="4">
        <f>SUBTOTAL(109,Table6[registered])</f>
        <v>53383</v>
      </c>
      <c r="S615" s="4">
        <f>SUBTOTAL(109,Table6[cnt])</f>
        <v>58304</v>
      </c>
    </row>
    <row r="616" spans="1:19">
      <c r="A616" s="2">
        <v>615</v>
      </c>
      <c r="B616" s="3">
        <v>40571</v>
      </c>
      <c r="C616" s="2">
        <v>1</v>
      </c>
      <c r="D616" s="2">
        <v>0</v>
      </c>
      <c r="E616" s="2">
        <v>1</v>
      </c>
      <c r="F616" s="2">
        <v>20</v>
      </c>
      <c r="G616" s="2" t="b">
        <v>0</v>
      </c>
      <c r="H616" s="2">
        <v>5</v>
      </c>
      <c r="I616" s="2">
        <v>2</v>
      </c>
      <c r="J616" s="2">
        <v>0.24</v>
      </c>
      <c r="K616" s="2">
        <v>0.2273</v>
      </c>
      <c r="L616" s="2">
        <v>0.7</v>
      </c>
      <c r="M616" s="2">
        <v>0.19400000000000001</v>
      </c>
      <c r="N616" s="2">
        <v>1</v>
      </c>
      <c r="O616" s="2">
        <v>61</v>
      </c>
      <c r="P616" s="2">
        <v>62</v>
      </c>
      <c r="Q616" s="4">
        <f>SUBTOTAL(109,Table6[casual])</f>
        <v>4921</v>
      </c>
      <c r="R616" s="4">
        <f>SUBTOTAL(109,Table6[registered])</f>
        <v>53383</v>
      </c>
      <c r="S616" s="4">
        <f>SUBTOTAL(109,Table6[cnt])</f>
        <v>58304</v>
      </c>
    </row>
    <row r="617" spans="1:19">
      <c r="A617" s="2">
        <v>616</v>
      </c>
      <c r="B617" s="3">
        <v>40571</v>
      </c>
      <c r="C617" s="2">
        <v>1</v>
      </c>
      <c r="D617" s="2">
        <v>0</v>
      </c>
      <c r="E617" s="2">
        <v>1</v>
      </c>
      <c r="F617" s="2">
        <v>21</v>
      </c>
      <c r="G617" s="2" t="b">
        <v>0</v>
      </c>
      <c r="H617" s="2">
        <v>5</v>
      </c>
      <c r="I617" s="2">
        <v>2</v>
      </c>
      <c r="J617" s="2">
        <v>0.22</v>
      </c>
      <c r="K617" s="2">
        <v>0.2273</v>
      </c>
      <c r="L617" s="2">
        <v>0.75</v>
      </c>
      <c r="M617" s="2">
        <v>0.1343</v>
      </c>
      <c r="N617" s="2">
        <v>1</v>
      </c>
      <c r="O617" s="2">
        <v>57</v>
      </c>
      <c r="P617" s="2">
        <v>58</v>
      </c>
      <c r="Q617" s="4">
        <f>SUBTOTAL(109,Table6[casual])</f>
        <v>4921</v>
      </c>
      <c r="R617" s="4">
        <f>SUBTOTAL(109,Table6[registered])</f>
        <v>53383</v>
      </c>
      <c r="S617" s="4">
        <f>SUBTOTAL(109,Table6[cnt])</f>
        <v>58304</v>
      </c>
    </row>
    <row r="618" spans="1:19">
      <c r="A618" s="2">
        <v>617</v>
      </c>
      <c r="B618" s="3">
        <v>40571</v>
      </c>
      <c r="C618" s="2">
        <v>1</v>
      </c>
      <c r="D618" s="2">
        <v>0</v>
      </c>
      <c r="E618" s="2">
        <v>1</v>
      </c>
      <c r="F618" s="2">
        <v>22</v>
      </c>
      <c r="G618" s="2" t="b">
        <v>0</v>
      </c>
      <c r="H618" s="2">
        <v>5</v>
      </c>
      <c r="I618" s="2">
        <v>1</v>
      </c>
      <c r="J618" s="2">
        <v>0.24</v>
      </c>
      <c r="K618" s="2">
        <v>0.21210000000000001</v>
      </c>
      <c r="L618" s="2">
        <v>0.65</v>
      </c>
      <c r="M618" s="2">
        <v>0.35820000000000002</v>
      </c>
      <c r="N618" s="2">
        <v>0</v>
      </c>
      <c r="O618" s="2">
        <v>26</v>
      </c>
      <c r="P618" s="2">
        <v>26</v>
      </c>
      <c r="Q618" s="4">
        <f>SUBTOTAL(109,Table6[casual])</f>
        <v>4921</v>
      </c>
      <c r="R618" s="4">
        <f>SUBTOTAL(109,Table6[registered])</f>
        <v>53383</v>
      </c>
      <c r="S618" s="4">
        <f>SUBTOTAL(109,Table6[cnt])</f>
        <v>58304</v>
      </c>
    </row>
    <row r="619" spans="1:19">
      <c r="A619" s="2">
        <v>618</v>
      </c>
      <c r="B619" s="3">
        <v>40571</v>
      </c>
      <c r="C619" s="2">
        <v>1</v>
      </c>
      <c r="D619" s="2">
        <v>0</v>
      </c>
      <c r="E619" s="2">
        <v>1</v>
      </c>
      <c r="F619" s="2">
        <v>23</v>
      </c>
      <c r="G619" s="2" t="b">
        <v>0</v>
      </c>
      <c r="H619" s="2">
        <v>5</v>
      </c>
      <c r="I619" s="2">
        <v>1</v>
      </c>
      <c r="J619" s="2">
        <v>0.24</v>
      </c>
      <c r="K619" s="2">
        <v>0.2273</v>
      </c>
      <c r="L619" s="2">
        <v>0.6</v>
      </c>
      <c r="M619" s="2">
        <v>0.22389999999999999</v>
      </c>
      <c r="N619" s="2">
        <v>1</v>
      </c>
      <c r="O619" s="2">
        <v>22</v>
      </c>
      <c r="P619" s="2">
        <v>23</v>
      </c>
      <c r="Q619" s="4">
        <f>SUBTOTAL(109,Table6[casual])</f>
        <v>4921</v>
      </c>
      <c r="R619" s="4">
        <f>SUBTOTAL(109,Table6[registered])</f>
        <v>53383</v>
      </c>
      <c r="S619" s="4">
        <f>SUBTOTAL(109,Table6[cnt])</f>
        <v>58304</v>
      </c>
    </row>
    <row r="620" spans="1:19">
      <c r="A620" s="2">
        <v>619</v>
      </c>
      <c r="B620" s="3">
        <v>40572</v>
      </c>
      <c r="C620" s="2">
        <v>1</v>
      </c>
      <c r="D620" s="2">
        <v>0</v>
      </c>
      <c r="E620" s="2">
        <v>1</v>
      </c>
      <c r="F620" s="2">
        <v>0</v>
      </c>
      <c r="G620" s="2" t="b">
        <v>0</v>
      </c>
      <c r="H620" s="2">
        <v>6</v>
      </c>
      <c r="I620" s="2">
        <v>1</v>
      </c>
      <c r="J620" s="2">
        <v>0.22</v>
      </c>
      <c r="K620" s="2">
        <v>0.19700000000000001</v>
      </c>
      <c r="L620" s="2">
        <v>0.64</v>
      </c>
      <c r="M620" s="2">
        <v>0.35820000000000002</v>
      </c>
      <c r="N620" s="2">
        <v>2</v>
      </c>
      <c r="O620" s="2">
        <v>26</v>
      </c>
      <c r="P620" s="2">
        <v>28</v>
      </c>
      <c r="Q620" s="4">
        <f>SUBTOTAL(109,Table6[casual])</f>
        <v>4921</v>
      </c>
      <c r="R620" s="4">
        <f>SUBTOTAL(109,Table6[registered])</f>
        <v>53383</v>
      </c>
      <c r="S620" s="4">
        <f>SUBTOTAL(109,Table6[cnt])</f>
        <v>58304</v>
      </c>
    </row>
    <row r="621" spans="1:19">
      <c r="A621" s="2">
        <v>620</v>
      </c>
      <c r="B621" s="3">
        <v>40572</v>
      </c>
      <c r="C621" s="2">
        <v>1</v>
      </c>
      <c r="D621" s="2">
        <v>0</v>
      </c>
      <c r="E621" s="2">
        <v>1</v>
      </c>
      <c r="F621" s="2">
        <v>1</v>
      </c>
      <c r="G621" s="2" t="b">
        <v>0</v>
      </c>
      <c r="H621" s="2">
        <v>6</v>
      </c>
      <c r="I621" s="2">
        <v>1</v>
      </c>
      <c r="J621" s="2">
        <v>0.22</v>
      </c>
      <c r="K621" s="2">
        <v>0.2273</v>
      </c>
      <c r="L621" s="2">
        <v>0.64</v>
      </c>
      <c r="M621" s="2">
        <v>0.19400000000000001</v>
      </c>
      <c r="N621" s="2">
        <v>0</v>
      </c>
      <c r="O621" s="2">
        <v>20</v>
      </c>
      <c r="P621" s="2">
        <v>20</v>
      </c>
      <c r="Q621" s="4">
        <f>SUBTOTAL(109,Table6[casual])</f>
        <v>4921</v>
      </c>
      <c r="R621" s="4">
        <f>SUBTOTAL(109,Table6[registered])</f>
        <v>53383</v>
      </c>
      <c r="S621" s="4">
        <f>SUBTOTAL(109,Table6[cnt])</f>
        <v>58304</v>
      </c>
    </row>
    <row r="622" spans="1:19">
      <c r="A622" s="2">
        <v>621</v>
      </c>
      <c r="B622" s="3">
        <v>40572</v>
      </c>
      <c r="C622" s="2">
        <v>1</v>
      </c>
      <c r="D622" s="2">
        <v>0</v>
      </c>
      <c r="E622" s="2">
        <v>1</v>
      </c>
      <c r="F622" s="2">
        <v>2</v>
      </c>
      <c r="G622" s="2" t="b">
        <v>0</v>
      </c>
      <c r="H622" s="2">
        <v>6</v>
      </c>
      <c r="I622" s="2">
        <v>1</v>
      </c>
      <c r="J622" s="2">
        <v>0.22</v>
      </c>
      <c r="K622" s="2">
        <v>0.2273</v>
      </c>
      <c r="L622" s="2">
        <v>0.64</v>
      </c>
      <c r="M622" s="2">
        <v>0.16420000000000001</v>
      </c>
      <c r="N622" s="2">
        <v>0</v>
      </c>
      <c r="O622" s="2">
        <v>15</v>
      </c>
      <c r="P622" s="2">
        <v>15</v>
      </c>
      <c r="Q622" s="4">
        <f>SUBTOTAL(109,Table6[casual])</f>
        <v>4921</v>
      </c>
      <c r="R622" s="4">
        <f>SUBTOTAL(109,Table6[registered])</f>
        <v>53383</v>
      </c>
      <c r="S622" s="4">
        <f>SUBTOTAL(109,Table6[cnt])</f>
        <v>58304</v>
      </c>
    </row>
    <row r="623" spans="1:19">
      <c r="A623" s="2">
        <v>622</v>
      </c>
      <c r="B623" s="3">
        <v>40572</v>
      </c>
      <c r="C623" s="2">
        <v>1</v>
      </c>
      <c r="D623" s="2">
        <v>0</v>
      </c>
      <c r="E623" s="2">
        <v>1</v>
      </c>
      <c r="F623" s="2">
        <v>3</v>
      </c>
      <c r="G623" s="2" t="b">
        <v>0</v>
      </c>
      <c r="H623" s="2">
        <v>6</v>
      </c>
      <c r="I623" s="2">
        <v>1</v>
      </c>
      <c r="J623" s="2">
        <v>0.2</v>
      </c>
      <c r="K623" s="2">
        <v>0.21210000000000001</v>
      </c>
      <c r="L623" s="2">
        <v>0.64</v>
      </c>
      <c r="M623" s="2">
        <v>0.1343</v>
      </c>
      <c r="N623" s="2">
        <v>3</v>
      </c>
      <c r="O623" s="2">
        <v>5</v>
      </c>
      <c r="P623" s="2">
        <v>8</v>
      </c>
      <c r="Q623" s="4">
        <f>SUBTOTAL(109,Table6[casual])</f>
        <v>4921</v>
      </c>
      <c r="R623" s="4">
        <f>SUBTOTAL(109,Table6[registered])</f>
        <v>53383</v>
      </c>
      <c r="S623" s="4">
        <f>SUBTOTAL(109,Table6[cnt])</f>
        <v>58304</v>
      </c>
    </row>
    <row r="624" spans="1:19">
      <c r="A624" s="2">
        <v>623</v>
      </c>
      <c r="B624" s="3">
        <v>40572</v>
      </c>
      <c r="C624" s="2">
        <v>1</v>
      </c>
      <c r="D624" s="2">
        <v>0</v>
      </c>
      <c r="E624" s="2">
        <v>1</v>
      </c>
      <c r="F624" s="2">
        <v>4</v>
      </c>
      <c r="G624" s="2" t="b">
        <v>0</v>
      </c>
      <c r="H624" s="2">
        <v>6</v>
      </c>
      <c r="I624" s="2">
        <v>1</v>
      </c>
      <c r="J624" s="2">
        <v>0.16</v>
      </c>
      <c r="K624" s="2">
        <v>0.18179999999999999</v>
      </c>
      <c r="L624" s="2">
        <v>0.69</v>
      </c>
      <c r="M624" s="2">
        <v>0.1045</v>
      </c>
      <c r="N624" s="2">
        <v>1</v>
      </c>
      <c r="O624" s="2">
        <v>2</v>
      </c>
      <c r="P624" s="2">
        <v>3</v>
      </c>
      <c r="Q624" s="4">
        <f>SUBTOTAL(109,Table6[casual])</f>
        <v>4921</v>
      </c>
      <c r="R624" s="4">
        <f>SUBTOTAL(109,Table6[registered])</f>
        <v>53383</v>
      </c>
      <c r="S624" s="4">
        <f>SUBTOTAL(109,Table6[cnt])</f>
        <v>58304</v>
      </c>
    </row>
    <row r="625" spans="1:19">
      <c r="A625" s="2">
        <v>624</v>
      </c>
      <c r="B625" s="3">
        <v>40572</v>
      </c>
      <c r="C625" s="2">
        <v>1</v>
      </c>
      <c r="D625" s="2">
        <v>0</v>
      </c>
      <c r="E625" s="2">
        <v>1</v>
      </c>
      <c r="F625" s="2">
        <v>6</v>
      </c>
      <c r="G625" s="2" t="b">
        <v>0</v>
      </c>
      <c r="H625" s="2">
        <v>6</v>
      </c>
      <c r="I625" s="2">
        <v>1</v>
      </c>
      <c r="J625" s="2">
        <v>0.16</v>
      </c>
      <c r="K625" s="2">
        <v>0.18179999999999999</v>
      </c>
      <c r="L625" s="2">
        <v>0.64</v>
      </c>
      <c r="M625" s="2">
        <v>0.1343</v>
      </c>
      <c r="N625" s="2">
        <v>0</v>
      </c>
      <c r="O625" s="2">
        <v>2</v>
      </c>
      <c r="P625" s="2">
        <v>2</v>
      </c>
      <c r="Q625" s="4">
        <f>SUBTOTAL(109,Table6[casual])</f>
        <v>4921</v>
      </c>
      <c r="R625" s="4">
        <f>SUBTOTAL(109,Table6[registered])</f>
        <v>53383</v>
      </c>
      <c r="S625" s="4">
        <f>SUBTOTAL(109,Table6[cnt])</f>
        <v>58304</v>
      </c>
    </row>
    <row r="626" spans="1:19">
      <c r="A626" s="2">
        <v>625</v>
      </c>
      <c r="B626" s="3">
        <v>40572</v>
      </c>
      <c r="C626" s="2">
        <v>1</v>
      </c>
      <c r="D626" s="2">
        <v>0</v>
      </c>
      <c r="E626" s="2">
        <v>1</v>
      </c>
      <c r="F626" s="2">
        <v>7</v>
      </c>
      <c r="G626" s="2" t="b">
        <v>0</v>
      </c>
      <c r="H626" s="2">
        <v>6</v>
      </c>
      <c r="I626" s="2">
        <v>1</v>
      </c>
      <c r="J626" s="2">
        <v>0.16</v>
      </c>
      <c r="K626" s="2">
        <v>0.18179999999999999</v>
      </c>
      <c r="L626" s="2">
        <v>0.59</v>
      </c>
      <c r="M626" s="2">
        <v>0.1045</v>
      </c>
      <c r="N626" s="2">
        <v>1</v>
      </c>
      <c r="O626" s="2">
        <v>4</v>
      </c>
      <c r="P626" s="2">
        <v>5</v>
      </c>
      <c r="Q626" s="4">
        <f>SUBTOTAL(109,Table6[casual])</f>
        <v>4921</v>
      </c>
      <c r="R626" s="4">
        <f>SUBTOTAL(109,Table6[registered])</f>
        <v>53383</v>
      </c>
      <c r="S626" s="4">
        <f>SUBTOTAL(109,Table6[cnt])</f>
        <v>58304</v>
      </c>
    </row>
    <row r="627" spans="1:19">
      <c r="A627" s="2">
        <v>626</v>
      </c>
      <c r="B627" s="3">
        <v>40572</v>
      </c>
      <c r="C627" s="2">
        <v>1</v>
      </c>
      <c r="D627" s="2">
        <v>0</v>
      </c>
      <c r="E627" s="2">
        <v>1</v>
      </c>
      <c r="F627" s="2">
        <v>8</v>
      </c>
      <c r="G627" s="2" t="b">
        <v>0</v>
      </c>
      <c r="H627" s="2">
        <v>6</v>
      </c>
      <c r="I627" s="2">
        <v>1</v>
      </c>
      <c r="J627" s="2">
        <v>0.18</v>
      </c>
      <c r="K627" s="2">
        <v>0.19700000000000001</v>
      </c>
      <c r="L627" s="2">
        <v>0.55000000000000004</v>
      </c>
      <c r="M627" s="2">
        <v>0.16420000000000001</v>
      </c>
      <c r="N627" s="2">
        <v>3</v>
      </c>
      <c r="O627" s="2">
        <v>31</v>
      </c>
      <c r="P627" s="2">
        <v>34</v>
      </c>
      <c r="Q627" s="4">
        <f>SUBTOTAL(109,Table6[casual])</f>
        <v>4921</v>
      </c>
      <c r="R627" s="4">
        <f>SUBTOTAL(109,Table6[registered])</f>
        <v>53383</v>
      </c>
      <c r="S627" s="4">
        <f>SUBTOTAL(109,Table6[cnt])</f>
        <v>58304</v>
      </c>
    </row>
    <row r="628" spans="1:19">
      <c r="A628" s="2">
        <v>627</v>
      </c>
      <c r="B628" s="3">
        <v>40572</v>
      </c>
      <c r="C628" s="2">
        <v>1</v>
      </c>
      <c r="D628" s="2">
        <v>0</v>
      </c>
      <c r="E628" s="2">
        <v>1</v>
      </c>
      <c r="F628" s="2">
        <v>9</v>
      </c>
      <c r="G628" s="2" t="b">
        <v>0</v>
      </c>
      <c r="H628" s="2">
        <v>6</v>
      </c>
      <c r="I628" s="2">
        <v>1</v>
      </c>
      <c r="J628" s="2">
        <v>0.18</v>
      </c>
      <c r="K628" s="2">
        <v>0.21210000000000001</v>
      </c>
      <c r="L628" s="2">
        <v>0.59</v>
      </c>
      <c r="M628" s="2">
        <v>8.9599999999999999E-2</v>
      </c>
      <c r="N628" s="2">
        <v>0</v>
      </c>
      <c r="O628" s="2">
        <v>34</v>
      </c>
      <c r="P628" s="2">
        <v>34</v>
      </c>
      <c r="Q628" s="4">
        <f>SUBTOTAL(109,Table6[casual])</f>
        <v>4921</v>
      </c>
      <c r="R628" s="4">
        <f>SUBTOTAL(109,Table6[registered])</f>
        <v>53383</v>
      </c>
      <c r="S628" s="4">
        <f>SUBTOTAL(109,Table6[cnt])</f>
        <v>58304</v>
      </c>
    </row>
    <row r="629" spans="1:19">
      <c r="A629" s="2">
        <v>628</v>
      </c>
      <c r="B629" s="3">
        <v>40572</v>
      </c>
      <c r="C629" s="2">
        <v>1</v>
      </c>
      <c r="D629" s="2">
        <v>0</v>
      </c>
      <c r="E629" s="2">
        <v>1</v>
      </c>
      <c r="F629" s="2">
        <v>10</v>
      </c>
      <c r="G629" s="2" t="b">
        <v>0</v>
      </c>
      <c r="H629" s="2">
        <v>6</v>
      </c>
      <c r="I629" s="2">
        <v>2</v>
      </c>
      <c r="J629" s="2">
        <v>0.18</v>
      </c>
      <c r="K629" s="2">
        <v>0.21210000000000001</v>
      </c>
      <c r="L629" s="2">
        <v>0.64</v>
      </c>
      <c r="M629" s="2">
        <v>0.1045</v>
      </c>
      <c r="N629" s="2">
        <v>4</v>
      </c>
      <c r="O629" s="2">
        <v>51</v>
      </c>
      <c r="P629" s="2">
        <v>55</v>
      </c>
      <c r="Q629" s="4">
        <f>SUBTOTAL(109,Table6[casual])</f>
        <v>4921</v>
      </c>
      <c r="R629" s="4">
        <f>SUBTOTAL(109,Table6[registered])</f>
        <v>53383</v>
      </c>
      <c r="S629" s="4">
        <f>SUBTOTAL(109,Table6[cnt])</f>
        <v>58304</v>
      </c>
    </row>
    <row r="630" spans="1:19">
      <c r="A630" s="2">
        <v>629</v>
      </c>
      <c r="B630" s="3">
        <v>40572</v>
      </c>
      <c r="C630" s="2">
        <v>1</v>
      </c>
      <c r="D630" s="2">
        <v>0</v>
      </c>
      <c r="E630" s="2">
        <v>1</v>
      </c>
      <c r="F630" s="2">
        <v>11</v>
      </c>
      <c r="G630" s="2" t="b">
        <v>0</v>
      </c>
      <c r="H630" s="2">
        <v>6</v>
      </c>
      <c r="I630" s="2">
        <v>2</v>
      </c>
      <c r="J630" s="2">
        <v>0.18</v>
      </c>
      <c r="K630" s="2">
        <v>0.19700000000000001</v>
      </c>
      <c r="L630" s="2">
        <v>0.64</v>
      </c>
      <c r="M630" s="2">
        <v>0.1343</v>
      </c>
      <c r="N630" s="2">
        <v>4</v>
      </c>
      <c r="O630" s="2">
        <v>60</v>
      </c>
      <c r="P630" s="2">
        <v>64</v>
      </c>
      <c r="Q630" s="4">
        <f>SUBTOTAL(109,Table6[casual])</f>
        <v>4921</v>
      </c>
      <c r="R630" s="4">
        <f>SUBTOTAL(109,Table6[registered])</f>
        <v>53383</v>
      </c>
      <c r="S630" s="4">
        <f>SUBTOTAL(109,Table6[cnt])</f>
        <v>58304</v>
      </c>
    </row>
    <row r="631" spans="1:19">
      <c r="A631" s="2">
        <v>630</v>
      </c>
      <c r="B631" s="3">
        <v>40572</v>
      </c>
      <c r="C631" s="2">
        <v>1</v>
      </c>
      <c r="D631" s="2">
        <v>0</v>
      </c>
      <c r="E631" s="2">
        <v>1</v>
      </c>
      <c r="F631" s="2">
        <v>12</v>
      </c>
      <c r="G631" s="2" t="b">
        <v>0</v>
      </c>
      <c r="H631" s="2">
        <v>6</v>
      </c>
      <c r="I631" s="2">
        <v>2</v>
      </c>
      <c r="J631" s="2">
        <v>0.2</v>
      </c>
      <c r="K631" s="2">
        <v>0.19700000000000001</v>
      </c>
      <c r="L631" s="2">
        <v>0.59</v>
      </c>
      <c r="M631" s="2">
        <v>0.19400000000000001</v>
      </c>
      <c r="N631" s="2">
        <v>12</v>
      </c>
      <c r="O631" s="2">
        <v>66</v>
      </c>
      <c r="P631" s="2">
        <v>78</v>
      </c>
      <c r="Q631" s="4">
        <f>SUBTOTAL(109,Table6[casual])</f>
        <v>4921</v>
      </c>
      <c r="R631" s="4">
        <f>SUBTOTAL(109,Table6[registered])</f>
        <v>53383</v>
      </c>
      <c r="S631" s="4">
        <f>SUBTOTAL(109,Table6[cnt])</f>
        <v>58304</v>
      </c>
    </row>
    <row r="632" spans="1:19">
      <c r="A632" s="2">
        <v>631</v>
      </c>
      <c r="B632" s="3">
        <v>40572</v>
      </c>
      <c r="C632" s="2">
        <v>1</v>
      </c>
      <c r="D632" s="2">
        <v>0</v>
      </c>
      <c r="E632" s="2">
        <v>1</v>
      </c>
      <c r="F632" s="2">
        <v>13</v>
      </c>
      <c r="G632" s="2" t="b">
        <v>0</v>
      </c>
      <c r="H632" s="2">
        <v>6</v>
      </c>
      <c r="I632" s="2">
        <v>2</v>
      </c>
      <c r="J632" s="2">
        <v>0.22</v>
      </c>
      <c r="K632" s="2">
        <v>0.2273</v>
      </c>
      <c r="L632" s="2">
        <v>0.55000000000000004</v>
      </c>
      <c r="M632" s="2">
        <v>0.16420000000000001</v>
      </c>
      <c r="N632" s="2">
        <v>9</v>
      </c>
      <c r="O632" s="2">
        <v>56</v>
      </c>
      <c r="P632" s="2">
        <v>65</v>
      </c>
      <c r="Q632" s="4">
        <f>SUBTOTAL(109,Table6[casual])</f>
        <v>4921</v>
      </c>
      <c r="R632" s="4">
        <f>SUBTOTAL(109,Table6[registered])</f>
        <v>53383</v>
      </c>
      <c r="S632" s="4">
        <f>SUBTOTAL(109,Table6[cnt])</f>
        <v>58304</v>
      </c>
    </row>
    <row r="633" spans="1:19">
      <c r="A633" s="2">
        <v>632</v>
      </c>
      <c r="B633" s="3">
        <v>40572</v>
      </c>
      <c r="C633" s="2">
        <v>1</v>
      </c>
      <c r="D633" s="2">
        <v>0</v>
      </c>
      <c r="E633" s="2">
        <v>1</v>
      </c>
      <c r="F633" s="2">
        <v>14</v>
      </c>
      <c r="G633" s="2" t="b">
        <v>0</v>
      </c>
      <c r="H633" s="2">
        <v>6</v>
      </c>
      <c r="I633" s="2">
        <v>2</v>
      </c>
      <c r="J633" s="2">
        <v>0.22</v>
      </c>
      <c r="K633" s="2">
        <v>0.2273</v>
      </c>
      <c r="L633" s="2">
        <v>0.6</v>
      </c>
      <c r="M633" s="2">
        <v>0.1343</v>
      </c>
      <c r="N633" s="2">
        <v>10</v>
      </c>
      <c r="O633" s="2">
        <v>89</v>
      </c>
      <c r="P633" s="2">
        <v>99</v>
      </c>
      <c r="Q633" s="4">
        <f>SUBTOTAL(109,Table6[casual])</f>
        <v>4921</v>
      </c>
      <c r="R633" s="4">
        <f>SUBTOTAL(109,Table6[registered])</f>
        <v>53383</v>
      </c>
      <c r="S633" s="4">
        <f>SUBTOTAL(109,Table6[cnt])</f>
        <v>58304</v>
      </c>
    </row>
    <row r="634" spans="1:19">
      <c r="A634" s="2">
        <v>633</v>
      </c>
      <c r="B634" s="3">
        <v>40572</v>
      </c>
      <c r="C634" s="2">
        <v>1</v>
      </c>
      <c r="D634" s="2">
        <v>0</v>
      </c>
      <c r="E634" s="2">
        <v>1</v>
      </c>
      <c r="F634" s="2">
        <v>15</v>
      </c>
      <c r="G634" s="2" t="b">
        <v>0</v>
      </c>
      <c r="H634" s="2">
        <v>6</v>
      </c>
      <c r="I634" s="2">
        <v>1</v>
      </c>
      <c r="J634" s="2">
        <v>0.22</v>
      </c>
      <c r="K634" s="2">
        <v>0.21210000000000001</v>
      </c>
      <c r="L634" s="2">
        <v>0.69</v>
      </c>
      <c r="M634" s="2">
        <v>0.25369999999999998</v>
      </c>
      <c r="N634" s="2">
        <v>22</v>
      </c>
      <c r="O634" s="2">
        <v>98</v>
      </c>
      <c r="P634" s="2">
        <v>120</v>
      </c>
      <c r="Q634" s="4">
        <f>SUBTOTAL(109,Table6[casual])</f>
        <v>4921</v>
      </c>
      <c r="R634" s="4">
        <f>SUBTOTAL(109,Table6[registered])</f>
        <v>53383</v>
      </c>
      <c r="S634" s="4">
        <f>SUBTOTAL(109,Table6[cnt])</f>
        <v>58304</v>
      </c>
    </row>
    <row r="635" spans="1:19">
      <c r="A635" s="2">
        <v>634</v>
      </c>
      <c r="B635" s="3">
        <v>40572</v>
      </c>
      <c r="C635" s="2">
        <v>1</v>
      </c>
      <c r="D635" s="2">
        <v>0</v>
      </c>
      <c r="E635" s="2">
        <v>1</v>
      </c>
      <c r="F635" s="2">
        <v>16</v>
      </c>
      <c r="G635" s="2" t="b">
        <v>0</v>
      </c>
      <c r="H635" s="2">
        <v>6</v>
      </c>
      <c r="I635" s="2">
        <v>1</v>
      </c>
      <c r="J635" s="2">
        <v>0.24</v>
      </c>
      <c r="K635" s="2">
        <v>0.2424</v>
      </c>
      <c r="L635" s="2">
        <v>0.6</v>
      </c>
      <c r="M635" s="2">
        <v>0.16420000000000001</v>
      </c>
      <c r="N635" s="2">
        <v>19</v>
      </c>
      <c r="O635" s="2">
        <v>88</v>
      </c>
      <c r="P635" s="2">
        <v>107</v>
      </c>
      <c r="Q635" s="4">
        <f>SUBTOTAL(109,Table6[casual])</f>
        <v>4921</v>
      </c>
      <c r="R635" s="4">
        <f>SUBTOTAL(109,Table6[registered])</f>
        <v>53383</v>
      </c>
      <c r="S635" s="4">
        <f>SUBTOTAL(109,Table6[cnt])</f>
        <v>58304</v>
      </c>
    </row>
    <row r="636" spans="1:19">
      <c r="A636" s="2">
        <v>635</v>
      </c>
      <c r="B636" s="3">
        <v>40572</v>
      </c>
      <c r="C636" s="2">
        <v>1</v>
      </c>
      <c r="D636" s="2">
        <v>0</v>
      </c>
      <c r="E636" s="2">
        <v>1</v>
      </c>
      <c r="F636" s="2">
        <v>17</v>
      </c>
      <c r="G636" s="2" t="b">
        <v>0</v>
      </c>
      <c r="H636" s="2">
        <v>6</v>
      </c>
      <c r="I636" s="2">
        <v>1</v>
      </c>
      <c r="J636" s="2">
        <v>0.24</v>
      </c>
      <c r="K636" s="2">
        <v>0.28789999999999999</v>
      </c>
      <c r="L636" s="2">
        <v>0.6</v>
      </c>
      <c r="M636" s="2">
        <v>0</v>
      </c>
      <c r="N636" s="2">
        <v>9</v>
      </c>
      <c r="O636" s="2">
        <v>82</v>
      </c>
      <c r="P636" s="2">
        <v>91</v>
      </c>
      <c r="Q636" s="4">
        <f>SUBTOTAL(109,Table6[casual])</f>
        <v>4921</v>
      </c>
      <c r="R636" s="4">
        <f>SUBTOTAL(109,Table6[registered])</f>
        <v>53383</v>
      </c>
      <c r="S636" s="4">
        <f>SUBTOTAL(109,Table6[cnt])</f>
        <v>58304</v>
      </c>
    </row>
    <row r="637" spans="1:19">
      <c r="A637" s="2">
        <v>636</v>
      </c>
      <c r="B637" s="3">
        <v>40572</v>
      </c>
      <c r="C637" s="2">
        <v>1</v>
      </c>
      <c r="D637" s="2">
        <v>0</v>
      </c>
      <c r="E637" s="2">
        <v>1</v>
      </c>
      <c r="F637" s="2">
        <v>18</v>
      </c>
      <c r="G637" s="2" t="b">
        <v>0</v>
      </c>
      <c r="H637" s="2">
        <v>6</v>
      </c>
      <c r="I637" s="2">
        <v>1</v>
      </c>
      <c r="J637" s="2">
        <v>0.22</v>
      </c>
      <c r="K637" s="2">
        <v>0.2273</v>
      </c>
      <c r="L637" s="2">
        <v>0.69</v>
      </c>
      <c r="M637" s="2">
        <v>0.1343</v>
      </c>
      <c r="N637" s="2">
        <v>9</v>
      </c>
      <c r="O637" s="2">
        <v>59</v>
      </c>
      <c r="P637" s="2">
        <v>68</v>
      </c>
      <c r="Q637" s="4">
        <f>SUBTOTAL(109,Table6[casual])</f>
        <v>4921</v>
      </c>
      <c r="R637" s="4">
        <f>SUBTOTAL(109,Table6[registered])</f>
        <v>53383</v>
      </c>
      <c r="S637" s="4">
        <f>SUBTOTAL(109,Table6[cnt])</f>
        <v>58304</v>
      </c>
    </row>
    <row r="638" spans="1:19">
      <c r="A638" s="2">
        <v>637</v>
      </c>
      <c r="B638" s="3">
        <v>40572</v>
      </c>
      <c r="C638" s="2">
        <v>1</v>
      </c>
      <c r="D638" s="2">
        <v>0</v>
      </c>
      <c r="E638" s="2">
        <v>1</v>
      </c>
      <c r="F638" s="2">
        <v>19</v>
      </c>
      <c r="G638" s="2" t="b">
        <v>0</v>
      </c>
      <c r="H638" s="2">
        <v>6</v>
      </c>
      <c r="I638" s="2">
        <v>2</v>
      </c>
      <c r="J638" s="2">
        <v>0.22</v>
      </c>
      <c r="K638" s="2">
        <v>0.21210000000000001</v>
      </c>
      <c r="L638" s="2">
        <v>0.69</v>
      </c>
      <c r="M638" s="2">
        <v>0.25369999999999998</v>
      </c>
      <c r="N638" s="2">
        <v>6</v>
      </c>
      <c r="O638" s="2">
        <v>52</v>
      </c>
      <c r="P638" s="2">
        <v>58</v>
      </c>
      <c r="Q638" s="4">
        <f>SUBTOTAL(109,Table6[casual])</f>
        <v>4921</v>
      </c>
      <c r="R638" s="4">
        <f>SUBTOTAL(109,Table6[registered])</f>
        <v>53383</v>
      </c>
      <c r="S638" s="4">
        <f>SUBTOTAL(109,Table6[cnt])</f>
        <v>58304</v>
      </c>
    </row>
    <row r="639" spans="1:19">
      <c r="A639" s="2">
        <v>638</v>
      </c>
      <c r="B639" s="3">
        <v>40572</v>
      </c>
      <c r="C639" s="2">
        <v>1</v>
      </c>
      <c r="D639" s="2">
        <v>0</v>
      </c>
      <c r="E639" s="2">
        <v>1</v>
      </c>
      <c r="F639" s="2">
        <v>20</v>
      </c>
      <c r="G639" s="2" t="b">
        <v>0</v>
      </c>
      <c r="H639" s="2">
        <v>6</v>
      </c>
      <c r="I639" s="2">
        <v>1</v>
      </c>
      <c r="J639" s="2">
        <v>0.18</v>
      </c>
      <c r="K639" s="2">
        <v>0.21210000000000001</v>
      </c>
      <c r="L639" s="2">
        <v>0.74</v>
      </c>
      <c r="M639" s="2">
        <v>8.9599999999999999E-2</v>
      </c>
      <c r="N639" s="2">
        <v>1</v>
      </c>
      <c r="O639" s="2">
        <v>42</v>
      </c>
      <c r="P639" s="2">
        <v>43</v>
      </c>
      <c r="Q639" s="4">
        <f>SUBTOTAL(109,Table6[casual])</f>
        <v>4921</v>
      </c>
      <c r="R639" s="4">
        <f>SUBTOTAL(109,Table6[registered])</f>
        <v>53383</v>
      </c>
      <c r="S639" s="4">
        <f>SUBTOTAL(109,Table6[cnt])</f>
        <v>58304</v>
      </c>
    </row>
    <row r="640" spans="1:19">
      <c r="A640" s="2">
        <v>639</v>
      </c>
      <c r="B640" s="3">
        <v>40572</v>
      </c>
      <c r="C640" s="2">
        <v>1</v>
      </c>
      <c r="D640" s="2">
        <v>0</v>
      </c>
      <c r="E640" s="2">
        <v>1</v>
      </c>
      <c r="F640" s="2">
        <v>21</v>
      </c>
      <c r="G640" s="2" t="b">
        <v>0</v>
      </c>
      <c r="H640" s="2">
        <v>6</v>
      </c>
      <c r="I640" s="2">
        <v>1</v>
      </c>
      <c r="J640" s="2">
        <v>0.18</v>
      </c>
      <c r="K640" s="2">
        <v>0.21210000000000001</v>
      </c>
      <c r="L640" s="2">
        <v>0.74</v>
      </c>
      <c r="M640" s="2">
        <v>8.9599999999999999E-2</v>
      </c>
      <c r="N640" s="2">
        <v>1</v>
      </c>
      <c r="O640" s="2">
        <v>35</v>
      </c>
      <c r="P640" s="2">
        <v>36</v>
      </c>
      <c r="Q640" s="4">
        <f>SUBTOTAL(109,Table6[casual])</f>
        <v>4921</v>
      </c>
      <c r="R640" s="4">
        <f>SUBTOTAL(109,Table6[registered])</f>
        <v>53383</v>
      </c>
      <c r="S640" s="4">
        <f>SUBTOTAL(109,Table6[cnt])</f>
        <v>58304</v>
      </c>
    </row>
    <row r="641" spans="1:19">
      <c r="A641" s="2">
        <v>640</v>
      </c>
      <c r="B641" s="3">
        <v>40572</v>
      </c>
      <c r="C641" s="2">
        <v>1</v>
      </c>
      <c r="D641" s="2">
        <v>0</v>
      </c>
      <c r="E641" s="2">
        <v>1</v>
      </c>
      <c r="F641" s="2">
        <v>22</v>
      </c>
      <c r="G641" s="2" t="b">
        <v>0</v>
      </c>
      <c r="H641" s="2">
        <v>6</v>
      </c>
      <c r="I641" s="2">
        <v>1</v>
      </c>
      <c r="J641" s="2">
        <v>0.16</v>
      </c>
      <c r="K641" s="2">
        <v>0.19700000000000001</v>
      </c>
      <c r="L641" s="2">
        <v>0.8</v>
      </c>
      <c r="M641" s="2">
        <v>8.9599999999999999E-2</v>
      </c>
      <c r="N641" s="2">
        <v>4</v>
      </c>
      <c r="O641" s="2">
        <v>28</v>
      </c>
      <c r="P641" s="2">
        <v>32</v>
      </c>
      <c r="Q641" s="4">
        <f>SUBTOTAL(109,Table6[casual])</f>
        <v>4921</v>
      </c>
      <c r="R641" s="4">
        <f>SUBTOTAL(109,Table6[registered])</f>
        <v>53383</v>
      </c>
      <c r="S641" s="4">
        <f>SUBTOTAL(109,Table6[cnt])</f>
        <v>58304</v>
      </c>
    </row>
    <row r="642" spans="1:19">
      <c r="A642" s="2">
        <v>641</v>
      </c>
      <c r="B642" s="3">
        <v>40572</v>
      </c>
      <c r="C642" s="2">
        <v>1</v>
      </c>
      <c r="D642" s="2">
        <v>0</v>
      </c>
      <c r="E642" s="2">
        <v>1</v>
      </c>
      <c r="F642" s="2">
        <v>23</v>
      </c>
      <c r="G642" s="2" t="b">
        <v>0</v>
      </c>
      <c r="H642" s="2">
        <v>6</v>
      </c>
      <c r="I642" s="2">
        <v>1</v>
      </c>
      <c r="J642" s="2">
        <v>0.16</v>
      </c>
      <c r="K642" s="2">
        <v>0.19700000000000001</v>
      </c>
      <c r="L642" s="2">
        <v>0.8</v>
      </c>
      <c r="M642" s="2">
        <v>8.9599999999999999E-2</v>
      </c>
      <c r="N642" s="2">
        <v>3</v>
      </c>
      <c r="O642" s="2">
        <v>30</v>
      </c>
      <c r="P642" s="2">
        <v>33</v>
      </c>
      <c r="Q642" s="4">
        <f>SUBTOTAL(109,Table6[casual])</f>
        <v>4921</v>
      </c>
      <c r="R642" s="4">
        <f>SUBTOTAL(109,Table6[registered])</f>
        <v>53383</v>
      </c>
      <c r="S642" s="4">
        <f>SUBTOTAL(109,Table6[cnt])</f>
        <v>58304</v>
      </c>
    </row>
    <row r="643" spans="1:19">
      <c r="A643" s="2">
        <v>642</v>
      </c>
      <c r="B643" s="3">
        <v>40573</v>
      </c>
      <c r="C643" s="2">
        <v>1</v>
      </c>
      <c r="D643" s="2">
        <v>0</v>
      </c>
      <c r="E643" s="2">
        <v>1</v>
      </c>
      <c r="F643" s="2">
        <v>0</v>
      </c>
      <c r="G643" s="2" t="b">
        <v>0</v>
      </c>
      <c r="H643" s="2">
        <v>0</v>
      </c>
      <c r="I643" s="2">
        <v>1</v>
      </c>
      <c r="J643" s="2">
        <v>0.16</v>
      </c>
      <c r="K643" s="2">
        <v>0.18179999999999999</v>
      </c>
      <c r="L643" s="2">
        <v>0.8</v>
      </c>
      <c r="M643" s="2">
        <v>0.1045</v>
      </c>
      <c r="N643" s="2">
        <v>0</v>
      </c>
      <c r="O643" s="2">
        <v>33</v>
      </c>
      <c r="P643" s="2">
        <v>33</v>
      </c>
      <c r="Q643" s="4">
        <f>SUBTOTAL(109,Table6[casual])</f>
        <v>4921</v>
      </c>
      <c r="R643" s="4">
        <f>SUBTOTAL(109,Table6[registered])</f>
        <v>53383</v>
      </c>
      <c r="S643" s="4">
        <f>SUBTOTAL(109,Table6[cnt])</f>
        <v>58304</v>
      </c>
    </row>
    <row r="644" spans="1:19">
      <c r="A644" s="2">
        <v>643</v>
      </c>
      <c r="B644" s="3">
        <v>40573</v>
      </c>
      <c r="C644" s="2">
        <v>1</v>
      </c>
      <c r="D644" s="2">
        <v>0</v>
      </c>
      <c r="E644" s="2">
        <v>1</v>
      </c>
      <c r="F644" s="2">
        <v>1</v>
      </c>
      <c r="G644" s="2" t="b">
        <v>0</v>
      </c>
      <c r="H644" s="2">
        <v>0</v>
      </c>
      <c r="I644" s="2">
        <v>1</v>
      </c>
      <c r="J644" s="2">
        <v>0.14000000000000001</v>
      </c>
      <c r="K644" s="2">
        <v>0.21210000000000001</v>
      </c>
      <c r="L644" s="2">
        <v>0.8</v>
      </c>
      <c r="M644" s="2">
        <v>0</v>
      </c>
      <c r="N644" s="2">
        <v>7</v>
      </c>
      <c r="O644" s="2">
        <v>22</v>
      </c>
      <c r="P644" s="2">
        <v>29</v>
      </c>
      <c r="Q644" s="4">
        <f>SUBTOTAL(109,Table6[casual])</f>
        <v>4921</v>
      </c>
      <c r="R644" s="4">
        <f>SUBTOTAL(109,Table6[registered])</f>
        <v>53383</v>
      </c>
      <c r="S644" s="4">
        <f>SUBTOTAL(109,Table6[cnt])</f>
        <v>58304</v>
      </c>
    </row>
    <row r="645" spans="1:19">
      <c r="A645" s="2">
        <v>644</v>
      </c>
      <c r="B645" s="3">
        <v>40573</v>
      </c>
      <c r="C645" s="2">
        <v>1</v>
      </c>
      <c r="D645" s="2">
        <v>0</v>
      </c>
      <c r="E645" s="2">
        <v>1</v>
      </c>
      <c r="F645" s="2">
        <v>2</v>
      </c>
      <c r="G645" s="2" t="b">
        <v>0</v>
      </c>
      <c r="H645" s="2">
        <v>0</v>
      </c>
      <c r="I645" s="2">
        <v>1</v>
      </c>
      <c r="J645" s="2">
        <v>0.16</v>
      </c>
      <c r="K645" s="2">
        <v>0.2273</v>
      </c>
      <c r="L645" s="2">
        <v>0.8</v>
      </c>
      <c r="M645" s="2">
        <v>0</v>
      </c>
      <c r="N645" s="2">
        <v>1</v>
      </c>
      <c r="O645" s="2">
        <v>10</v>
      </c>
      <c r="P645" s="2">
        <v>11</v>
      </c>
      <c r="Q645" s="4">
        <f>SUBTOTAL(109,Table6[casual])</f>
        <v>4921</v>
      </c>
      <c r="R645" s="4">
        <f>SUBTOTAL(109,Table6[registered])</f>
        <v>53383</v>
      </c>
      <c r="S645" s="4">
        <f>SUBTOTAL(109,Table6[cnt])</f>
        <v>58304</v>
      </c>
    </row>
    <row r="646" spans="1:19">
      <c r="A646" s="2">
        <v>645</v>
      </c>
      <c r="B646" s="3">
        <v>40573</v>
      </c>
      <c r="C646" s="2">
        <v>1</v>
      </c>
      <c r="D646" s="2">
        <v>0</v>
      </c>
      <c r="E646" s="2">
        <v>1</v>
      </c>
      <c r="F646" s="2">
        <v>3</v>
      </c>
      <c r="G646" s="2" t="b">
        <v>0</v>
      </c>
      <c r="H646" s="2">
        <v>0</v>
      </c>
      <c r="I646" s="2">
        <v>1</v>
      </c>
      <c r="J646" s="2">
        <v>0.14000000000000001</v>
      </c>
      <c r="K646" s="2">
        <v>0.21210000000000001</v>
      </c>
      <c r="L646" s="2">
        <v>0.93</v>
      </c>
      <c r="M646" s="2">
        <v>0</v>
      </c>
      <c r="N646" s="2">
        <v>1</v>
      </c>
      <c r="O646" s="2">
        <v>7</v>
      </c>
      <c r="P646" s="2">
        <v>8</v>
      </c>
      <c r="Q646" s="4">
        <f>SUBTOTAL(109,Table6[casual])</f>
        <v>4921</v>
      </c>
      <c r="R646" s="4">
        <f>SUBTOTAL(109,Table6[registered])</f>
        <v>53383</v>
      </c>
      <c r="S646" s="4">
        <f>SUBTOTAL(109,Table6[cnt])</f>
        <v>58304</v>
      </c>
    </row>
    <row r="647" spans="1:19">
      <c r="A647" s="2">
        <v>646</v>
      </c>
      <c r="B647" s="3">
        <v>40573</v>
      </c>
      <c r="C647" s="2">
        <v>1</v>
      </c>
      <c r="D647" s="2">
        <v>0</v>
      </c>
      <c r="E647" s="2">
        <v>1</v>
      </c>
      <c r="F647" s="2">
        <v>4</v>
      </c>
      <c r="G647" s="2" t="b">
        <v>0</v>
      </c>
      <c r="H647" s="2">
        <v>0</v>
      </c>
      <c r="I647" s="2">
        <v>1</v>
      </c>
      <c r="J647" s="2">
        <v>0.14000000000000001</v>
      </c>
      <c r="K647" s="2">
        <v>0.21210000000000001</v>
      </c>
      <c r="L647" s="2">
        <v>0.93</v>
      </c>
      <c r="M647" s="2">
        <v>0</v>
      </c>
      <c r="N647" s="2">
        <v>0</v>
      </c>
      <c r="O647" s="2">
        <v>1</v>
      </c>
      <c r="P647" s="2">
        <v>1</v>
      </c>
      <c r="Q647" s="4">
        <f>SUBTOTAL(109,Table6[casual])</f>
        <v>4921</v>
      </c>
      <c r="R647" s="4">
        <f>SUBTOTAL(109,Table6[registered])</f>
        <v>53383</v>
      </c>
      <c r="S647" s="4">
        <f>SUBTOTAL(109,Table6[cnt])</f>
        <v>58304</v>
      </c>
    </row>
    <row r="648" spans="1:19">
      <c r="A648" s="2">
        <v>647</v>
      </c>
      <c r="B648" s="3">
        <v>40573</v>
      </c>
      <c r="C648" s="2">
        <v>1</v>
      </c>
      <c r="D648" s="2">
        <v>0</v>
      </c>
      <c r="E648" s="2">
        <v>1</v>
      </c>
      <c r="F648" s="2">
        <v>5</v>
      </c>
      <c r="G648" s="2" t="b">
        <v>0</v>
      </c>
      <c r="H648" s="2">
        <v>0</v>
      </c>
      <c r="I648" s="2">
        <v>1</v>
      </c>
      <c r="J648" s="2">
        <v>0.14000000000000001</v>
      </c>
      <c r="K648" s="2">
        <v>0.21210000000000001</v>
      </c>
      <c r="L648" s="2">
        <v>0.86</v>
      </c>
      <c r="M648" s="2">
        <v>0</v>
      </c>
      <c r="N648" s="2">
        <v>0</v>
      </c>
      <c r="O648" s="2">
        <v>3</v>
      </c>
      <c r="P648" s="2">
        <v>3</v>
      </c>
      <c r="Q648" s="4">
        <f>SUBTOTAL(109,Table6[casual])</f>
        <v>4921</v>
      </c>
      <c r="R648" s="4">
        <f>SUBTOTAL(109,Table6[registered])</f>
        <v>53383</v>
      </c>
      <c r="S648" s="4">
        <f>SUBTOTAL(109,Table6[cnt])</f>
        <v>58304</v>
      </c>
    </row>
    <row r="649" spans="1:19">
      <c r="A649" s="2">
        <v>648</v>
      </c>
      <c r="B649" s="3">
        <v>40573</v>
      </c>
      <c r="C649" s="2">
        <v>1</v>
      </c>
      <c r="D649" s="2">
        <v>0</v>
      </c>
      <c r="E649" s="2">
        <v>1</v>
      </c>
      <c r="F649" s="2">
        <v>7</v>
      </c>
      <c r="G649" s="2" t="b">
        <v>0</v>
      </c>
      <c r="H649" s="2">
        <v>0</v>
      </c>
      <c r="I649" s="2">
        <v>1</v>
      </c>
      <c r="J649" s="2">
        <v>0.14000000000000001</v>
      </c>
      <c r="K649" s="2">
        <v>0.21210000000000001</v>
      </c>
      <c r="L649" s="2">
        <v>0.86</v>
      </c>
      <c r="M649" s="2">
        <v>0</v>
      </c>
      <c r="N649" s="2">
        <v>0</v>
      </c>
      <c r="O649" s="2">
        <v>3</v>
      </c>
      <c r="P649" s="2">
        <v>3</v>
      </c>
      <c r="Q649" s="4">
        <f>SUBTOTAL(109,Table6[casual])</f>
        <v>4921</v>
      </c>
      <c r="R649" s="4">
        <f>SUBTOTAL(109,Table6[registered])</f>
        <v>53383</v>
      </c>
      <c r="S649" s="4">
        <f>SUBTOTAL(109,Table6[cnt])</f>
        <v>58304</v>
      </c>
    </row>
    <row r="650" spans="1:19">
      <c r="A650" s="2">
        <v>649</v>
      </c>
      <c r="B650" s="3">
        <v>40573</v>
      </c>
      <c r="C650" s="2">
        <v>1</v>
      </c>
      <c r="D650" s="2">
        <v>0</v>
      </c>
      <c r="E650" s="2">
        <v>1</v>
      </c>
      <c r="F650" s="2">
        <v>8</v>
      </c>
      <c r="G650" s="2" t="b">
        <v>0</v>
      </c>
      <c r="H650" s="2">
        <v>0</v>
      </c>
      <c r="I650" s="2">
        <v>2</v>
      </c>
      <c r="J650" s="2">
        <v>0.14000000000000001</v>
      </c>
      <c r="K650" s="2">
        <v>0.21210000000000001</v>
      </c>
      <c r="L650" s="2">
        <v>0.86</v>
      </c>
      <c r="M650" s="2">
        <v>0</v>
      </c>
      <c r="N650" s="2">
        <v>1</v>
      </c>
      <c r="O650" s="2">
        <v>11</v>
      </c>
      <c r="P650" s="2">
        <v>12</v>
      </c>
      <c r="Q650" s="4">
        <f>SUBTOTAL(109,Table6[casual])</f>
        <v>4921</v>
      </c>
      <c r="R650" s="4">
        <f>SUBTOTAL(109,Table6[registered])</f>
        <v>53383</v>
      </c>
      <c r="S650" s="4">
        <f>SUBTOTAL(109,Table6[cnt])</f>
        <v>58304</v>
      </c>
    </row>
    <row r="651" spans="1:19">
      <c r="A651" s="2">
        <v>650</v>
      </c>
      <c r="B651" s="3">
        <v>40573</v>
      </c>
      <c r="C651" s="2">
        <v>1</v>
      </c>
      <c r="D651" s="2">
        <v>0</v>
      </c>
      <c r="E651" s="2">
        <v>1</v>
      </c>
      <c r="F651" s="2">
        <v>9</v>
      </c>
      <c r="G651" s="2" t="b">
        <v>0</v>
      </c>
      <c r="H651" s="2">
        <v>0</v>
      </c>
      <c r="I651" s="2">
        <v>2</v>
      </c>
      <c r="J651" s="2">
        <v>0.16</v>
      </c>
      <c r="K651" s="2">
        <v>0.2273</v>
      </c>
      <c r="L651" s="2">
        <v>0.8</v>
      </c>
      <c r="M651" s="2">
        <v>0</v>
      </c>
      <c r="N651" s="2">
        <v>4</v>
      </c>
      <c r="O651" s="2">
        <v>34</v>
      </c>
      <c r="P651" s="2">
        <v>38</v>
      </c>
      <c r="Q651" s="4">
        <f>SUBTOTAL(109,Table6[casual])</f>
        <v>4921</v>
      </c>
      <c r="R651" s="4">
        <f>SUBTOTAL(109,Table6[registered])</f>
        <v>53383</v>
      </c>
      <c r="S651" s="4">
        <f>SUBTOTAL(109,Table6[cnt])</f>
        <v>58304</v>
      </c>
    </row>
    <row r="652" spans="1:19">
      <c r="A652" s="2">
        <v>651</v>
      </c>
      <c r="B652" s="3">
        <v>40573</v>
      </c>
      <c r="C652" s="2">
        <v>1</v>
      </c>
      <c r="D652" s="2">
        <v>0</v>
      </c>
      <c r="E652" s="2">
        <v>1</v>
      </c>
      <c r="F652" s="2">
        <v>10</v>
      </c>
      <c r="G652" s="2" t="b">
        <v>0</v>
      </c>
      <c r="H652" s="2">
        <v>0</v>
      </c>
      <c r="I652" s="2">
        <v>2</v>
      </c>
      <c r="J652" s="2">
        <v>0.18</v>
      </c>
      <c r="K652" s="2">
        <v>0.2424</v>
      </c>
      <c r="L652" s="2">
        <v>0.8</v>
      </c>
      <c r="M652" s="2">
        <v>0</v>
      </c>
      <c r="N652" s="2">
        <v>7</v>
      </c>
      <c r="O652" s="2">
        <v>57</v>
      </c>
      <c r="P652" s="2">
        <v>64</v>
      </c>
      <c r="Q652" s="4">
        <f>SUBTOTAL(109,Table6[casual])</f>
        <v>4921</v>
      </c>
      <c r="R652" s="4">
        <f>SUBTOTAL(109,Table6[registered])</f>
        <v>53383</v>
      </c>
      <c r="S652" s="4">
        <f>SUBTOTAL(109,Table6[cnt])</f>
        <v>58304</v>
      </c>
    </row>
    <row r="653" spans="1:19">
      <c r="A653" s="2">
        <v>652</v>
      </c>
      <c r="B653" s="3">
        <v>40573</v>
      </c>
      <c r="C653" s="2">
        <v>1</v>
      </c>
      <c r="D653" s="2">
        <v>0</v>
      </c>
      <c r="E653" s="2">
        <v>1</v>
      </c>
      <c r="F653" s="2">
        <v>11</v>
      </c>
      <c r="G653" s="2" t="b">
        <v>0</v>
      </c>
      <c r="H653" s="2">
        <v>0</v>
      </c>
      <c r="I653" s="2">
        <v>1</v>
      </c>
      <c r="J653" s="2">
        <v>0.22</v>
      </c>
      <c r="K653" s="2">
        <v>0.2727</v>
      </c>
      <c r="L653" s="2">
        <v>0.75</v>
      </c>
      <c r="M653" s="2">
        <v>0</v>
      </c>
      <c r="N653" s="2">
        <v>9</v>
      </c>
      <c r="O653" s="2">
        <v>50</v>
      </c>
      <c r="P653" s="2">
        <v>59</v>
      </c>
      <c r="Q653" s="4">
        <f>SUBTOTAL(109,Table6[casual])</f>
        <v>4921</v>
      </c>
      <c r="R653" s="4">
        <f>SUBTOTAL(109,Table6[registered])</f>
        <v>53383</v>
      </c>
      <c r="S653" s="4">
        <f>SUBTOTAL(109,Table6[cnt])</f>
        <v>58304</v>
      </c>
    </row>
    <row r="654" spans="1:19">
      <c r="A654" s="2">
        <v>653</v>
      </c>
      <c r="B654" s="3">
        <v>40573</v>
      </c>
      <c r="C654" s="2">
        <v>1</v>
      </c>
      <c r="D654" s="2">
        <v>0</v>
      </c>
      <c r="E654" s="2">
        <v>1</v>
      </c>
      <c r="F654" s="2">
        <v>12</v>
      </c>
      <c r="G654" s="2" t="b">
        <v>0</v>
      </c>
      <c r="H654" s="2">
        <v>0</v>
      </c>
      <c r="I654" s="2">
        <v>1</v>
      </c>
      <c r="J654" s="2">
        <v>0.3</v>
      </c>
      <c r="K654" s="2">
        <v>0.31819999999999998</v>
      </c>
      <c r="L654" s="2">
        <v>0.52</v>
      </c>
      <c r="M654" s="2">
        <v>0.1045</v>
      </c>
      <c r="N654" s="2">
        <v>10</v>
      </c>
      <c r="O654" s="2">
        <v>87</v>
      </c>
      <c r="P654" s="2">
        <v>97</v>
      </c>
      <c r="Q654" s="4">
        <f>SUBTOTAL(109,Table6[casual])</f>
        <v>4921</v>
      </c>
      <c r="R654" s="4">
        <f>SUBTOTAL(109,Table6[registered])</f>
        <v>53383</v>
      </c>
      <c r="S654" s="4">
        <f>SUBTOTAL(109,Table6[cnt])</f>
        <v>58304</v>
      </c>
    </row>
    <row r="655" spans="1:19">
      <c r="A655" s="2">
        <v>654</v>
      </c>
      <c r="B655" s="3">
        <v>40573</v>
      </c>
      <c r="C655" s="2">
        <v>1</v>
      </c>
      <c r="D655" s="2">
        <v>0</v>
      </c>
      <c r="E655" s="2">
        <v>1</v>
      </c>
      <c r="F655" s="2">
        <v>13</v>
      </c>
      <c r="G655" s="2" t="b">
        <v>0</v>
      </c>
      <c r="H655" s="2">
        <v>0</v>
      </c>
      <c r="I655" s="2">
        <v>1</v>
      </c>
      <c r="J655" s="2">
        <v>0.28000000000000003</v>
      </c>
      <c r="K655" s="2">
        <v>0.28789999999999999</v>
      </c>
      <c r="L655" s="2">
        <v>0.61</v>
      </c>
      <c r="M655" s="2">
        <v>0.1045</v>
      </c>
      <c r="N655" s="2">
        <v>13</v>
      </c>
      <c r="O655" s="2">
        <v>71</v>
      </c>
      <c r="P655" s="2">
        <v>84</v>
      </c>
      <c r="Q655" s="4">
        <f>SUBTOTAL(109,Table6[casual])</f>
        <v>4921</v>
      </c>
      <c r="R655" s="4">
        <f>SUBTOTAL(109,Table6[registered])</f>
        <v>53383</v>
      </c>
      <c r="S655" s="4">
        <f>SUBTOTAL(109,Table6[cnt])</f>
        <v>58304</v>
      </c>
    </row>
    <row r="656" spans="1:19">
      <c r="A656" s="2">
        <v>655</v>
      </c>
      <c r="B656" s="3">
        <v>40573</v>
      </c>
      <c r="C656" s="2">
        <v>1</v>
      </c>
      <c r="D656" s="2">
        <v>0</v>
      </c>
      <c r="E656" s="2">
        <v>1</v>
      </c>
      <c r="F656" s="2">
        <v>14</v>
      </c>
      <c r="G656" s="2" t="b">
        <v>0</v>
      </c>
      <c r="H656" s="2">
        <v>0</v>
      </c>
      <c r="I656" s="2">
        <v>1</v>
      </c>
      <c r="J656" s="2">
        <v>0.28000000000000003</v>
      </c>
      <c r="K656" s="2">
        <v>0.30299999999999999</v>
      </c>
      <c r="L656" s="2">
        <v>0.61</v>
      </c>
      <c r="M656" s="2">
        <v>8.9599999999999999E-2</v>
      </c>
      <c r="N656" s="2">
        <v>18</v>
      </c>
      <c r="O656" s="2">
        <v>104</v>
      </c>
      <c r="P656" s="2">
        <v>122</v>
      </c>
      <c r="Q656" s="4">
        <f>SUBTOTAL(109,Table6[casual])</f>
        <v>4921</v>
      </c>
      <c r="R656" s="4">
        <f>SUBTOTAL(109,Table6[registered])</f>
        <v>53383</v>
      </c>
      <c r="S656" s="4">
        <f>SUBTOTAL(109,Table6[cnt])</f>
        <v>58304</v>
      </c>
    </row>
    <row r="657" spans="1:19">
      <c r="A657" s="2">
        <v>656</v>
      </c>
      <c r="B657" s="3">
        <v>40573</v>
      </c>
      <c r="C657" s="2">
        <v>1</v>
      </c>
      <c r="D657" s="2">
        <v>0</v>
      </c>
      <c r="E657" s="2">
        <v>1</v>
      </c>
      <c r="F657" s="2">
        <v>15</v>
      </c>
      <c r="G657" s="2" t="b">
        <v>0</v>
      </c>
      <c r="H657" s="2">
        <v>0</v>
      </c>
      <c r="I657" s="2">
        <v>1</v>
      </c>
      <c r="J657" s="2">
        <v>0.3</v>
      </c>
      <c r="K657" s="2">
        <v>0.33329999999999999</v>
      </c>
      <c r="L657" s="2">
        <v>0.56000000000000005</v>
      </c>
      <c r="M657" s="2">
        <v>0</v>
      </c>
      <c r="N657" s="2">
        <v>14</v>
      </c>
      <c r="O657" s="2">
        <v>95</v>
      </c>
      <c r="P657" s="2">
        <v>109</v>
      </c>
      <c r="Q657" s="4">
        <f>SUBTOTAL(109,Table6[casual])</f>
        <v>4921</v>
      </c>
      <c r="R657" s="4">
        <f>SUBTOTAL(109,Table6[registered])</f>
        <v>53383</v>
      </c>
      <c r="S657" s="4">
        <f>SUBTOTAL(109,Table6[cnt])</f>
        <v>58304</v>
      </c>
    </row>
    <row r="658" spans="1:19">
      <c r="A658" s="2">
        <v>657</v>
      </c>
      <c r="B658" s="3">
        <v>40573</v>
      </c>
      <c r="C658" s="2">
        <v>1</v>
      </c>
      <c r="D658" s="2">
        <v>0</v>
      </c>
      <c r="E658" s="2">
        <v>1</v>
      </c>
      <c r="F658" s="2">
        <v>16</v>
      </c>
      <c r="G658" s="2" t="b">
        <v>0</v>
      </c>
      <c r="H658" s="2">
        <v>0</v>
      </c>
      <c r="I658" s="2">
        <v>1</v>
      </c>
      <c r="J658" s="2">
        <v>0.3</v>
      </c>
      <c r="K658" s="2">
        <v>0.33329999999999999</v>
      </c>
      <c r="L658" s="2">
        <v>0.56000000000000005</v>
      </c>
      <c r="M658" s="2">
        <v>0</v>
      </c>
      <c r="N658" s="2">
        <v>19</v>
      </c>
      <c r="O658" s="2">
        <v>104</v>
      </c>
      <c r="P658" s="2">
        <v>123</v>
      </c>
      <c r="Q658" s="4">
        <f>SUBTOTAL(109,Table6[casual])</f>
        <v>4921</v>
      </c>
      <c r="R658" s="4">
        <f>SUBTOTAL(109,Table6[registered])</f>
        <v>53383</v>
      </c>
      <c r="S658" s="4">
        <f>SUBTOTAL(109,Table6[cnt])</f>
        <v>58304</v>
      </c>
    </row>
    <row r="659" spans="1:19">
      <c r="A659" s="2">
        <v>658</v>
      </c>
      <c r="B659" s="3">
        <v>40573</v>
      </c>
      <c r="C659" s="2">
        <v>1</v>
      </c>
      <c r="D659" s="2">
        <v>0</v>
      </c>
      <c r="E659" s="2">
        <v>1</v>
      </c>
      <c r="F659" s="2">
        <v>17</v>
      </c>
      <c r="G659" s="2" t="b">
        <v>0</v>
      </c>
      <c r="H659" s="2">
        <v>0</v>
      </c>
      <c r="I659" s="2">
        <v>1</v>
      </c>
      <c r="J659" s="2">
        <v>0.3</v>
      </c>
      <c r="K659" s="2">
        <v>0.28789999999999999</v>
      </c>
      <c r="L659" s="2">
        <v>0.56000000000000005</v>
      </c>
      <c r="M659" s="2">
        <v>0.19400000000000001</v>
      </c>
      <c r="N659" s="2">
        <v>6</v>
      </c>
      <c r="O659" s="2">
        <v>71</v>
      </c>
      <c r="P659" s="2">
        <v>77</v>
      </c>
      <c r="Q659" s="4">
        <f>SUBTOTAL(109,Table6[casual])</f>
        <v>4921</v>
      </c>
      <c r="R659" s="4">
        <f>SUBTOTAL(109,Table6[registered])</f>
        <v>53383</v>
      </c>
      <c r="S659" s="4">
        <f>SUBTOTAL(109,Table6[cnt])</f>
        <v>58304</v>
      </c>
    </row>
    <row r="660" spans="1:19">
      <c r="A660" s="2">
        <v>659</v>
      </c>
      <c r="B660" s="3">
        <v>40573</v>
      </c>
      <c r="C660" s="2">
        <v>1</v>
      </c>
      <c r="D660" s="2">
        <v>0</v>
      </c>
      <c r="E660" s="2">
        <v>1</v>
      </c>
      <c r="F660" s="2">
        <v>18</v>
      </c>
      <c r="G660" s="2" t="b">
        <v>0</v>
      </c>
      <c r="H660" s="2">
        <v>0</v>
      </c>
      <c r="I660" s="2">
        <v>1</v>
      </c>
      <c r="J660" s="2">
        <v>0.26</v>
      </c>
      <c r="K660" s="2">
        <v>0.2576</v>
      </c>
      <c r="L660" s="2">
        <v>0.65</v>
      </c>
      <c r="M660" s="2">
        <v>0.16420000000000001</v>
      </c>
      <c r="N660" s="2">
        <v>8</v>
      </c>
      <c r="O660" s="2">
        <v>57</v>
      </c>
      <c r="P660" s="2">
        <v>65</v>
      </c>
      <c r="Q660" s="4">
        <f>SUBTOTAL(109,Table6[casual])</f>
        <v>4921</v>
      </c>
      <c r="R660" s="4">
        <f>SUBTOTAL(109,Table6[registered])</f>
        <v>53383</v>
      </c>
      <c r="S660" s="4">
        <f>SUBTOTAL(109,Table6[cnt])</f>
        <v>58304</v>
      </c>
    </row>
    <row r="661" spans="1:19">
      <c r="A661" s="2">
        <v>660</v>
      </c>
      <c r="B661" s="3">
        <v>40573</v>
      </c>
      <c r="C661" s="2">
        <v>1</v>
      </c>
      <c r="D661" s="2">
        <v>0</v>
      </c>
      <c r="E661" s="2">
        <v>1</v>
      </c>
      <c r="F661" s="2">
        <v>19</v>
      </c>
      <c r="G661" s="2" t="b">
        <v>0</v>
      </c>
      <c r="H661" s="2">
        <v>0</v>
      </c>
      <c r="I661" s="2">
        <v>1</v>
      </c>
      <c r="J661" s="2">
        <v>0.26</v>
      </c>
      <c r="K661" s="2">
        <v>0.2576</v>
      </c>
      <c r="L661" s="2">
        <v>0.65</v>
      </c>
      <c r="M661" s="2">
        <v>0.19400000000000001</v>
      </c>
      <c r="N661" s="2">
        <v>9</v>
      </c>
      <c r="O661" s="2">
        <v>46</v>
      </c>
      <c r="P661" s="2">
        <v>55</v>
      </c>
      <c r="Q661" s="4">
        <f>SUBTOTAL(109,Table6[casual])</f>
        <v>4921</v>
      </c>
      <c r="R661" s="4">
        <f>SUBTOTAL(109,Table6[registered])</f>
        <v>53383</v>
      </c>
      <c r="S661" s="4">
        <f>SUBTOTAL(109,Table6[cnt])</f>
        <v>58304</v>
      </c>
    </row>
    <row r="662" spans="1:19">
      <c r="A662" s="2">
        <v>661</v>
      </c>
      <c r="B662" s="3">
        <v>40573</v>
      </c>
      <c r="C662" s="2">
        <v>1</v>
      </c>
      <c r="D662" s="2">
        <v>0</v>
      </c>
      <c r="E662" s="2">
        <v>1</v>
      </c>
      <c r="F662" s="2">
        <v>20</v>
      </c>
      <c r="G662" s="2" t="b">
        <v>0</v>
      </c>
      <c r="H662" s="2">
        <v>0</v>
      </c>
      <c r="I662" s="2">
        <v>2</v>
      </c>
      <c r="J662" s="2">
        <v>0.26</v>
      </c>
      <c r="K662" s="2">
        <v>0.2727</v>
      </c>
      <c r="L662" s="2">
        <v>0.65</v>
      </c>
      <c r="M662" s="2">
        <v>0.1045</v>
      </c>
      <c r="N662" s="2">
        <v>3</v>
      </c>
      <c r="O662" s="2">
        <v>30</v>
      </c>
      <c r="P662" s="2">
        <v>33</v>
      </c>
      <c r="Q662" s="4">
        <f>SUBTOTAL(109,Table6[casual])</f>
        <v>4921</v>
      </c>
      <c r="R662" s="4">
        <f>SUBTOTAL(109,Table6[registered])</f>
        <v>53383</v>
      </c>
      <c r="S662" s="4">
        <f>SUBTOTAL(109,Table6[cnt])</f>
        <v>58304</v>
      </c>
    </row>
    <row r="663" spans="1:19">
      <c r="A663" s="2">
        <v>662</v>
      </c>
      <c r="B663" s="3">
        <v>40573</v>
      </c>
      <c r="C663" s="2">
        <v>1</v>
      </c>
      <c r="D663" s="2">
        <v>0</v>
      </c>
      <c r="E663" s="2">
        <v>1</v>
      </c>
      <c r="F663" s="2">
        <v>21</v>
      </c>
      <c r="G663" s="2" t="b">
        <v>0</v>
      </c>
      <c r="H663" s="2">
        <v>0</v>
      </c>
      <c r="I663" s="2">
        <v>2</v>
      </c>
      <c r="J663" s="2">
        <v>0.24</v>
      </c>
      <c r="K663" s="2">
        <v>0.2424</v>
      </c>
      <c r="L663" s="2">
        <v>0.7</v>
      </c>
      <c r="M663" s="2">
        <v>0.16420000000000001</v>
      </c>
      <c r="N663" s="2">
        <v>3</v>
      </c>
      <c r="O663" s="2">
        <v>25</v>
      </c>
      <c r="P663" s="2">
        <v>28</v>
      </c>
      <c r="Q663" s="4">
        <f>SUBTOTAL(109,Table6[casual])</f>
        <v>4921</v>
      </c>
      <c r="R663" s="4">
        <f>SUBTOTAL(109,Table6[registered])</f>
        <v>53383</v>
      </c>
      <c r="S663" s="4">
        <f>SUBTOTAL(109,Table6[cnt])</f>
        <v>58304</v>
      </c>
    </row>
    <row r="664" spans="1:19">
      <c r="A664" s="2">
        <v>663</v>
      </c>
      <c r="B664" s="3">
        <v>40573</v>
      </c>
      <c r="C664" s="2">
        <v>1</v>
      </c>
      <c r="D664" s="2">
        <v>0</v>
      </c>
      <c r="E664" s="2">
        <v>1</v>
      </c>
      <c r="F664" s="2">
        <v>22</v>
      </c>
      <c r="G664" s="2" t="b">
        <v>0</v>
      </c>
      <c r="H664" s="2">
        <v>0</v>
      </c>
      <c r="I664" s="2">
        <v>2</v>
      </c>
      <c r="J664" s="2">
        <v>0.24</v>
      </c>
      <c r="K664" s="2">
        <v>0.2273</v>
      </c>
      <c r="L664" s="2">
        <v>0.7</v>
      </c>
      <c r="M664" s="2">
        <v>0.19400000000000001</v>
      </c>
      <c r="N664" s="2">
        <v>2</v>
      </c>
      <c r="O664" s="2">
        <v>19</v>
      </c>
      <c r="P664" s="2">
        <v>21</v>
      </c>
      <c r="Q664" s="4">
        <f>SUBTOTAL(109,Table6[casual])</f>
        <v>4921</v>
      </c>
      <c r="R664" s="4">
        <f>SUBTOTAL(109,Table6[registered])</f>
        <v>53383</v>
      </c>
      <c r="S664" s="4">
        <f>SUBTOTAL(109,Table6[cnt])</f>
        <v>58304</v>
      </c>
    </row>
    <row r="665" spans="1:19">
      <c r="A665" s="2">
        <v>664</v>
      </c>
      <c r="B665" s="3">
        <v>40573</v>
      </c>
      <c r="C665" s="2">
        <v>1</v>
      </c>
      <c r="D665" s="2">
        <v>0</v>
      </c>
      <c r="E665" s="2">
        <v>1</v>
      </c>
      <c r="F665" s="2">
        <v>23</v>
      </c>
      <c r="G665" s="2" t="b">
        <v>0</v>
      </c>
      <c r="H665" s="2">
        <v>0</v>
      </c>
      <c r="I665" s="2">
        <v>2</v>
      </c>
      <c r="J665" s="2">
        <v>0.24</v>
      </c>
      <c r="K665" s="2">
        <v>0.21210000000000001</v>
      </c>
      <c r="L665" s="2">
        <v>0.65</v>
      </c>
      <c r="M665" s="2">
        <v>0.28360000000000002</v>
      </c>
      <c r="N665" s="2">
        <v>5</v>
      </c>
      <c r="O665" s="2">
        <v>16</v>
      </c>
      <c r="P665" s="2">
        <v>21</v>
      </c>
      <c r="Q665" s="4">
        <f>SUBTOTAL(109,Table6[casual])</f>
        <v>4921</v>
      </c>
      <c r="R665" s="4">
        <f>SUBTOTAL(109,Table6[registered])</f>
        <v>53383</v>
      </c>
      <c r="S665" s="4">
        <f>SUBTOTAL(109,Table6[cnt])</f>
        <v>58304</v>
      </c>
    </row>
    <row r="666" spans="1:19">
      <c r="A666" s="2">
        <v>665</v>
      </c>
      <c r="B666" s="3">
        <v>40574</v>
      </c>
      <c r="C666" s="2">
        <v>1</v>
      </c>
      <c r="D666" s="2">
        <v>0</v>
      </c>
      <c r="E666" s="2">
        <v>1</v>
      </c>
      <c r="F666" s="2">
        <v>0</v>
      </c>
      <c r="G666" s="2" t="b">
        <v>0</v>
      </c>
      <c r="H666" s="2">
        <v>1</v>
      </c>
      <c r="I666" s="2">
        <v>2</v>
      </c>
      <c r="J666" s="2">
        <v>0.24</v>
      </c>
      <c r="K666" s="2">
        <v>0.2273</v>
      </c>
      <c r="L666" s="2">
        <v>0.65</v>
      </c>
      <c r="M666" s="2">
        <v>0.22389999999999999</v>
      </c>
      <c r="N666" s="2">
        <v>1</v>
      </c>
      <c r="O666" s="2">
        <v>6</v>
      </c>
      <c r="P666" s="2">
        <v>7</v>
      </c>
      <c r="Q666" s="4">
        <f>SUBTOTAL(109,Table6[casual])</f>
        <v>4921</v>
      </c>
      <c r="R666" s="4">
        <f>SUBTOTAL(109,Table6[registered])</f>
        <v>53383</v>
      </c>
      <c r="S666" s="4">
        <f>SUBTOTAL(109,Table6[cnt])</f>
        <v>58304</v>
      </c>
    </row>
    <row r="667" spans="1:19">
      <c r="A667" s="2">
        <v>666</v>
      </c>
      <c r="B667" s="3">
        <v>40574</v>
      </c>
      <c r="C667" s="2">
        <v>1</v>
      </c>
      <c r="D667" s="2">
        <v>0</v>
      </c>
      <c r="E667" s="2">
        <v>1</v>
      </c>
      <c r="F667" s="2">
        <v>1</v>
      </c>
      <c r="G667" s="2" t="b">
        <v>0</v>
      </c>
      <c r="H667" s="2">
        <v>1</v>
      </c>
      <c r="I667" s="2">
        <v>1</v>
      </c>
      <c r="J667" s="2">
        <v>0.22</v>
      </c>
      <c r="K667" s="2">
        <v>0.21210000000000001</v>
      </c>
      <c r="L667" s="2">
        <v>0.64</v>
      </c>
      <c r="M667" s="2">
        <v>0.25369999999999998</v>
      </c>
      <c r="N667" s="2">
        <v>2</v>
      </c>
      <c r="O667" s="2">
        <v>5</v>
      </c>
      <c r="P667" s="2">
        <v>7</v>
      </c>
      <c r="Q667" s="4">
        <f>SUBTOTAL(109,Table6[casual])</f>
        <v>4921</v>
      </c>
      <c r="R667" s="4">
        <f>SUBTOTAL(109,Table6[registered])</f>
        <v>53383</v>
      </c>
      <c r="S667" s="4">
        <f>SUBTOTAL(109,Table6[cnt])</f>
        <v>58304</v>
      </c>
    </row>
    <row r="668" spans="1:19">
      <c r="A668" s="2">
        <v>667</v>
      </c>
      <c r="B668" s="3">
        <v>40574</v>
      </c>
      <c r="C668" s="2">
        <v>1</v>
      </c>
      <c r="D668" s="2">
        <v>0</v>
      </c>
      <c r="E668" s="2">
        <v>1</v>
      </c>
      <c r="F668" s="2">
        <v>2</v>
      </c>
      <c r="G668" s="2" t="b">
        <v>0</v>
      </c>
      <c r="H668" s="2">
        <v>1</v>
      </c>
      <c r="I668" s="2">
        <v>1</v>
      </c>
      <c r="J668" s="2">
        <v>0.22</v>
      </c>
      <c r="K668" s="2">
        <v>0.2273</v>
      </c>
      <c r="L668" s="2">
        <v>0.64</v>
      </c>
      <c r="M668" s="2">
        <v>0.19400000000000001</v>
      </c>
      <c r="N668" s="2">
        <v>0</v>
      </c>
      <c r="O668" s="2">
        <v>1</v>
      </c>
      <c r="P668" s="2">
        <v>1</v>
      </c>
      <c r="Q668" s="4">
        <f>SUBTOTAL(109,Table6[casual])</f>
        <v>4921</v>
      </c>
      <c r="R668" s="4">
        <f>SUBTOTAL(109,Table6[registered])</f>
        <v>53383</v>
      </c>
      <c r="S668" s="4">
        <f>SUBTOTAL(109,Table6[cnt])</f>
        <v>58304</v>
      </c>
    </row>
    <row r="669" spans="1:19">
      <c r="A669" s="2">
        <v>668</v>
      </c>
      <c r="B669" s="3">
        <v>40574</v>
      </c>
      <c r="C669" s="2">
        <v>1</v>
      </c>
      <c r="D669" s="2">
        <v>0</v>
      </c>
      <c r="E669" s="2">
        <v>1</v>
      </c>
      <c r="F669" s="2">
        <v>3</v>
      </c>
      <c r="G669" s="2" t="b">
        <v>0</v>
      </c>
      <c r="H669" s="2">
        <v>1</v>
      </c>
      <c r="I669" s="2">
        <v>1</v>
      </c>
      <c r="J669" s="2">
        <v>0.22</v>
      </c>
      <c r="K669" s="2">
        <v>0.2273</v>
      </c>
      <c r="L669" s="2">
        <v>0.64</v>
      </c>
      <c r="M669" s="2">
        <v>0.19400000000000001</v>
      </c>
      <c r="N669" s="2">
        <v>0</v>
      </c>
      <c r="O669" s="2">
        <v>2</v>
      </c>
      <c r="P669" s="2">
        <v>2</v>
      </c>
      <c r="Q669" s="4">
        <f>SUBTOTAL(109,Table6[casual])</f>
        <v>4921</v>
      </c>
      <c r="R669" s="4">
        <f>SUBTOTAL(109,Table6[registered])</f>
        <v>53383</v>
      </c>
      <c r="S669" s="4">
        <f>SUBTOTAL(109,Table6[cnt])</f>
        <v>58304</v>
      </c>
    </row>
    <row r="670" spans="1:19">
      <c r="A670" s="2">
        <v>669</v>
      </c>
      <c r="B670" s="3">
        <v>40574</v>
      </c>
      <c r="C670" s="2">
        <v>1</v>
      </c>
      <c r="D670" s="2">
        <v>0</v>
      </c>
      <c r="E670" s="2">
        <v>1</v>
      </c>
      <c r="F670" s="2">
        <v>4</v>
      </c>
      <c r="G670" s="2" t="b">
        <v>0</v>
      </c>
      <c r="H670" s="2">
        <v>1</v>
      </c>
      <c r="I670" s="2">
        <v>1</v>
      </c>
      <c r="J670" s="2">
        <v>0.2</v>
      </c>
      <c r="K670" s="2">
        <v>0.19700000000000001</v>
      </c>
      <c r="L670" s="2">
        <v>0.59</v>
      </c>
      <c r="M670" s="2">
        <v>0.22389999999999999</v>
      </c>
      <c r="N670" s="2">
        <v>0</v>
      </c>
      <c r="O670" s="2">
        <v>2</v>
      </c>
      <c r="P670" s="2">
        <v>2</v>
      </c>
      <c r="Q670" s="4">
        <f>SUBTOTAL(109,Table6[casual])</f>
        <v>4921</v>
      </c>
      <c r="R670" s="4">
        <f>SUBTOTAL(109,Table6[registered])</f>
        <v>53383</v>
      </c>
      <c r="S670" s="4">
        <f>SUBTOTAL(109,Table6[cnt])</f>
        <v>58304</v>
      </c>
    </row>
    <row r="671" spans="1:19">
      <c r="A671" s="2">
        <v>670</v>
      </c>
      <c r="B671" s="3">
        <v>40574</v>
      </c>
      <c r="C671" s="2">
        <v>1</v>
      </c>
      <c r="D671" s="2">
        <v>0</v>
      </c>
      <c r="E671" s="2">
        <v>1</v>
      </c>
      <c r="F671" s="2">
        <v>5</v>
      </c>
      <c r="G671" s="2" t="b">
        <v>0</v>
      </c>
      <c r="H671" s="2">
        <v>1</v>
      </c>
      <c r="I671" s="2">
        <v>1</v>
      </c>
      <c r="J671" s="2">
        <v>0.18</v>
      </c>
      <c r="K671" s="2">
        <v>0.16669999999999999</v>
      </c>
      <c r="L671" s="2">
        <v>0.64</v>
      </c>
      <c r="M671" s="2">
        <v>0.28360000000000002</v>
      </c>
      <c r="N671" s="2">
        <v>0</v>
      </c>
      <c r="O671" s="2">
        <v>8</v>
      </c>
      <c r="P671" s="2">
        <v>8</v>
      </c>
      <c r="Q671" s="4">
        <f>SUBTOTAL(109,Table6[casual])</f>
        <v>4921</v>
      </c>
      <c r="R671" s="4">
        <f>SUBTOTAL(109,Table6[registered])</f>
        <v>53383</v>
      </c>
      <c r="S671" s="4">
        <f>SUBTOTAL(109,Table6[cnt])</f>
        <v>58304</v>
      </c>
    </row>
    <row r="672" spans="1:19">
      <c r="A672" s="2">
        <v>671</v>
      </c>
      <c r="B672" s="3">
        <v>40574</v>
      </c>
      <c r="C672" s="2">
        <v>1</v>
      </c>
      <c r="D672" s="2">
        <v>0</v>
      </c>
      <c r="E672" s="2">
        <v>1</v>
      </c>
      <c r="F672" s="2">
        <v>6</v>
      </c>
      <c r="G672" s="2" t="b">
        <v>0</v>
      </c>
      <c r="H672" s="2">
        <v>1</v>
      </c>
      <c r="I672" s="2">
        <v>1</v>
      </c>
      <c r="J672" s="2">
        <v>0.16</v>
      </c>
      <c r="K672" s="2">
        <v>0.13639999999999999</v>
      </c>
      <c r="L672" s="2">
        <v>0.69</v>
      </c>
      <c r="M672" s="2">
        <v>0.32840000000000003</v>
      </c>
      <c r="N672" s="2">
        <v>0</v>
      </c>
      <c r="O672" s="2">
        <v>37</v>
      </c>
      <c r="P672" s="2">
        <v>37</v>
      </c>
      <c r="Q672" s="4">
        <f>SUBTOTAL(109,Table6[casual])</f>
        <v>4921</v>
      </c>
      <c r="R672" s="4">
        <f>SUBTOTAL(109,Table6[registered])</f>
        <v>53383</v>
      </c>
      <c r="S672" s="4">
        <f>SUBTOTAL(109,Table6[cnt])</f>
        <v>58304</v>
      </c>
    </row>
    <row r="673" spans="1:19">
      <c r="A673" s="2">
        <v>672</v>
      </c>
      <c r="B673" s="3">
        <v>40574</v>
      </c>
      <c r="C673" s="2">
        <v>1</v>
      </c>
      <c r="D673" s="2">
        <v>0</v>
      </c>
      <c r="E673" s="2">
        <v>1</v>
      </c>
      <c r="F673" s="2">
        <v>7</v>
      </c>
      <c r="G673" s="2" t="b">
        <v>0</v>
      </c>
      <c r="H673" s="2">
        <v>1</v>
      </c>
      <c r="I673" s="2">
        <v>2</v>
      </c>
      <c r="J673" s="2">
        <v>0.16</v>
      </c>
      <c r="K673" s="2">
        <v>0.13639999999999999</v>
      </c>
      <c r="L673" s="2">
        <v>0.64</v>
      </c>
      <c r="M673" s="2">
        <v>0.28360000000000002</v>
      </c>
      <c r="N673" s="2">
        <v>1</v>
      </c>
      <c r="O673" s="2">
        <v>71</v>
      </c>
      <c r="P673" s="2">
        <v>72</v>
      </c>
      <c r="Q673" s="4">
        <f>SUBTOTAL(109,Table6[casual])</f>
        <v>4921</v>
      </c>
      <c r="R673" s="4">
        <f>SUBTOTAL(109,Table6[registered])</f>
        <v>53383</v>
      </c>
      <c r="S673" s="4">
        <f>SUBTOTAL(109,Table6[cnt])</f>
        <v>58304</v>
      </c>
    </row>
    <row r="674" spans="1:19">
      <c r="A674" s="2">
        <v>673</v>
      </c>
      <c r="B674" s="3">
        <v>40574</v>
      </c>
      <c r="C674" s="2">
        <v>1</v>
      </c>
      <c r="D674" s="2">
        <v>0</v>
      </c>
      <c r="E674" s="2">
        <v>1</v>
      </c>
      <c r="F674" s="2">
        <v>8</v>
      </c>
      <c r="G674" s="2" t="b">
        <v>0</v>
      </c>
      <c r="H674" s="2">
        <v>1</v>
      </c>
      <c r="I674" s="2">
        <v>2</v>
      </c>
      <c r="J674" s="2">
        <v>0.16</v>
      </c>
      <c r="K674" s="2">
        <v>0.13639999999999999</v>
      </c>
      <c r="L674" s="2">
        <v>0.59</v>
      </c>
      <c r="M674" s="2">
        <v>0.28360000000000002</v>
      </c>
      <c r="N674" s="2">
        <v>3</v>
      </c>
      <c r="O674" s="2">
        <v>182</v>
      </c>
      <c r="P674" s="2">
        <v>185</v>
      </c>
      <c r="Q674" s="4">
        <f>SUBTOTAL(109,Table6[casual])</f>
        <v>4921</v>
      </c>
      <c r="R674" s="4">
        <f>SUBTOTAL(109,Table6[registered])</f>
        <v>53383</v>
      </c>
      <c r="S674" s="4">
        <f>SUBTOTAL(109,Table6[cnt])</f>
        <v>58304</v>
      </c>
    </row>
    <row r="675" spans="1:19">
      <c r="A675" s="2">
        <v>674</v>
      </c>
      <c r="B675" s="3">
        <v>40574</v>
      </c>
      <c r="C675" s="2">
        <v>1</v>
      </c>
      <c r="D675" s="2">
        <v>0</v>
      </c>
      <c r="E675" s="2">
        <v>1</v>
      </c>
      <c r="F675" s="2">
        <v>9</v>
      </c>
      <c r="G675" s="2" t="b">
        <v>0</v>
      </c>
      <c r="H675" s="2">
        <v>1</v>
      </c>
      <c r="I675" s="2">
        <v>2</v>
      </c>
      <c r="J675" s="2">
        <v>0.16</v>
      </c>
      <c r="K675" s="2">
        <v>0.13639999999999999</v>
      </c>
      <c r="L675" s="2">
        <v>0.59</v>
      </c>
      <c r="M675" s="2">
        <v>0.29849999999999999</v>
      </c>
      <c r="N675" s="2">
        <v>0</v>
      </c>
      <c r="O675" s="2">
        <v>112</v>
      </c>
      <c r="P675" s="2">
        <v>112</v>
      </c>
      <c r="Q675" s="4">
        <f>SUBTOTAL(109,Table6[casual])</f>
        <v>4921</v>
      </c>
      <c r="R675" s="4">
        <f>SUBTOTAL(109,Table6[registered])</f>
        <v>53383</v>
      </c>
      <c r="S675" s="4">
        <f>SUBTOTAL(109,Table6[cnt])</f>
        <v>58304</v>
      </c>
    </row>
    <row r="676" spans="1:19">
      <c r="A676" s="2">
        <v>675</v>
      </c>
      <c r="B676" s="3">
        <v>40574</v>
      </c>
      <c r="C676" s="2">
        <v>1</v>
      </c>
      <c r="D676" s="2">
        <v>0</v>
      </c>
      <c r="E676" s="2">
        <v>1</v>
      </c>
      <c r="F676" s="2">
        <v>10</v>
      </c>
      <c r="G676" s="2" t="b">
        <v>0</v>
      </c>
      <c r="H676" s="2">
        <v>1</v>
      </c>
      <c r="I676" s="2">
        <v>2</v>
      </c>
      <c r="J676" s="2">
        <v>0.16</v>
      </c>
      <c r="K676" s="2">
        <v>0.1515</v>
      </c>
      <c r="L676" s="2">
        <v>0.59</v>
      </c>
      <c r="M676" s="2">
        <v>0.19400000000000001</v>
      </c>
      <c r="N676" s="2">
        <v>1</v>
      </c>
      <c r="O676" s="2">
        <v>68</v>
      </c>
      <c r="P676" s="2">
        <v>69</v>
      </c>
      <c r="Q676" s="4">
        <f>SUBTOTAL(109,Table6[casual])</f>
        <v>4921</v>
      </c>
      <c r="R676" s="4">
        <f>SUBTOTAL(109,Table6[registered])</f>
        <v>53383</v>
      </c>
      <c r="S676" s="4">
        <f>SUBTOTAL(109,Table6[cnt])</f>
        <v>58304</v>
      </c>
    </row>
    <row r="677" spans="1:19">
      <c r="A677" s="2">
        <v>676</v>
      </c>
      <c r="B677" s="3">
        <v>40574</v>
      </c>
      <c r="C677" s="2">
        <v>1</v>
      </c>
      <c r="D677" s="2">
        <v>0</v>
      </c>
      <c r="E677" s="2">
        <v>1</v>
      </c>
      <c r="F677" s="2">
        <v>11</v>
      </c>
      <c r="G677" s="2" t="b">
        <v>0</v>
      </c>
      <c r="H677" s="2">
        <v>1</v>
      </c>
      <c r="I677" s="2">
        <v>2</v>
      </c>
      <c r="J677" s="2">
        <v>0.16</v>
      </c>
      <c r="K677" s="2">
        <v>0.1515</v>
      </c>
      <c r="L677" s="2">
        <v>0.59</v>
      </c>
      <c r="M677" s="2">
        <v>0.19400000000000001</v>
      </c>
      <c r="N677" s="2">
        <v>2</v>
      </c>
      <c r="O677" s="2">
        <v>46</v>
      </c>
      <c r="P677" s="2">
        <v>48</v>
      </c>
      <c r="Q677" s="4">
        <f>SUBTOTAL(109,Table6[casual])</f>
        <v>4921</v>
      </c>
      <c r="R677" s="4">
        <f>SUBTOTAL(109,Table6[registered])</f>
        <v>53383</v>
      </c>
      <c r="S677" s="4">
        <f>SUBTOTAL(109,Table6[cnt])</f>
        <v>58304</v>
      </c>
    </row>
    <row r="678" spans="1:19">
      <c r="A678" s="2">
        <v>677</v>
      </c>
      <c r="B678" s="3">
        <v>40574</v>
      </c>
      <c r="C678" s="2">
        <v>1</v>
      </c>
      <c r="D678" s="2">
        <v>0</v>
      </c>
      <c r="E678" s="2">
        <v>1</v>
      </c>
      <c r="F678" s="2">
        <v>12</v>
      </c>
      <c r="G678" s="2" t="b">
        <v>0</v>
      </c>
      <c r="H678" s="2">
        <v>1</v>
      </c>
      <c r="I678" s="2">
        <v>2</v>
      </c>
      <c r="J678" s="2">
        <v>0.18</v>
      </c>
      <c r="K678" s="2">
        <v>0.21210000000000001</v>
      </c>
      <c r="L678" s="2">
        <v>0.55000000000000004</v>
      </c>
      <c r="M678" s="2">
        <v>0.1045</v>
      </c>
      <c r="N678" s="2">
        <v>6</v>
      </c>
      <c r="O678" s="2">
        <v>62</v>
      </c>
      <c r="P678" s="2">
        <v>68</v>
      </c>
      <c r="Q678" s="4">
        <f>SUBTOTAL(109,Table6[casual])</f>
        <v>4921</v>
      </c>
      <c r="R678" s="4">
        <f>SUBTOTAL(109,Table6[registered])</f>
        <v>53383</v>
      </c>
      <c r="S678" s="4">
        <f>SUBTOTAL(109,Table6[cnt])</f>
        <v>58304</v>
      </c>
    </row>
    <row r="679" spans="1:19">
      <c r="A679" s="2">
        <v>678</v>
      </c>
      <c r="B679" s="3">
        <v>40574</v>
      </c>
      <c r="C679" s="2">
        <v>1</v>
      </c>
      <c r="D679" s="2">
        <v>0</v>
      </c>
      <c r="E679" s="2">
        <v>1</v>
      </c>
      <c r="F679" s="2">
        <v>13</v>
      </c>
      <c r="G679" s="2" t="b">
        <v>0</v>
      </c>
      <c r="H679" s="2">
        <v>1</v>
      </c>
      <c r="I679" s="2">
        <v>2</v>
      </c>
      <c r="J679" s="2">
        <v>0.16</v>
      </c>
      <c r="K679" s="2">
        <v>0.2273</v>
      </c>
      <c r="L679" s="2">
        <v>0.59</v>
      </c>
      <c r="M679" s="2">
        <v>0</v>
      </c>
      <c r="N679" s="2">
        <v>2</v>
      </c>
      <c r="O679" s="2">
        <v>52</v>
      </c>
      <c r="P679" s="2">
        <v>54</v>
      </c>
      <c r="Q679" s="4">
        <f>SUBTOTAL(109,Table6[casual])</f>
        <v>4921</v>
      </c>
      <c r="R679" s="4">
        <f>SUBTOTAL(109,Table6[registered])</f>
        <v>53383</v>
      </c>
      <c r="S679" s="4">
        <f>SUBTOTAL(109,Table6[cnt])</f>
        <v>58304</v>
      </c>
    </row>
    <row r="680" spans="1:19">
      <c r="A680" s="2">
        <v>679</v>
      </c>
      <c r="B680" s="3">
        <v>40574</v>
      </c>
      <c r="C680" s="2">
        <v>1</v>
      </c>
      <c r="D680" s="2">
        <v>0</v>
      </c>
      <c r="E680" s="2">
        <v>1</v>
      </c>
      <c r="F680" s="2">
        <v>14</v>
      </c>
      <c r="G680" s="2" t="b">
        <v>0</v>
      </c>
      <c r="H680" s="2">
        <v>1</v>
      </c>
      <c r="I680" s="2">
        <v>2</v>
      </c>
      <c r="J680" s="2">
        <v>0.18</v>
      </c>
      <c r="K680" s="2">
        <v>0.19700000000000001</v>
      </c>
      <c r="L680" s="2">
        <v>0.55000000000000004</v>
      </c>
      <c r="M680" s="2">
        <v>0.1343</v>
      </c>
      <c r="N680" s="2">
        <v>1</v>
      </c>
      <c r="O680" s="2">
        <v>85</v>
      </c>
      <c r="P680" s="2">
        <v>86</v>
      </c>
      <c r="Q680" s="4">
        <f>SUBTOTAL(109,Table6[casual])</f>
        <v>4921</v>
      </c>
      <c r="R680" s="4">
        <f>SUBTOTAL(109,Table6[registered])</f>
        <v>53383</v>
      </c>
      <c r="S680" s="4">
        <f>SUBTOTAL(109,Table6[cnt])</f>
        <v>58304</v>
      </c>
    </row>
    <row r="681" spans="1:19">
      <c r="A681" s="2">
        <v>680</v>
      </c>
      <c r="B681" s="3">
        <v>40574</v>
      </c>
      <c r="C681" s="2">
        <v>1</v>
      </c>
      <c r="D681" s="2">
        <v>0</v>
      </c>
      <c r="E681" s="2">
        <v>1</v>
      </c>
      <c r="F681" s="2">
        <v>15</v>
      </c>
      <c r="G681" s="2" t="b">
        <v>0</v>
      </c>
      <c r="H681" s="2">
        <v>1</v>
      </c>
      <c r="I681" s="2">
        <v>2</v>
      </c>
      <c r="J681" s="2">
        <v>0.16</v>
      </c>
      <c r="K681" s="2">
        <v>0.18179999999999999</v>
      </c>
      <c r="L681" s="2">
        <v>0.59</v>
      </c>
      <c r="M681" s="2">
        <v>0.1343</v>
      </c>
      <c r="N681" s="2">
        <v>3</v>
      </c>
      <c r="O681" s="2">
        <v>41</v>
      </c>
      <c r="P681" s="2">
        <v>44</v>
      </c>
      <c r="Q681" s="4">
        <f>SUBTOTAL(109,Table6[casual])</f>
        <v>4921</v>
      </c>
      <c r="R681" s="4">
        <f>SUBTOTAL(109,Table6[registered])</f>
        <v>53383</v>
      </c>
      <c r="S681" s="4">
        <f>SUBTOTAL(109,Table6[cnt])</f>
        <v>58304</v>
      </c>
    </row>
    <row r="682" spans="1:19">
      <c r="A682" s="2">
        <v>681</v>
      </c>
      <c r="B682" s="3">
        <v>40574</v>
      </c>
      <c r="C682" s="2">
        <v>1</v>
      </c>
      <c r="D682" s="2">
        <v>0</v>
      </c>
      <c r="E682" s="2">
        <v>1</v>
      </c>
      <c r="F682" s="2">
        <v>16</v>
      </c>
      <c r="G682" s="2" t="b">
        <v>0</v>
      </c>
      <c r="H682" s="2">
        <v>1</v>
      </c>
      <c r="I682" s="2">
        <v>2</v>
      </c>
      <c r="J682" s="2">
        <v>0.16</v>
      </c>
      <c r="K682" s="2">
        <v>0.18179999999999999</v>
      </c>
      <c r="L682" s="2">
        <v>0.56000000000000005</v>
      </c>
      <c r="M682" s="2">
        <v>0.19400000000000001</v>
      </c>
      <c r="N682" s="2">
        <v>3</v>
      </c>
      <c r="O682" s="2">
        <v>83</v>
      </c>
      <c r="P682" s="2">
        <v>86</v>
      </c>
      <c r="Q682" s="4">
        <f>SUBTOTAL(109,Table6[casual])</f>
        <v>4921</v>
      </c>
      <c r="R682" s="4">
        <f>SUBTOTAL(109,Table6[registered])</f>
        <v>53383</v>
      </c>
      <c r="S682" s="4">
        <f>SUBTOTAL(109,Table6[cnt])</f>
        <v>58304</v>
      </c>
    </row>
    <row r="683" spans="1:19">
      <c r="A683" s="2">
        <v>682</v>
      </c>
      <c r="B683" s="3">
        <v>40574</v>
      </c>
      <c r="C683" s="2">
        <v>1</v>
      </c>
      <c r="D683" s="2">
        <v>0</v>
      </c>
      <c r="E683" s="2">
        <v>1</v>
      </c>
      <c r="F683" s="2">
        <v>17</v>
      </c>
      <c r="G683" s="2" t="b">
        <v>0</v>
      </c>
      <c r="H683" s="2">
        <v>1</v>
      </c>
      <c r="I683" s="2">
        <v>2</v>
      </c>
      <c r="J683" s="2">
        <v>0.16</v>
      </c>
      <c r="K683" s="2">
        <v>0.1515</v>
      </c>
      <c r="L683" s="2">
        <v>0.59</v>
      </c>
      <c r="M683" s="2">
        <v>0.19400000000000001</v>
      </c>
      <c r="N683" s="2">
        <v>6</v>
      </c>
      <c r="O683" s="2">
        <v>155</v>
      </c>
      <c r="P683" s="2">
        <v>161</v>
      </c>
      <c r="Q683" s="4">
        <f>SUBTOTAL(109,Table6[casual])</f>
        <v>4921</v>
      </c>
      <c r="R683" s="4">
        <f>SUBTOTAL(109,Table6[registered])</f>
        <v>53383</v>
      </c>
      <c r="S683" s="4">
        <f>SUBTOTAL(109,Table6[cnt])</f>
        <v>58304</v>
      </c>
    </row>
    <row r="684" spans="1:19">
      <c r="A684" s="2">
        <v>683</v>
      </c>
      <c r="B684" s="3">
        <v>40574</v>
      </c>
      <c r="C684" s="2">
        <v>1</v>
      </c>
      <c r="D684" s="2">
        <v>0</v>
      </c>
      <c r="E684" s="2">
        <v>1</v>
      </c>
      <c r="F684" s="2">
        <v>18</v>
      </c>
      <c r="G684" s="2" t="b">
        <v>0</v>
      </c>
      <c r="H684" s="2">
        <v>1</v>
      </c>
      <c r="I684" s="2">
        <v>2</v>
      </c>
      <c r="J684" s="2">
        <v>0.16</v>
      </c>
      <c r="K684" s="2">
        <v>0.1515</v>
      </c>
      <c r="L684" s="2">
        <v>0.55000000000000004</v>
      </c>
      <c r="M684" s="2">
        <v>0.22389999999999999</v>
      </c>
      <c r="N684" s="2">
        <v>3</v>
      </c>
      <c r="O684" s="2">
        <v>153</v>
      </c>
      <c r="P684" s="2">
        <v>156</v>
      </c>
      <c r="Q684" s="4">
        <f>SUBTOTAL(109,Table6[casual])</f>
        <v>4921</v>
      </c>
      <c r="R684" s="4">
        <f>SUBTOTAL(109,Table6[registered])</f>
        <v>53383</v>
      </c>
      <c r="S684" s="4">
        <f>SUBTOTAL(109,Table6[cnt])</f>
        <v>58304</v>
      </c>
    </row>
    <row r="685" spans="1:19">
      <c r="A685" s="2">
        <v>684</v>
      </c>
      <c r="B685" s="3">
        <v>40574</v>
      </c>
      <c r="C685" s="2">
        <v>1</v>
      </c>
      <c r="D685" s="2">
        <v>0</v>
      </c>
      <c r="E685" s="2">
        <v>1</v>
      </c>
      <c r="F685" s="2">
        <v>19</v>
      </c>
      <c r="G685" s="2" t="b">
        <v>0</v>
      </c>
      <c r="H685" s="2">
        <v>1</v>
      </c>
      <c r="I685" s="2">
        <v>1</v>
      </c>
      <c r="J685" s="2">
        <v>0.3</v>
      </c>
      <c r="K685" s="2">
        <v>0.31819999999999998</v>
      </c>
      <c r="L685" s="2">
        <v>0.61</v>
      </c>
      <c r="M685" s="2">
        <v>0.1045</v>
      </c>
      <c r="N685" s="2">
        <v>3</v>
      </c>
      <c r="O685" s="2">
        <v>108</v>
      </c>
      <c r="P685" s="2">
        <v>111</v>
      </c>
      <c r="Q685" s="4">
        <f>SUBTOTAL(109,Table6[casual])</f>
        <v>4921</v>
      </c>
      <c r="R685" s="4">
        <f>SUBTOTAL(109,Table6[registered])</f>
        <v>53383</v>
      </c>
      <c r="S685" s="4">
        <f>SUBTOTAL(109,Table6[cnt])</f>
        <v>58304</v>
      </c>
    </row>
    <row r="686" spans="1:19">
      <c r="A686" s="2">
        <v>685</v>
      </c>
      <c r="B686" s="3">
        <v>40574</v>
      </c>
      <c r="C686" s="2">
        <v>1</v>
      </c>
      <c r="D686" s="2">
        <v>0</v>
      </c>
      <c r="E686" s="2">
        <v>1</v>
      </c>
      <c r="F686" s="2">
        <v>20</v>
      </c>
      <c r="G686" s="2" t="b">
        <v>0</v>
      </c>
      <c r="H686" s="2">
        <v>1</v>
      </c>
      <c r="I686" s="2">
        <v>3</v>
      </c>
      <c r="J686" s="2">
        <v>0.16</v>
      </c>
      <c r="K686" s="2">
        <v>0.16669999999999999</v>
      </c>
      <c r="L686" s="2">
        <v>0.59</v>
      </c>
      <c r="M686" s="2">
        <v>0.16420000000000001</v>
      </c>
      <c r="N686" s="2">
        <v>0</v>
      </c>
      <c r="O686" s="2">
        <v>78</v>
      </c>
      <c r="P686" s="2">
        <v>78</v>
      </c>
      <c r="Q686" s="4">
        <f>SUBTOTAL(109,Table6[casual])</f>
        <v>4921</v>
      </c>
      <c r="R686" s="4">
        <f>SUBTOTAL(109,Table6[registered])</f>
        <v>53383</v>
      </c>
      <c r="S686" s="4">
        <f>SUBTOTAL(109,Table6[cnt])</f>
        <v>58304</v>
      </c>
    </row>
    <row r="687" spans="1:19">
      <c r="A687" s="2">
        <v>686</v>
      </c>
      <c r="B687" s="3">
        <v>40574</v>
      </c>
      <c r="C687" s="2">
        <v>1</v>
      </c>
      <c r="D687" s="2">
        <v>0</v>
      </c>
      <c r="E687" s="2">
        <v>1</v>
      </c>
      <c r="F687" s="2">
        <v>21</v>
      </c>
      <c r="G687" s="2" t="b">
        <v>0</v>
      </c>
      <c r="H687" s="2">
        <v>1</v>
      </c>
      <c r="I687" s="2">
        <v>3</v>
      </c>
      <c r="J687" s="2">
        <v>0.16</v>
      </c>
      <c r="K687" s="2">
        <v>0.19700000000000001</v>
      </c>
      <c r="L687" s="2">
        <v>0.59</v>
      </c>
      <c r="M687" s="2">
        <v>8.9599999999999999E-2</v>
      </c>
      <c r="N687" s="2">
        <v>3</v>
      </c>
      <c r="O687" s="2">
        <v>53</v>
      </c>
      <c r="P687" s="2">
        <v>56</v>
      </c>
      <c r="Q687" s="4">
        <f>SUBTOTAL(109,Table6[casual])</f>
        <v>4921</v>
      </c>
      <c r="R687" s="4">
        <f>SUBTOTAL(109,Table6[registered])</f>
        <v>53383</v>
      </c>
      <c r="S687" s="4">
        <f>SUBTOTAL(109,Table6[cnt])</f>
        <v>58304</v>
      </c>
    </row>
    <row r="688" spans="1:19">
      <c r="A688" s="2">
        <v>687</v>
      </c>
      <c r="B688" s="3">
        <v>40574</v>
      </c>
      <c r="C688" s="2">
        <v>1</v>
      </c>
      <c r="D688" s="2">
        <v>0</v>
      </c>
      <c r="E688" s="2">
        <v>1</v>
      </c>
      <c r="F688" s="2">
        <v>22</v>
      </c>
      <c r="G688" s="2" t="b">
        <v>0</v>
      </c>
      <c r="H688" s="2">
        <v>1</v>
      </c>
      <c r="I688" s="2">
        <v>2</v>
      </c>
      <c r="J688" s="2">
        <v>0.16</v>
      </c>
      <c r="K688" s="2">
        <v>0.18179999999999999</v>
      </c>
      <c r="L688" s="2">
        <v>0.59</v>
      </c>
      <c r="M688" s="2">
        <v>0.1045</v>
      </c>
      <c r="N688" s="2">
        <v>0</v>
      </c>
      <c r="O688" s="2">
        <v>34</v>
      </c>
      <c r="P688" s="2">
        <v>34</v>
      </c>
      <c r="Q688" s="4">
        <f>SUBTOTAL(109,Table6[casual])</f>
        <v>4921</v>
      </c>
      <c r="R688" s="4">
        <f>SUBTOTAL(109,Table6[registered])</f>
        <v>53383</v>
      </c>
      <c r="S688" s="4">
        <f>SUBTOTAL(109,Table6[cnt])</f>
        <v>58304</v>
      </c>
    </row>
    <row r="689" spans="1:19">
      <c r="A689" s="2">
        <v>688</v>
      </c>
      <c r="B689" s="3">
        <v>40574</v>
      </c>
      <c r="C689" s="2">
        <v>1</v>
      </c>
      <c r="D689" s="2">
        <v>0</v>
      </c>
      <c r="E689" s="2">
        <v>1</v>
      </c>
      <c r="F689" s="2">
        <v>23</v>
      </c>
      <c r="G689" s="2" t="b">
        <v>0</v>
      </c>
      <c r="H689" s="2">
        <v>1</v>
      </c>
      <c r="I689" s="2">
        <v>2</v>
      </c>
      <c r="J689" s="2">
        <v>0.16</v>
      </c>
      <c r="K689" s="2">
        <v>0.19700000000000001</v>
      </c>
      <c r="L689" s="2">
        <v>0.64</v>
      </c>
      <c r="M689" s="2">
        <v>8.9599999999999999E-2</v>
      </c>
      <c r="N689" s="2">
        <v>2</v>
      </c>
      <c r="O689" s="2">
        <v>15</v>
      </c>
      <c r="P689" s="2">
        <v>17</v>
      </c>
      <c r="Q689" s="4">
        <f>SUBTOTAL(109,Table6[casual])</f>
        <v>4921</v>
      </c>
      <c r="R689" s="4">
        <f>SUBTOTAL(109,Table6[registered])</f>
        <v>53383</v>
      </c>
      <c r="S689" s="4">
        <f>SUBTOTAL(109,Table6[cnt])</f>
        <v>58304</v>
      </c>
    </row>
    <row r="690" spans="1:19">
      <c r="A690" s="2">
        <v>689</v>
      </c>
      <c r="B690" s="3">
        <v>40575</v>
      </c>
      <c r="C690" s="2">
        <v>1</v>
      </c>
      <c r="D690" s="2">
        <v>0</v>
      </c>
      <c r="E690" s="2">
        <v>2</v>
      </c>
      <c r="F690" s="2">
        <v>0</v>
      </c>
      <c r="G690" s="2" t="b">
        <v>0</v>
      </c>
      <c r="H690" s="2">
        <v>2</v>
      </c>
      <c r="I690" s="2">
        <v>2</v>
      </c>
      <c r="J690" s="2">
        <v>0.16</v>
      </c>
      <c r="K690" s="2">
        <v>0.18179999999999999</v>
      </c>
      <c r="L690" s="2">
        <v>0.64</v>
      </c>
      <c r="M690" s="2">
        <v>0.1045</v>
      </c>
      <c r="N690" s="2">
        <v>2</v>
      </c>
      <c r="O690" s="2">
        <v>6</v>
      </c>
      <c r="P690" s="2">
        <v>8</v>
      </c>
      <c r="Q690" s="4">
        <f>SUBTOTAL(109,Table6[casual])</f>
        <v>4921</v>
      </c>
      <c r="R690" s="4">
        <f>SUBTOTAL(109,Table6[registered])</f>
        <v>53383</v>
      </c>
      <c r="S690" s="4">
        <f>SUBTOTAL(109,Table6[cnt])</f>
        <v>58304</v>
      </c>
    </row>
    <row r="691" spans="1:19">
      <c r="A691" s="2">
        <v>690</v>
      </c>
      <c r="B691" s="3">
        <v>40575</v>
      </c>
      <c r="C691" s="2">
        <v>1</v>
      </c>
      <c r="D691" s="2">
        <v>0</v>
      </c>
      <c r="E691" s="2">
        <v>2</v>
      </c>
      <c r="F691" s="2">
        <v>1</v>
      </c>
      <c r="G691" s="2" t="b">
        <v>0</v>
      </c>
      <c r="H691" s="2">
        <v>2</v>
      </c>
      <c r="I691" s="2">
        <v>2</v>
      </c>
      <c r="J691" s="2">
        <v>0.16</v>
      </c>
      <c r="K691" s="2">
        <v>0.18179999999999999</v>
      </c>
      <c r="L691" s="2">
        <v>0.69</v>
      </c>
      <c r="M691" s="2">
        <v>0.1045</v>
      </c>
      <c r="N691" s="2">
        <v>0</v>
      </c>
      <c r="O691" s="2">
        <v>3</v>
      </c>
      <c r="P691" s="2">
        <v>3</v>
      </c>
      <c r="Q691" s="4">
        <f>SUBTOTAL(109,Table6[casual])</f>
        <v>4921</v>
      </c>
      <c r="R691" s="4">
        <f>SUBTOTAL(109,Table6[registered])</f>
        <v>53383</v>
      </c>
      <c r="S691" s="4">
        <f>SUBTOTAL(109,Table6[cnt])</f>
        <v>58304</v>
      </c>
    </row>
    <row r="692" spans="1:19">
      <c r="A692" s="2">
        <v>691</v>
      </c>
      <c r="B692" s="3">
        <v>40575</v>
      </c>
      <c r="C692" s="2">
        <v>1</v>
      </c>
      <c r="D692" s="2">
        <v>0</v>
      </c>
      <c r="E692" s="2">
        <v>2</v>
      </c>
      <c r="F692" s="2">
        <v>2</v>
      </c>
      <c r="G692" s="2" t="b">
        <v>0</v>
      </c>
      <c r="H692" s="2">
        <v>2</v>
      </c>
      <c r="I692" s="2">
        <v>2</v>
      </c>
      <c r="J692" s="2">
        <v>0.16</v>
      </c>
      <c r="K692" s="2">
        <v>0.2273</v>
      </c>
      <c r="L692" s="2">
        <v>0.69</v>
      </c>
      <c r="M692" s="2">
        <v>0</v>
      </c>
      <c r="N692" s="2">
        <v>0</v>
      </c>
      <c r="O692" s="2">
        <v>2</v>
      </c>
      <c r="P692" s="2">
        <v>2</v>
      </c>
      <c r="Q692" s="4">
        <f>SUBTOTAL(109,Table6[casual])</f>
        <v>4921</v>
      </c>
      <c r="R692" s="4">
        <f>SUBTOTAL(109,Table6[registered])</f>
        <v>53383</v>
      </c>
      <c r="S692" s="4">
        <f>SUBTOTAL(109,Table6[cnt])</f>
        <v>58304</v>
      </c>
    </row>
    <row r="693" spans="1:19">
      <c r="A693" s="2">
        <v>692</v>
      </c>
      <c r="B693" s="3">
        <v>40575</v>
      </c>
      <c r="C693" s="2">
        <v>1</v>
      </c>
      <c r="D693" s="2">
        <v>0</v>
      </c>
      <c r="E693" s="2">
        <v>2</v>
      </c>
      <c r="F693" s="2">
        <v>3</v>
      </c>
      <c r="G693" s="2" t="b">
        <v>0</v>
      </c>
      <c r="H693" s="2">
        <v>2</v>
      </c>
      <c r="I693" s="2">
        <v>2</v>
      </c>
      <c r="J693" s="2">
        <v>0.16</v>
      </c>
      <c r="K693" s="2">
        <v>0.2273</v>
      </c>
      <c r="L693" s="2">
        <v>0.69</v>
      </c>
      <c r="M693" s="2">
        <v>0</v>
      </c>
      <c r="N693" s="2">
        <v>0</v>
      </c>
      <c r="O693" s="2">
        <v>2</v>
      </c>
      <c r="P693" s="2">
        <v>2</v>
      </c>
      <c r="Q693" s="4">
        <f>SUBTOTAL(109,Table6[casual])</f>
        <v>4921</v>
      </c>
      <c r="R693" s="4">
        <f>SUBTOTAL(109,Table6[registered])</f>
        <v>53383</v>
      </c>
      <c r="S693" s="4">
        <f>SUBTOTAL(109,Table6[cnt])</f>
        <v>58304</v>
      </c>
    </row>
    <row r="694" spans="1:19">
      <c r="A694" s="2">
        <v>693</v>
      </c>
      <c r="B694" s="3">
        <v>40575</v>
      </c>
      <c r="C694" s="2">
        <v>1</v>
      </c>
      <c r="D694" s="2">
        <v>0</v>
      </c>
      <c r="E694" s="2">
        <v>2</v>
      </c>
      <c r="F694" s="2">
        <v>5</v>
      </c>
      <c r="G694" s="2" t="b">
        <v>0</v>
      </c>
      <c r="H694" s="2">
        <v>2</v>
      </c>
      <c r="I694" s="2">
        <v>3</v>
      </c>
      <c r="J694" s="2">
        <v>0.14000000000000001</v>
      </c>
      <c r="K694" s="2">
        <v>0.21210000000000001</v>
      </c>
      <c r="L694" s="2">
        <v>0.93</v>
      </c>
      <c r="M694" s="2">
        <v>0</v>
      </c>
      <c r="N694" s="2">
        <v>0</v>
      </c>
      <c r="O694" s="2">
        <v>3</v>
      </c>
      <c r="P694" s="2">
        <v>3</v>
      </c>
      <c r="Q694" s="4">
        <f>SUBTOTAL(109,Table6[casual])</f>
        <v>4921</v>
      </c>
      <c r="R694" s="4">
        <f>SUBTOTAL(109,Table6[registered])</f>
        <v>53383</v>
      </c>
      <c r="S694" s="4">
        <f>SUBTOTAL(109,Table6[cnt])</f>
        <v>58304</v>
      </c>
    </row>
    <row r="695" spans="1:19">
      <c r="A695" s="2">
        <v>694</v>
      </c>
      <c r="B695" s="3">
        <v>40575</v>
      </c>
      <c r="C695" s="2">
        <v>1</v>
      </c>
      <c r="D695" s="2">
        <v>0</v>
      </c>
      <c r="E695" s="2">
        <v>2</v>
      </c>
      <c r="F695" s="2">
        <v>6</v>
      </c>
      <c r="G695" s="2" t="b">
        <v>0</v>
      </c>
      <c r="H695" s="2">
        <v>2</v>
      </c>
      <c r="I695" s="2">
        <v>3</v>
      </c>
      <c r="J695" s="2">
        <v>0.14000000000000001</v>
      </c>
      <c r="K695" s="2">
        <v>0.21210000000000001</v>
      </c>
      <c r="L695" s="2">
        <v>0.93</v>
      </c>
      <c r="M695" s="2">
        <v>0</v>
      </c>
      <c r="N695" s="2">
        <v>0</v>
      </c>
      <c r="O695" s="2">
        <v>22</v>
      </c>
      <c r="P695" s="2">
        <v>22</v>
      </c>
      <c r="Q695" s="4">
        <f>SUBTOTAL(109,Table6[casual])</f>
        <v>4921</v>
      </c>
      <c r="R695" s="4">
        <f>SUBTOTAL(109,Table6[registered])</f>
        <v>53383</v>
      </c>
      <c r="S695" s="4">
        <f>SUBTOTAL(109,Table6[cnt])</f>
        <v>58304</v>
      </c>
    </row>
    <row r="696" spans="1:19">
      <c r="A696" s="2">
        <v>695</v>
      </c>
      <c r="B696" s="3">
        <v>40575</v>
      </c>
      <c r="C696" s="2">
        <v>1</v>
      </c>
      <c r="D696" s="2">
        <v>0</v>
      </c>
      <c r="E696" s="2">
        <v>2</v>
      </c>
      <c r="F696" s="2">
        <v>7</v>
      </c>
      <c r="G696" s="2" t="b">
        <v>0</v>
      </c>
      <c r="H696" s="2">
        <v>2</v>
      </c>
      <c r="I696" s="2">
        <v>3</v>
      </c>
      <c r="J696" s="2">
        <v>0.16</v>
      </c>
      <c r="K696" s="2">
        <v>0.2273</v>
      </c>
      <c r="L696" s="2">
        <v>0.93</v>
      </c>
      <c r="M696" s="2">
        <v>0</v>
      </c>
      <c r="N696" s="2">
        <v>0</v>
      </c>
      <c r="O696" s="2">
        <v>52</v>
      </c>
      <c r="P696" s="2">
        <v>52</v>
      </c>
      <c r="Q696" s="4">
        <f>SUBTOTAL(109,Table6[casual])</f>
        <v>4921</v>
      </c>
      <c r="R696" s="4">
        <f>SUBTOTAL(109,Table6[registered])</f>
        <v>53383</v>
      </c>
      <c r="S696" s="4">
        <f>SUBTOTAL(109,Table6[cnt])</f>
        <v>58304</v>
      </c>
    </row>
    <row r="697" spans="1:19">
      <c r="A697" s="2">
        <v>696</v>
      </c>
      <c r="B697" s="3">
        <v>40575</v>
      </c>
      <c r="C697" s="2">
        <v>1</v>
      </c>
      <c r="D697" s="2">
        <v>0</v>
      </c>
      <c r="E697" s="2">
        <v>2</v>
      </c>
      <c r="F697" s="2">
        <v>8</v>
      </c>
      <c r="G697" s="2" t="b">
        <v>0</v>
      </c>
      <c r="H697" s="2">
        <v>2</v>
      </c>
      <c r="I697" s="2">
        <v>3</v>
      </c>
      <c r="J697" s="2">
        <v>0.16</v>
      </c>
      <c r="K697" s="2">
        <v>0.2273</v>
      </c>
      <c r="L697" s="2">
        <v>0.93</v>
      </c>
      <c r="M697" s="2">
        <v>0</v>
      </c>
      <c r="N697" s="2">
        <v>3</v>
      </c>
      <c r="O697" s="2">
        <v>132</v>
      </c>
      <c r="P697" s="2">
        <v>135</v>
      </c>
      <c r="Q697" s="4">
        <f>SUBTOTAL(109,Table6[casual])</f>
        <v>4921</v>
      </c>
      <c r="R697" s="4">
        <f>SUBTOTAL(109,Table6[registered])</f>
        <v>53383</v>
      </c>
      <c r="S697" s="4">
        <f>SUBTOTAL(109,Table6[cnt])</f>
        <v>58304</v>
      </c>
    </row>
    <row r="698" spans="1:19">
      <c r="A698" s="2">
        <v>697</v>
      </c>
      <c r="B698" s="3">
        <v>40575</v>
      </c>
      <c r="C698" s="2">
        <v>1</v>
      </c>
      <c r="D698" s="2">
        <v>0</v>
      </c>
      <c r="E698" s="2">
        <v>2</v>
      </c>
      <c r="F698" s="2">
        <v>9</v>
      </c>
      <c r="G698" s="2" t="b">
        <v>0</v>
      </c>
      <c r="H698" s="2">
        <v>2</v>
      </c>
      <c r="I698" s="2">
        <v>2</v>
      </c>
      <c r="J698" s="2">
        <v>0.16</v>
      </c>
      <c r="K698" s="2">
        <v>0.2273</v>
      </c>
      <c r="L698" s="2">
        <v>0.93</v>
      </c>
      <c r="M698" s="2">
        <v>0</v>
      </c>
      <c r="N698" s="2">
        <v>2</v>
      </c>
      <c r="O698" s="2">
        <v>114</v>
      </c>
      <c r="P698" s="2">
        <v>116</v>
      </c>
      <c r="Q698" s="4">
        <f>SUBTOTAL(109,Table6[casual])</f>
        <v>4921</v>
      </c>
      <c r="R698" s="4">
        <f>SUBTOTAL(109,Table6[registered])</f>
        <v>53383</v>
      </c>
      <c r="S698" s="4">
        <f>SUBTOTAL(109,Table6[cnt])</f>
        <v>58304</v>
      </c>
    </row>
    <row r="699" spans="1:19">
      <c r="A699" s="2">
        <v>698</v>
      </c>
      <c r="B699" s="3">
        <v>40575</v>
      </c>
      <c r="C699" s="2">
        <v>1</v>
      </c>
      <c r="D699" s="2">
        <v>0</v>
      </c>
      <c r="E699" s="2">
        <v>2</v>
      </c>
      <c r="F699" s="2">
        <v>10</v>
      </c>
      <c r="G699" s="2" t="b">
        <v>0</v>
      </c>
      <c r="H699" s="2">
        <v>2</v>
      </c>
      <c r="I699" s="2">
        <v>2</v>
      </c>
      <c r="J699" s="2">
        <v>0.16</v>
      </c>
      <c r="K699" s="2">
        <v>0.2273</v>
      </c>
      <c r="L699" s="2">
        <v>0.93</v>
      </c>
      <c r="M699" s="2">
        <v>0</v>
      </c>
      <c r="N699" s="2">
        <v>0</v>
      </c>
      <c r="O699" s="2">
        <v>47</v>
      </c>
      <c r="P699" s="2">
        <v>47</v>
      </c>
      <c r="Q699" s="4">
        <f>SUBTOTAL(109,Table6[casual])</f>
        <v>4921</v>
      </c>
      <c r="R699" s="4">
        <f>SUBTOTAL(109,Table6[registered])</f>
        <v>53383</v>
      </c>
      <c r="S699" s="4">
        <f>SUBTOTAL(109,Table6[cnt])</f>
        <v>58304</v>
      </c>
    </row>
    <row r="700" spans="1:19">
      <c r="A700" s="2">
        <v>699</v>
      </c>
      <c r="B700" s="3">
        <v>40575</v>
      </c>
      <c r="C700" s="2">
        <v>1</v>
      </c>
      <c r="D700" s="2">
        <v>0</v>
      </c>
      <c r="E700" s="2">
        <v>2</v>
      </c>
      <c r="F700" s="2">
        <v>11</v>
      </c>
      <c r="G700" s="2" t="b">
        <v>0</v>
      </c>
      <c r="H700" s="2">
        <v>2</v>
      </c>
      <c r="I700" s="2">
        <v>2</v>
      </c>
      <c r="J700" s="2">
        <v>0.18</v>
      </c>
      <c r="K700" s="2">
        <v>0.2424</v>
      </c>
      <c r="L700" s="2">
        <v>0.86</v>
      </c>
      <c r="M700" s="2">
        <v>0</v>
      </c>
      <c r="N700" s="2">
        <v>2</v>
      </c>
      <c r="O700" s="2">
        <v>49</v>
      </c>
      <c r="P700" s="2">
        <v>51</v>
      </c>
      <c r="Q700" s="4">
        <f>SUBTOTAL(109,Table6[casual])</f>
        <v>4921</v>
      </c>
      <c r="R700" s="4">
        <f>SUBTOTAL(109,Table6[registered])</f>
        <v>53383</v>
      </c>
      <c r="S700" s="4">
        <f>SUBTOTAL(109,Table6[cnt])</f>
        <v>58304</v>
      </c>
    </row>
    <row r="701" spans="1:19">
      <c r="A701" s="2">
        <v>700</v>
      </c>
      <c r="B701" s="3">
        <v>40575</v>
      </c>
      <c r="C701" s="2">
        <v>1</v>
      </c>
      <c r="D701" s="2">
        <v>0</v>
      </c>
      <c r="E701" s="2">
        <v>2</v>
      </c>
      <c r="F701" s="2">
        <v>12</v>
      </c>
      <c r="G701" s="2" t="b">
        <v>0</v>
      </c>
      <c r="H701" s="2">
        <v>2</v>
      </c>
      <c r="I701" s="2">
        <v>2</v>
      </c>
      <c r="J701" s="2">
        <v>0.2</v>
      </c>
      <c r="K701" s="2">
        <v>0.2576</v>
      </c>
      <c r="L701" s="2">
        <v>0.86</v>
      </c>
      <c r="M701" s="2">
        <v>0</v>
      </c>
      <c r="N701" s="2">
        <v>2</v>
      </c>
      <c r="O701" s="2">
        <v>53</v>
      </c>
      <c r="P701" s="2">
        <v>55</v>
      </c>
      <c r="Q701" s="4">
        <f>SUBTOTAL(109,Table6[casual])</f>
        <v>4921</v>
      </c>
      <c r="R701" s="4">
        <f>SUBTOTAL(109,Table6[registered])</f>
        <v>53383</v>
      </c>
      <c r="S701" s="4">
        <f>SUBTOTAL(109,Table6[cnt])</f>
        <v>58304</v>
      </c>
    </row>
    <row r="702" spans="1:19">
      <c r="A702" s="2">
        <v>701</v>
      </c>
      <c r="B702" s="3">
        <v>40575</v>
      </c>
      <c r="C702" s="2">
        <v>1</v>
      </c>
      <c r="D702" s="2">
        <v>0</v>
      </c>
      <c r="E702" s="2">
        <v>2</v>
      </c>
      <c r="F702" s="2">
        <v>13</v>
      </c>
      <c r="G702" s="2" t="b">
        <v>0</v>
      </c>
      <c r="H702" s="2">
        <v>2</v>
      </c>
      <c r="I702" s="2">
        <v>2</v>
      </c>
      <c r="J702" s="2">
        <v>0.2</v>
      </c>
      <c r="K702" s="2">
        <v>0.2576</v>
      </c>
      <c r="L702" s="2">
        <v>0.86</v>
      </c>
      <c r="M702" s="2">
        <v>0</v>
      </c>
      <c r="N702" s="2">
        <v>3</v>
      </c>
      <c r="O702" s="2">
        <v>49</v>
      </c>
      <c r="P702" s="2">
        <v>52</v>
      </c>
      <c r="Q702" s="4">
        <f>SUBTOTAL(109,Table6[casual])</f>
        <v>4921</v>
      </c>
      <c r="R702" s="4">
        <f>SUBTOTAL(109,Table6[registered])</f>
        <v>53383</v>
      </c>
      <c r="S702" s="4">
        <f>SUBTOTAL(109,Table6[cnt])</f>
        <v>58304</v>
      </c>
    </row>
    <row r="703" spans="1:19">
      <c r="A703" s="2">
        <v>702</v>
      </c>
      <c r="B703" s="3">
        <v>40575</v>
      </c>
      <c r="C703" s="2">
        <v>1</v>
      </c>
      <c r="D703" s="2">
        <v>0</v>
      </c>
      <c r="E703" s="2">
        <v>2</v>
      </c>
      <c r="F703" s="2">
        <v>14</v>
      </c>
      <c r="G703" s="2" t="b">
        <v>0</v>
      </c>
      <c r="H703" s="2">
        <v>2</v>
      </c>
      <c r="I703" s="2">
        <v>2</v>
      </c>
      <c r="J703" s="2">
        <v>0.22</v>
      </c>
      <c r="K703" s="2">
        <v>0.2576</v>
      </c>
      <c r="L703" s="2">
        <v>0.8</v>
      </c>
      <c r="M703" s="2">
        <v>8.9599999999999999E-2</v>
      </c>
      <c r="N703" s="2">
        <v>5</v>
      </c>
      <c r="O703" s="2">
        <v>49</v>
      </c>
      <c r="P703" s="2">
        <v>54</v>
      </c>
      <c r="Q703" s="4">
        <f>SUBTOTAL(109,Table6[casual])</f>
        <v>4921</v>
      </c>
      <c r="R703" s="4">
        <f>SUBTOTAL(109,Table6[registered])</f>
        <v>53383</v>
      </c>
      <c r="S703" s="4">
        <f>SUBTOTAL(109,Table6[cnt])</f>
        <v>58304</v>
      </c>
    </row>
    <row r="704" spans="1:19">
      <c r="A704" s="2">
        <v>703</v>
      </c>
      <c r="B704" s="3">
        <v>40575</v>
      </c>
      <c r="C704" s="2">
        <v>1</v>
      </c>
      <c r="D704" s="2">
        <v>0</v>
      </c>
      <c r="E704" s="2">
        <v>2</v>
      </c>
      <c r="F704" s="2">
        <v>15</v>
      </c>
      <c r="G704" s="2" t="b">
        <v>0</v>
      </c>
      <c r="H704" s="2">
        <v>2</v>
      </c>
      <c r="I704" s="2">
        <v>2</v>
      </c>
      <c r="J704" s="2">
        <v>0.24</v>
      </c>
      <c r="K704" s="2">
        <v>0.28789999999999999</v>
      </c>
      <c r="L704" s="2">
        <v>0.75</v>
      </c>
      <c r="M704" s="2">
        <v>0</v>
      </c>
      <c r="N704" s="2">
        <v>7</v>
      </c>
      <c r="O704" s="2">
        <v>45</v>
      </c>
      <c r="P704" s="2">
        <v>52</v>
      </c>
      <c r="Q704" s="4">
        <f>SUBTOTAL(109,Table6[casual])</f>
        <v>4921</v>
      </c>
      <c r="R704" s="4">
        <f>SUBTOTAL(109,Table6[registered])</f>
        <v>53383</v>
      </c>
      <c r="S704" s="4">
        <f>SUBTOTAL(109,Table6[cnt])</f>
        <v>58304</v>
      </c>
    </row>
    <row r="705" spans="1:19">
      <c r="A705" s="2">
        <v>704</v>
      </c>
      <c r="B705" s="3">
        <v>40575</v>
      </c>
      <c r="C705" s="2">
        <v>1</v>
      </c>
      <c r="D705" s="2">
        <v>0</v>
      </c>
      <c r="E705" s="2">
        <v>2</v>
      </c>
      <c r="F705" s="2">
        <v>16</v>
      </c>
      <c r="G705" s="2" t="b">
        <v>0</v>
      </c>
      <c r="H705" s="2">
        <v>2</v>
      </c>
      <c r="I705" s="2">
        <v>2</v>
      </c>
      <c r="J705" s="2">
        <v>0.24</v>
      </c>
      <c r="K705" s="2">
        <v>0.2424</v>
      </c>
      <c r="L705" s="2">
        <v>0.75</v>
      </c>
      <c r="M705" s="2">
        <v>0.1343</v>
      </c>
      <c r="N705" s="2">
        <v>3</v>
      </c>
      <c r="O705" s="2">
        <v>61</v>
      </c>
      <c r="P705" s="2">
        <v>64</v>
      </c>
      <c r="Q705" s="4">
        <f>SUBTOTAL(109,Table6[casual])</f>
        <v>4921</v>
      </c>
      <c r="R705" s="4">
        <f>SUBTOTAL(109,Table6[registered])</f>
        <v>53383</v>
      </c>
      <c r="S705" s="4">
        <f>SUBTOTAL(109,Table6[cnt])</f>
        <v>58304</v>
      </c>
    </row>
    <row r="706" spans="1:19">
      <c r="A706" s="2">
        <v>705</v>
      </c>
      <c r="B706" s="3">
        <v>40575</v>
      </c>
      <c r="C706" s="2">
        <v>1</v>
      </c>
      <c r="D706" s="2">
        <v>0</v>
      </c>
      <c r="E706" s="2">
        <v>2</v>
      </c>
      <c r="F706" s="2">
        <v>17</v>
      </c>
      <c r="G706" s="2" t="b">
        <v>0</v>
      </c>
      <c r="H706" s="2">
        <v>2</v>
      </c>
      <c r="I706" s="2">
        <v>2</v>
      </c>
      <c r="J706" s="2">
        <v>0.24</v>
      </c>
      <c r="K706" s="2">
        <v>0.28789999999999999</v>
      </c>
      <c r="L706" s="2">
        <v>0.75</v>
      </c>
      <c r="M706" s="2">
        <v>0</v>
      </c>
      <c r="N706" s="2">
        <v>4</v>
      </c>
      <c r="O706" s="2">
        <v>172</v>
      </c>
      <c r="P706" s="2">
        <v>176</v>
      </c>
      <c r="Q706" s="4">
        <f>SUBTOTAL(109,Table6[casual])</f>
        <v>4921</v>
      </c>
      <c r="R706" s="4">
        <f>SUBTOTAL(109,Table6[registered])</f>
        <v>53383</v>
      </c>
      <c r="S706" s="4">
        <f>SUBTOTAL(109,Table6[cnt])</f>
        <v>58304</v>
      </c>
    </row>
    <row r="707" spans="1:19">
      <c r="A707" s="2">
        <v>706</v>
      </c>
      <c r="B707" s="3">
        <v>40575</v>
      </c>
      <c r="C707" s="2">
        <v>1</v>
      </c>
      <c r="D707" s="2">
        <v>0</v>
      </c>
      <c r="E707" s="2">
        <v>2</v>
      </c>
      <c r="F707" s="2">
        <v>18</v>
      </c>
      <c r="G707" s="2" t="b">
        <v>0</v>
      </c>
      <c r="H707" s="2">
        <v>2</v>
      </c>
      <c r="I707" s="2">
        <v>2</v>
      </c>
      <c r="J707" s="2">
        <v>0.24</v>
      </c>
      <c r="K707" s="2">
        <v>0.2576</v>
      </c>
      <c r="L707" s="2">
        <v>0.81</v>
      </c>
      <c r="M707" s="2">
        <v>0.1045</v>
      </c>
      <c r="N707" s="2">
        <v>3</v>
      </c>
      <c r="O707" s="2">
        <v>165</v>
      </c>
      <c r="P707" s="2">
        <v>168</v>
      </c>
      <c r="Q707" s="4">
        <f>SUBTOTAL(109,Table6[casual])</f>
        <v>4921</v>
      </c>
      <c r="R707" s="4">
        <f>SUBTOTAL(109,Table6[registered])</f>
        <v>53383</v>
      </c>
      <c r="S707" s="4">
        <f>SUBTOTAL(109,Table6[cnt])</f>
        <v>58304</v>
      </c>
    </row>
    <row r="708" spans="1:19">
      <c r="A708" s="2">
        <v>707</v>
      </c>
      <c r="B708" s="3">
        <v>40575</v>
      </c>
      <c r="C708" s="2">
        <v>1</v>
      </c>
      <c r="D708" s="2">
        <v>0</v>
      </c>
      <c r="E708" s="2">
        <v>2</v>
      </c>
      <c r="F708" s="2">
        <v>19</v>
      </c>
      <c r="G708" s="2" t="b">
        <v>0</v>
      </c>
      <c r="H708" s="2">
        <v>2</v>
      </c>
      <c r="I708" s="2">
        <v>2</v>
      </c>
      <c r="J708" s="2">
        <v>0.24</v>
      </c>
      <c r="K708" s="2">
        <v>0.2424</v>
      </c>
      <c r="L708" s="2">
        <v>0.81</v>
      </c>
      <c r="M708" s="2">
        <v>0.1343</v>
      </c>
      <c r="N708" s="2">
        <v>3</v>
      </c>
      <c r="O708" s="2">
        <v>105</v>
      </c>
      <c r="P708" s="2">
        <v>108</v>
      </c>
      <c r="Q708" s="4">
        <f>SUBTOTAL(109,Table6[casual])</f>
        <v>4921</v>
      </c>
      <c r="R708" s="4">
        <f>SUBTOTAL(109,Table6[registered])</f>
        <v>53383</v>
      </c>
      <c r="S708" s="4">
        <f>SUBTOTAL(109,Table6[cnt])</f>
        <v>58304</v>
      </c>
    </row>
    <row r="709" spans="1:19">
      <c r="A709" s="2">
        <v>708</v>
      </c>
      <c r="B709" s="3">
        <v>40575</v>
      </c>
      <c r="C709" s="2">
        <v>1</v>
      </c>
      <c r="D709" s="2">
        <v>0</v>
      </c>
      <c r="E709" s="2">
        <v>2</v>
      </c>
      <c r="F709" s="2">
        <v>20</v>
      </c>
      <c r="G709" s="2" t="b">
        <v>0</v>
      </c>
      <c r="H709" s="2">
        <v>2</v>
      </c>
      <c r="I709" s="2">
        <v>2</v>
      </c>
      <c r="J709" s="2">
        <v>0.22</v>
      </c>
      <c r="K709" s="2">
        <v>0.2273</v>
      </c>
      <c r="L709" s="2">
        <v>0.87</v>
      </c>
      <c r="M709" s="2">
        <v>0.1343</v>
      </c>
      <c r="N709" s="2">
        <v>5</v>
      </c>
      <c r="O709" s="2">
        <v>69</v>
      </c>
      <c r="P709" s="2">
        <v>74</v>
      </c>
      <c r="Q709" s="4">
        <f>SUBTOTAL(109,Table6[casual])</f>
        <v>4921</v>
      </c>
      <c r="R709" s="4">
        <f>SUBTOTAL(109,Table6[registered])</f>
        <v>53383</v>
      </c>
      <c r="S709" s="4">
        <f>SUBTOTAL(109,Table6[cnt])</f>
        <v>58304</v>
      </c>
    </row>
    <row r="710" spans="1:19">
      <c r="A710" s="2">
        <v>709</v>
      </c>
      <c r="B710" s="3">
        <v>40575</v>
      </c>
      <c r="C710" s="2">
        <v>1</v>
      </c>
      <c r="D710" s="2">
        <v>0</v>
      </c>
      <c r="E710" s="2">
        <v>2</v>
      </c>
      <c r="F710" s="2">
        <v>21</v>
      </c>
      <c r="G710" s="2" t="b">
        <v>0</v>
      </c>
      <c r="H710" s="2">
        <v>2</v>
      </c>
      <c r="I710" s="2">
        <v>2</v>
      </c>
      <c r="J710" s="2">
        <v>0.22</v>
      </c>
      <c r="K710" s="2">
        <v>0.2273</v>
      </c>
      <c r="L710" s="2">
        <v>0.87</v>
      </c>
      <c r="M710" s="2">
        <v>0.1343</v>
      </c>
      <c r="N710" s="2">
        <v>0</v>
      </c>
      <c r="O710" s="2">
        <v>64</v>
      </c>
      <c r="P710" s="2">
        <v>64</v>
      </c>
      <c r="Q710" s="4">
        <f>SUBTOTAL(109,Table6[casual])</f>
        <v>4921</v>
      </c>
      <c r="R710" s="4">
        <f>SUBTOTAL(109,Table6[registered])</f>
        <v>53383</v>
      </c>
      <c r="S710" s="4">
        <f>SUBTOTAL(109,Table6[cnt])</f>
        <v>58304</v>
      </c>
    </row>
    <row r="711" spans="1:19">
      <c r="A711" s="2">
        <v>710</v>
      </c>
      <c r="B711" s="3">
        <v>40575</v>
      </c>
      <c r="C711" s="2">
        <v>1</v>
      </c>
      <c r="D711" s="2">
        <v>0</v>
      </c>
      <c r="E711" s="2">
        <v>2</v>
      </c>
      <c r="F711" s="2">
        <v>22</v>
      </c>
      <c r="G711" s="2" t="b">
        <v>0</v>
      </c>
      <c r="H711" s="2">
        <v>2</v>
      </c>
      <c r="I711" s="2">
        <v>2</v>
      </c>
      <c r="J711" s="2">
        <v>0.22</v>
      </c>
      <c r="K711" s="2">
        <v>0.2576</v>
      </c>
      <c r="L711" s="2">
        <v>0.87</v>
      </c>
      <c r="M711" s="2">
        <v>8.9599999999999999E-2</v>
      </c>
      <c r="N711" s="2">
        <v>2</v>
      </c>
      <c r="O711" s="2">
        <v>34</v>
      </c>
      <c r="P711" s="2">
        <v>36</v>
      </c>
      <c r="Q711" s="4">
        <f>SUBTOTAL(109,Table6[casual])</f>
        <v>4921</v>
      </c>
      <c r="R711" s="4">
        <f>SUBTOTAL(109,Table6[registered])</f>
        <v>53383</v>
      </c>
      <c r="S711" s="4">
        <f>SUBTOTAL(109,Table6[cnt])</f>
        <v>58304</v>
      </c>
    </row>
    <row r="712" spans="1:19">
      <c r="A712" s="2">
        <v>711</v>
      </c>
      <c r="B712" s="3">
        <v>40575</v>
      </c>
      <c r="C712" s="2">
        <v>1</v>
      </c>
      <c r="D712" s="2">
        <v>0</v>
      </c>
      <c r="E712" s="2">
        <v>2</v>
      </c>
      <c r="F712" s="2">
        <v>23</v>
      </c>
      <c r="G712" s="2" t="b">
        <v>0</v>
      </c>
      <c r="H712" s="2">
        <v>2</v>
      </c>
      <c r="I712" s="2">
        <v>3</v>
      </c>
      <c r="J712" s="2">
        <v>0.2</v>
      </c>
      <c r="K712" s="2">
        <v>0.19700000000000001</v>
      </c>
      <c r="L712" s="2">
        <v>0.93</v>
      </c>
      <c r="M712" s="2">
        <v>0.19400000000000001</v>
      </c>
      <c r="N712" s="2">
        <v>1</v>
      </c>
      <c r="O712" s="2">
        <v>15</v>
      </c>
      <c r="P712" s="2">
        <v>16</v>
      </c>
      <c r="Q712" s="4">
        <f>SUBTOTAL(109,Table6[casual])</f>
        <v>4921</v>
      </c>
      <c r="R712" s="4">
        <f>SUBTOTAL(109,Table6[registered])</f>
        <v>53383</v>
      </c>
      <c r="S712" s="4">
        <f>SUBTOTAL(109,Table6[cnt])</f>
        <v>58304</v>
      </c>
    </row>
    <row r="713" spans="1:19">
      <c r="A713" s="2">
        <v>712</v>
      </c>
      <c r="B713" s="3">
        <v>40576</v>
      </c>
      <c r="C713" s="2">
        <v>1</v>
      </c>
      <c r="D713" s="2">
        <v>0</v>
      </c>
      <c r="E713" s="2">
        <v>2</v>
      </c>
      <c r="F713" s="2">
        <v>0</v>
      </c>
      <c r="G713" s="2" t="b">
        <v>0</v>
      </c>
      <c r="H713" s="2">
        <v>3</v>
      </c>
      <c r="I713" s="2">
        <v>3</v>
      </c>
      <c r="J713" s="2">
        <v>0.22</v>
      </c>
      <c r="K713" s="2">
        <v>0.2424</v>
      </c>
      <c r="L713" s="2">
        <v>0.93</v>
      </c>
      <c r="M713" s="2">
        <v>0.1045</v>
      </c>
      <c r="N713" s="2">
        <v>0</v>
      </c>
      <c r="O713" s="2">
        <v>2</v>
      </c>
      <c r="P713" s="2">
        <v>2</v>
      </c>
      <c r="Q713" s="4">
        <f>SUBTOTAL(109,Table6[casual])</f>
        <v>4921</v>
      </c>
      <c r="R713" s="4">
        <f>SUBTOTAL(109,Table6[registered])</f>
        <v>53383</v>
      </c>
      <c r="S713" s="4">
        <f>SUBTOTAL(109,Table6[cnt])</f>
        <v>58304</v>
      </c>
    </row>
    <row r="714" spans="1:19">
      <c r="A714" s="2">
        <v>713</v>
      </c>
      <c r="B714" s="3">
        <v>40576</v>
      </c>
      <c r="C714" s="2">
        <v>1</v>
      </c>
      <c r="D714" s="2">
        <v>0</v>
      </c>
      <c r="E714" s="2">
        <v>2</v>
      </c>
      <c r="F714" s="2">
        <v>1</v>
      </c>
      <c r="G714" s="2" t="b">
        <v>0</v>
      </c>
      <c r="H714" s="2">
        <v>3</v>
      </c>
      <c r="I714" s="2">
        <v>3</v>
      </c>
      <c r="J714" s="2">
        <v>0.22</v>
      </c>
      <c r="K714" s="2">
        <v>0.2273</v>
      </c>
      <c r="L714" s="2">
        <v>0.93</v>
      </c>
      <c r="M714" s="2">
        <v>0.19400000000000001</v>
      </c>
      <c r="N714" s="2">
        <v>0</v>
      </c>
      <c r="O714" s="2">
        <v>3</v>
      </c>
      <c r="P714" s="2">
        <v>3</v>
      </c>
      <c r="Q714" s="4">
        <f>SUBTOTAL(109,Table6[casual])</f>
        <v>4921</v>
      </c>
      <c r="R714" s="4">
        <f>SUBTOTAL(109,Table6[registered])</f>
        <v>53383</v>
      </c>
      <c r="S714" s="4">
        <f>SUBTOTAL(109,Table6[cnt])</f>
        <v>58304</v>
      </c>
    </row>
    <row r="715" spans="1:19">
      <c r="A715" s="2">
        <v>714</v>
      </c>
      <c r="B715" s="3">
        <v>40576</v>
      </c>
      <c r="C715" s="2">
        <v>1</v>
      </c>
      <c r="D715" s="2">
        <v>0</v>
      </c>
      <c r="E715" s="2">
        <v>2</v>
      </c>
      <c r="F715" s="2">
        <v>2</v>
      </c>
      <c r="G715" s="2" t="b">
        <v>0</v>
      </c>
      <c r="H715" s="2">
        <v>3</v>
      </c>
      <c r="I715" s="2">
        <v>3</v>
      </c>
      <c r="J715" s="2">
        <v>0.22</v>
      </c>
      <c r="K715" s="2">
        <v>0.2273</v>
      </c>
      <c r="L715" s="2">
        <v>0.93</v>
      </c>
      <c r="M715" s="2">
        <v>0.1343</v>
      </c>
      <c r="N715" s="2">
        <v>4</v>
      </c>
      <c r="O715" s="2">
        <v>0</v>
      </c>
      <c r="P715" s="2">
        <v>4</v>
      </c>
      <c r="Q715" s="4">
        <f>SUBTOTAL(109,Table6[casual])</f>
        <v>4921</v>
      </c>
      <c r="R715" s="4">
        <f>SUBTOTAL(109,Table6[registered])</f>
        <v>53383</v>
      </c>
      <c r="S715" s="4">
        <f>SUBTOTAL(109,Table6[cnt])</f>
        <v>58304</v>
      </c>
    </row>
    <row r="716" spans="1:19">
      <c r="A716" s="2">
        <v>715</v>
      </c>
      <c r="B716" s="3">
        <v>40576</v>
      </c>
      <c r="C716" s="2">
        <v>1</v>
      </c>
      <c r="D716" s="2">
        <v>0</v>
      </c>
      <c r="E716" s="2">
        <v>2</v>
      </c>
      <c r="F716" s="2">
        <v>3</v>
      </c>
      <c r="G716" s="2" t="b">
        <v>0</v>
      </c>
      <c r="H716" s="2">
        <v>3</v>
      </c>
      <c r="I716" s="2">
        <v>3</v>
      </c>
      <c r="J716" s="2">
        <v>0.22</v>
      </c>
      <c r="K716" s="2">
        <v>0.2273</v>
      </c>
      <c r="L716" s="2">
        <v>0.93</v>
      </c>
      <c r="M716" s="2">
        <v>0.1343</v>
      </c>
      <c r="N716" s="2">
        <v>0</v>
      </c>
      <c r="O716" s="2">
        <v>1</v>
      </c>
      <c r="P716" s="2">
        <v>1</v>
      </c>
      <c r="Q716" s="4">
        <f>SUBTOTAL(109,Table6[casual])</f>
        <v>4921</v>
      </c>
      <c r="R716" s="4">
        <f>SUBTOTAL(109,Table6[registered])</f>
        <v>53383</v>
      </c>
      <c r="S716" s="4">
        <f>SUBTOTAL(109,Table6[cnt])</f>
        <v>58304</v>
      </c>
    </row>
    <row r="717" spans="1:19">
      <c r="A717" s="2">
        <v>716</v>
      </c>
      <c r="B717" s="3">
        <v>40576</v>
      </c>
      <c r="C717" s="2">
        <v>1</v>
      </c>
      <c r="D717" s="2">
        <v>0</v>
      </c>
      <c r="E717" s="2">
        <v>2</v>
      </c>
      <c r="F717" s="2">
        <v>4</v>
      </c>
      <c r="G717" s="2" t="b">
        <v>0</v>
      </c>
      <c r="H717" s="2">
        <v>3</v>
      </c>
      <c r="I717" s="2">
        <v>3</v>
      </c>
      <c r="J717" s="2">
        <v>0.22</v>
      </c>
      <c r="K717" s="2">
        <v>0.21210000000000001</v>
      </c>
      <c r="L717" s="2">
        <v>0.93</v>
      </c>
      <c r="M717" s="2">
        <v>0.28360000000000002</v>
      </c>
      <c r="N717" s="2">
        <v>0</v>
      </c>
      <c r="O717" s="2">
        <v>1</v>
      </c>
      <c r="P717" s="2">
        <v>1</v>
      </c>
      <c r="Q717" s="4">
        <f>SUBTOTAL(109,Table6[casual])</f>
        <v>4921</v>
      </c>
      <c r="R717" s="4">
        <f>SUBTOTAL(109,Table6[registered])</f>
        <v>53383</v>
      </c>
      <c r="S717" s="4">
        <f>SUBTOTAL(109,Table6[cnt])</f>
        <v>58304</v>
      </c>
    </row>
    <row r="718" spans="1:19">
      <c r="A718" s="2">
        <v>717</v>
      </c>
      <c r="B718" s="3">
        <v>40576</v>
      </c>
      <c r="C718" s="2">
        <v>1</v>
      </c>
      <c r="D718" s="2">
        <v>0</v>
      </c>
      <c r="E718" s="2">
        <v>2</v>
      </c>
      <c r="F718" s="2">
        <v>5</v>
      </c>
      <c r="G718" s="2" t="b">
        <v>0</v>
      </c>
      <c r="H718" s="2">
        <v>3</v>
      </c>
      <c r="I718" s="2">
        <v>3</v>
      </c>
      <c r="J718" s="2">
        <v>0.22</v>
      </c>
      <c r="K718" s="2">
        <v>0.2424</v>
      </c>
      <c r="L718" s="2">
        <v>0.93</v>
      </c>
      <c r="M718" s="2">
        <v>0.1045</v>
      </c>
      <c r="N718" s="2">
        <v>0</v>
      </c>
      <c r="O718" s="2">
        <v>3</v>
      </c>
      <c r="P718" s="2">
        <v>3</v>
      </c>
      <c r="Q718" s="4">
        <f>SUBTOTAL(109,Table6[casual])</f>
        <v>4921</v>
      </c>
      <c r="R718" s="4">
        <f>SUBTOTAL(109,Table6[registered])</f>
        <v>53383</v>
      </c>
      <c r="S718" s="4">
        <f>SUBTOTAL(109,Table6[cnt])</f>
        <v>58304</v>
      </c>
    </row>
    <row r="719" spans="1:19">
      <c r="A719" s="2">
        <v>718</v>
      </c>
      <c r="B719" s="3">
        <v>40576</v>
      </c>
      <c r="C719" s="2">
        <v>1</v>
      </c>
      <c r="D719" s="2">
        <v>0</v>
      </c>
      <c r="E719" s="2">
        <v>2</v>
      </c>
      <c r="F719" s="2">
        <v>6</v>
      </c>
      <c r="G719" s="2" t="b">
        <v>0</v>
      </c>
      <c r="H719" s="2">
        <v>3</v>
      </c>
      <c r="I719" s="2">
        <v>3</v>
      </c>
      <c r="J719" s="2">
        <v>0.22</v>
      </c>
      <c r="K719" s="2">
        <v>0.2424</v>
      </c>
      <c r="L719" s="2">
        <v>0.93</v>
      </c>
      <c r="M719" s="2">
        <v>0.1045</v>
      </c>
      <c r="N719" s="2">
        <v>1</v>
      </c>
      <c r="O719" s="2">
        <v>17</v>
      </c>
      <c r="P719" s="2">
        <v>18</v>
      </c>
      <c r="Q719" s="4">
        <f>SUBTOTAL(109,Table6[casual])</f>
        <v>4921</v>
      </c>
      <c r="R719" s="4">
        <f>SUBTOTAL(109,Table6[registered])</f>
        <v>53383</v>
      </c>
      <c r="S719" s="4">
        <f>SUBTOTAL(109,Table6[cnt])</f>
        <v>58304</v>
      </c>
    </row>
    <row r="720" spans="1:19">
      <c r="A720" s="2">
        <v>719</v>
      </c>
      <c r="B720" s="3">
        <v>40576</v>
      </c>
      <c r="C720" s="2">
        <v>1</v>
      </c>
      <c r="D720" s="2">
        <v>0</v>
      </c>
      <c r="E720" s="2">
        <v>2</v>
      </c>
      <c r="F720" s="2">
        <v>7</v>
      </c>
      <c r="G720" s="2" t="b">
        <v>0</v>
      </c>
      <c r="H720" s="2">
        <v>3</v>
      </c>
      <c r="I720" s="2">
        <v>3</v>
      </c>
      <c r="J720" s="2">
        <v>0.22</v>
      </c>
      <c r="K720" s="2">
        <v>0.21210000000000001</v>
      </c>
      <c r="L720" s="2">
        <v>0.93</v>
      </c>
      <c r="M720" s="2">
        <v>0.22389999999999999</v>
      </c>
      <c r="N720" s="2">
        <v>1</v>
      </c>
      <c r="O720" s="2">
        <v>48</v>
      </c>
      <c r="P720" s="2">
        <v>49</v>
      </c>
      <c r="Q720" s="4">
        <f>SUBTOTAL(109,Table6[casual])</f>
        <v>4921</v>
      </c>
      <c r="R720" s="4">
        <f>SUBTOTAL(109,Table6[registered])</f>
        <v>53383</v>
      </c>
      <c r="S720" s="4">
        <f>SUBTOTAL(109,Table6[cnt])</f>
        <v>58304</v>
      </c>
    </row>
    <row r="721" spans="1:19">
      <c r="A721" s="2">
        <v>720</v>
      </c>
      <c r="B721" s="3">
        <v>40576</v>
      </c>
      <c r="C721" s="2">
        <v>1</v>
      </c>
      <c r="D721" s="2">
        <v>0</v>
      </c>
      <c r="E721" s="2">
        <v>2</v>
      </c>
      <c r="F721" s="2">
        <v>8</v>
      </c>
      <c r="G721" s="2" t="b">
        <v>0</v>
      </c>
      <c r="H721" s="2">
        <v>3</v>
      </c>
      <c r="I721" s="2">
        <v>3</v>
      </c>
      <c r="J721" s="2">
        <v>0.22</v>
      </c>
      <c r="K721" s="2">
        <v>0.21210000000000001</v>
      </c>
      <c r="L721" s="2">
        <v>0.93</v>
      </c>
      <c r="M721" s="2">
        <v>0.22389999999999999</v>
      </c>
      <c r="N721" s="2">
        <v>1</v>
      </c>
      <c r="O721" s="2">
        <v>154</v>
      </c>
      <c r="P721" s="2">
        <v>155</v>
      </c>
      <c r="Q721" s="4">
        <f>SUBTOTAL(109,Table6[casual])</f>
        <v>4921</v>
      </c>
      <c r="R721" s="4">
        <f>SUBTOTAL(109,Table6[registered])</f>
        <v>53383</v>
      </c>
      <c r="S721" s="4">
        <f>SUBTOTAL(109,Table6[cnt])</f>
        <v>58304</v>
      </c>
    </row>
    <row r="722" spans="1:19">
      <c r="A722" s="2">
        <v>721</v>
      </c>
      <c r="B722" s="3">
        <v>40576</v>
      </c>
      <c r="C722" s="2">
        <v>1</v>
      </c>
      <c r="D722" s="2">
        <v>0</v>
      </c>
      <c r="E722" s="2">
        <v>2</v>
      </c>
      <c r="F722" s="2">
        <v>9</v>
      </c>
      <c r="G722" s="2" t="b">
        <v>0</v>
      </c>
      <c r="H722" s="2">
        <v>3</v>
      </c>
      <c r="I722" s="2">
        <v>2</v>
      </c>
      <c r="J722" s="2">
        <v>0.24</v>
      </c>
      <c r="K722" s="2">
        <v>0.2576</v>
      </c>
      <c r="L722" s="2">
        <v>0.93</v>
      </c>
      <c r="M722" s="2">
        <v>8.9599999999999999E-2</v>
      </c>
      <c r="N722" s="2">
        <v>4</v>
      </c>
      <c r="O722" s="2">
        <v>119</v>
      </c>
      <c r="P722" s="2">
        <v>123</v>
      </c>
      <c r="Q722" s="4">
        <f>SUBTOTAL(109,Table6[casual])</f>
        <v>4921</v>
      </c>
      <c r="R722" s="4">
        <f>SUBTOTAL(109,Table6[registered])</f>
        <v>53383</v>
      </c>
      <c r="S722" s="4">
        <f>SUBTOTAL(109,Table6[cnt])</f>
        <v>58304</v>
      </c>
    </row>
    <row r="723" spans="1:19">
      <c r="A723" s="2">
        <v>722</v>
      </c>
      <c r="B723" s="3">
        <v>40576</v>
      </c>
      <c r="C723" s="2">
        <v>1</v>
      </c>
      <c r="D723" s="2">
        <v>0</v>
      </c>
      <c r="E723" s="2">
        <v>2</v>
      </c>
      <c r="F723" s="2">
        <v>10</v>
      </c>
      <c r="G723" s="2" t="b">
        <v>0</v>
      </c>
      <c r="H723" s="2">
        <v>3</v>
      </c>
      <c r="I723" s="2">
        <v>2</v>
      </c>
      <c r="J723" s="2">
        <v>0.22</v>
      </c>
      <c r="K723" s="2">
        <v>0.2727</v>
      </c>
      <c r="L723" s="2">
        <v>1</v>
      </c>
      <c r="M723" s="2">
        <v>0</v>
      </c>
      <c r="N723" s="2">
        <v>2</v>
      </c>
      <c r="O723" s="2">
        <v>59</v>
      </c>
      <c r="P723" s="2">
        <v>61</v>
      </c>
      <c r="Q723" s="4">
        <f>SUBTOTAL(109,Table6[casual])</f>
        <v>4921</v>
      </c>
      <c r="R723" s="4">
        <f>SUBTOTAL(109,Table6[registered])</f>
        <v>53383</v>
      </c>
      <c r="S723" s="4">
        <f>SUBTOTAL(109,Table6[cnt])</f>
        <v>58304</v>
      </c>
    </row>
    <row r="724" spans="1:19">
      <c r="A724" s="2">
        <v>723</v>
      </c>
      <c r="B724" s="3">
        <v>40576</v>
      </c>
      <c r="C724" s="2">
        <v>1</v>
      </c>
      <c r="D724" s="2">
        <v>0</v>
      </c>
      <c r="E724" s="2">
        <v>2</v>
      </c>
      <c r="F724" s="2">
        <v>11</v>
      </c>
      <c r="G724" s="2" t="b">
        <v>0</v>
      </c>
      <c r="H724" s="2">
        <v>3</v>
      </c>
      <c r="I724" s="2">
        <v>2</v>
      </c>
      <c r="J724" s="2">
        <v>0.24</v>
      </c>
      <c r="K724" s="2">
        <v>0.2273</v>
      </c>
      <c r="L724" s="2">
        <v>0.93</v>
      </c>
      <c r="M724" s="2">
        <v>0.19400000000000001</v>
      </c>
      <c r="N724" s="2">
        <v>5</v>
      </c>
      <c r="O724" s="2">
        <v>47</v>
      </c>
      <c r="P724" s="2">
        <v>52</v>
      </c>
      <c r="Q724" s="4">
        <f>SUBTOTAL(109,Table6[casual])</f>
        <v>4921</v>
      </c>
      <c r="R724" s="4">
        <f>SUBTOTAL(109,Table6[registered])</f>
        <v>53383</v>
      </c>
      <c r="S724" s="4">
        <f>SUBTOTAL(109,Table6[cnt])</f>
        <v>58304</v>
      </c>
    </row>
    <row r="725" spans="1:19">
      <c r="A725" s="2">
        <v>724</v>
      </c>
      <c r="B725" s="3">
        <v>40576</v>
      </c>
      <c r="C725" s="2">
        <v>1</v>
      </c>
      <c r="D725" s="2">
        <v>0</v>
      </c>
      <c r="E725" s="2">
        <v>2</v>
      </c>
      <c r="F725" s="2">
        <v>12</v>
      </c>
      <c r="G725" s="2" t="b">
        <v>0</v>
      </c>
      <c r="H725" s="2">
        <v>3</v>
      </c>
      <c r="I725" s="2">
        <v>2</v>
      </c>
      <c r="J725" s="2">
        <v>0.24</v>
      </c>
      <c r="K725" s="2">
        <v>0.2273</v>
      </c>
      <c r="L725" s="2">
        <v>0.93</v>
      </c>
      <c r="M725" s="2">
        <v>0.22389999999999999</v>
      </c>
      <c r="N725" s="2">
        <v>3</v>
      </c>
      <c r="O725" s="2">
        <v>61</v>
      </c>
      <c r="P725" s="2">
        <v>64</v>
      </c>
      <c r="Q725" s="4">
        <f>SUBTOTAL(109,Table6[casual])</f>
        <v>4921</v>
      </c>
      <c r="R725" s="4">
        <f>SUBTOTAL(109,Table6[registered])</f>
        <v>53383</v>
      </c>
      <c r="S725" s="4">
        <f>SUBTOTAL(109,Table6[cnt])</f>
        <v>58304</v>
      </c>
    </row>
    <row r="726" spans="1:19">
      <c r="A726" s="2">
        <v>725</v>
      </c>
      <c r="B726" s="3">
        <v>40576</v>
      </c>
      <c r="C726" s="2">
        <v>1</v>
      </c>
      <c r="D726" s="2">
        <v>0</v>
      </c>
      <c r="E726" s="2">
        <v>2</v>
      </c>
      <c r="F726" s="2">
        <v>13</v>
      </c>
      <c r="G726" s="2" t="b">
        <v>0</v>
      </c>
      <c r="H726" s="2">
        <v>3</v>
      </c>
      <c r="I726" s="2">
        <v>1</v>
      </c>
      <c r="J726" s="2">
        <v>0.34</v>
      </c>
      <c r="K726" s="2">
        <v>0.33329999999999999</v>
      </c>
      <c r="L726" s="2">
        <v>0.93</v>
      </c>
      <c r="M726" s="2">
        <v>0.16420000000000001</v>
      </c>
      <c r="N726" s="2">
        <v>1</v>
      </c>
      <c r="O726" s="2">
        <v>74</v>
      </c>
      <c r="P726" s="2">
        <v>75</v>
      </c>
      <c r="Q726" s="4">
        <f>SUBTOTAL(109,Table6[casual])</f>
        <v>4921</v>
      </c>
      <c r="R726" s="4">
        <f>SUBTOTAL(109,Table6[registered])</f>
        <v>53383</v>
      </c>
      <c r="S726" s="4">
        <f>SUBTOTAL(109,Table6[cnt])</f>
        <v>58304</v>
      </c>
    </row>
    <row r="727" spans="1:19">
      <c r="A727" s="2">
        <v>726</v>
      </c>
      <c r="B727" s="3">
        <v>40576</v>
      </c>
      <c r="C727" s="2">
        <v>1</v>
      </c>
      <c r="D727" s="2">
        <v>0</v>
      </c>
      <c r="E727" s="2">
        <v>2</v>
      </c>
      <c r="F727" s="2">
        <v>14</v>
      </c>
      <c r="G727" s="2" t="b">
        <v>0</v>
      </c>
      <c r="H727" s="2">
        <v>3</v>
      </c>
      <c r="I727" s="2">
        <v>1</v>
      </c>
      <c r="J727" s="2">
        <v>0.38</v>
      </c>
      <c r="K727" s="2">
        <v>0.39389999999999997</v>
      </c>
      <c r="L727" s="2">
        <v>0.82</v>
      </c>
      <c r="M727" s="2">
        <v>0.3881</v>
      </c>
      <c r="N727" s="2">
        <v>2</v>
      </c>
      <c r="O727" s="2">
        <v>61</v>
      </c>
      <c r="P727" s="2">
        <v>63</v>
      </c>
      <c r="Q727" s="4">
        <f>SUBTOTAL(109,Table6[casual])</f>
        <v>4921</v>
      </c>
      <c r="R727" s="4">
        <f>SUBTOTAL(109,Table6[registered])</f>
        <v>53383</v>
      </c>
      <c r="S727" s="4">
        <f>SUBTOTAL(109,Table6[cnt])</f>
        <v>58304</v>
      </c>
    </row>
    <row r="728" spans="1:19">
      <c r="A728" s="2">
        <v>727</v>
      </c>
      <c r="B728" s="3">
        <v>40576</v>
      </c>
      <c r="C728" s="2">
        <v>1</v>
      </c>
      <c r="D728" s="2">
        <v>0</v>
      </c>
      <c r="E728" s="2">
        <v>2</v>
      </c>
      <c r="F728" s="2">
        <v>15</v>
      </c>
      <c r="G728" s="2" t="b">
        <v>0</v>
      </c>
      <c r="H728" s="2">
        <v>3</v>
      </c>
      <c r="I728" s="2">
        <v>1</v>
      </c>
      <c r="J728" s="2">
        <v>0.38</v>
      </c>
      <c r="K728" s="2">
        <v>0.39389999999999997</v>
      </c>
      <c r="L728" s="2">
        <v>0.76</v>
      </c>
      <c r="M728" s="2">
        <v>0.32840000000000003</v>
      </c>
      <c r="N728" s="2">
        <v>10</v>
      </c>
      <c r="O728" s="2">
        <v>66</v>
      </c>
      <c r="P728" s="2">
        <v>76</v>
      </c>
      <c r="Q728" s="4">
        <f>SUBTOTAL(109,Table6[casual])</f>
        <v>4921</v>
      </c>
      <c r="R728" s="4">
        <f>SUBTOTAL(109,Table6[registered])</f>
        <v>53383</v>
      </c>
      <c r="S728" s="4">
        <f>SUBTOTAL(109,Table6[cnt])</f>
        <v>58304</v>
      </c>
    </row>
    <row r="729" spans="1:19">
      <c r="A729" s="2">
        <v>728</v>
      </c>
      <c r="B729" s="3">
        <v>40576</v>
      </c>
      <c r="C729" s="2">
        <v>1</v>
      </c>
      <c r="D729" s="2">
        <v>0</v>
      </c>
      <c r="E729" s="2">
        <v>2</v>
      </c>
      <c r="F729" s="2">
        <v>16</v>
      </c>
      <c r="G729" s="2" t="b">
        <v>0</v>
      </c>
      <c r="H729" s="2">
        <v>3</v>
      </c>
      <c r="I729" s="2">
        <v>1</v>
      </c>
      <c r="J729" s="2">
        <v>0.36</v>
      </c>
      <c r="K729" s="2">
        <v>0.33329999999999999</v>
      </c>
      <c r="L729" s="2">
        <v>0.71</v>
      </c>
      <c r="M729" s="2">
        <v>0.29849999999999999</v>
      </c>
      <c r="N729" s="2">
        <v>8</v>
      </c>
      <c r="O729" s="2">
        <v>95</v>
      </c>
      <c r="P729" s="2">
        <v>103</v>
      </c>
      <c r="Q729" s="4">
        <f>SUBTOTAL(109,Table6[casual])</f>
        <v>4921</v>
      </c>
      <c r="R729" s="4">
        <f>SUBTOTAL(109,Table6[registered])</f>
        <v>53383</v>
      </c>
      <c r="S729" s="4">
        <f>SUBTOTAL(109,Table6[cnt])</f>
        <v>58304</v>
      </c>
    </row>
    <row r="730" spans="1:19">
      <c r="A730" s="2">
        <v>729</v>
      </c>
      <c r="B730" s="3">
        <v>40576</v>
      </c>
      <c r="C730" s="2">
        <v>1</v>
      </c>
      <c r="D730" s="2">
        <v>0</v>
      </c>
      <c r="E730" s="2">
        <v>2</v>
      </c>
      <c r="F730" s="2">
        <v>17</v>
      </c>
      <c r="G730" s="2" t="b">
        <v>0</v>
      </c>
      <c r="H730" s="2">
        <v>3</v>
      </c>
      <c r="I730" s="2">
        <v>1</v>
      </c>
      <c r="J730" s="2">
        <v>0.36</v>
      </c>
      <c r="K730" s="2">
        <v>0.31819999999999998</v>
      </c>
      <c r="L730" s="2">
        <v>0.53</v>
      </c>
      <c r="M730" s="2">
        <v>0.52239999999999998</v>
      </c>
      <c r="N730" s="2">
        <v>7</v>
      </c>
      <c r="O730" s="2">
        <v>183</v>
      </c>
      <c r="P730" s="2">
        <v>190</v>
      </c>
      <c r="Q730" s="4">
        <f>SUBTOTAL(109,Table6[casual])</f>
        <v>4921</v>
      </c>
      <c r="R730" s="4">
        <f>SUBTOTAL(109,Table6[registered])</f>
        <v>53383</v>
      </c>
      <c r="S730" s="4">
        <f>SUBTOTAL(109,Table6[cnt])</f>
        <v>58304</v>
      </c>
    </row>
    <row r="731" spans="1:19">
      <c r="A731" s="2">
        <v>730</v>
      </c>
      <c r="B731" s="3">
        <v>40576</v>
      </c>
      <c r="C731" s="2">
        <v>1</v>
      </c>
      <c r="D731" s="2">
        <v>0</v>
      </c>
      <c r="E731" s="2">
        <v>2</v>
      </c>
      <c r="F731" s="2">
        <v>18</v>
      </c>
      <c r="G731" s="2" t="b">
        <v>0</v>
      </c>
      <c r="H731" s="2">
        <v>3</v>
      </c>
      <c r="I731" s="2">
        <v>1</v>
      </c>
      <c r="J731" s="2">
        <v>0.34</v>
      </c>
      <c r="K731" s="2">
        <v>0.28789999999999999</v>
      </c>
      <c r="L731" s="2">
        <v>0.42</v>
      </c>
      <c r="M731" s="2">
        <v>0.55220000000000002</v>
      </c>
      <c r="N731" s="2">
        <v>7</v>
      </c>
      <c r="O731" s="2">
        <v>175</v>
      </c>
      <c r="P731" s="2">
        <v>182</v>
      </c>
      <c r="Q731" s="4">
        <f>SUBTOTAL(109,Table6[casual])</f>
        <v>4921</v>
      </c>
      <c r="R731" s="4">
        <f>SUBTOTAL(109,Table6[registered])</f>
        <v>53383</v>
      </c>
      <c r="S731" s="4">
        <f>SUBTOTAL(109,Table6[cnt])</f>
        <v>58304</v>
      </c>
    </row>
    <row r="732" spans="1:19">
      <c r="A732" s="2">
        <v>731</v>
      </c>
      <c r="B732" s="3">
        <v>40576</v>
      </c>
      <c r="C732" s="2">
        <v>1</v>
      </c>
      <c r="D732" s="2">
        <v>0</v>
      </c>
      <c r="E732" s="2">
        <v>2</v>
      </c>
      <c r="F732" s="2">
        <v>19</v>
      </c>
      <c r="G732" s="2" t="b">
        <v>0</v>
      </c>
      <c r="H732" s="2">
        <v>3</v>
      </c>
      <c r="I732" s="2">
        <v>1</v>
      </c>
      <c r="J732" s="2">
        <v>0.28000000000000003</v>
      </c>
      <c r="K732" s="2">
        <v>0.2424</v>
      </c>
      <c r="L732" s="2">
        <v>0.45</v>
      </c>
      <c r="M732" s="2">
        <v>0.49249999999999999</v>
      </c>
      <c r="N732" s="2">
        <v>3</v>
      </c>
      <c r="O732" s="2">
        <v>88</v>
      </c>
      <c r="P732" s="2">
        <v>91</v>
      </c>
      <c r="Q732" s="4">
        <f>SUBTOTAL(109,Table6[casual])</f>
        <v>4921</v>
      </c>
      <c r="R732" s="4">
        <f>SUBTOTAL(109,Table6[registered])</f>
        <v>53383</v>
      </c>
      <c r="S732" s="4">
        <f>SUBTOTAL(109,Table6[cnt])</f>
        <v>58304</v>
      </c>
    </row>
    <row r="733" spans="1:19">
      <c r="A733" s="2">
        <v>732</v>
      </c>
      <c r="B733" s="3">
        <v>40576</v>
      </c>
      <c r="C733" s="2">
        <v>1</v>
      </c>
      <c r="D733" s="2">
        <v>0</v>
      </c>
      <c r="E733" s="2">
        <v>2</v>
      </c>
      <c r="F733" s="2">
        <v>20</v>
      </c>
      <c r="G733" s="2" t="b">
        <v>0</v>
      </c>
      <c r="H733" s="2">
        <v>3</v>
      </c>
      <c r="I733" s="2">
        <v>1</v>
      </c>
      <c r="J733" s="2">
        <v>0.24</v>
      </c>
      <c r="K733" s="2">
        <v>0.19700000000000001</v>
      </c>
      <c r="L733" s="2">
        <v>0.48</v>
      </c>
      <c r="M733" s="2">
        <v>0.55220000000000002</v>
      </c>
      <c r="N733" s="2">
        <v>4</v>
      </c>
      <c r="O733" s="2">
        <v>71</v>
      </c>
      <c r="P733" s="2">
        <v>75</v>
      </c>
      <c r="Q733" s="4">
        <f>SUBTOTAL(109,Table6[casual])</f>
        <v>4921</v>
      </c>
      <c r="R733" s="4">
        <f>SUBTOTAL(109,Table6[registered])</f>
        <v>53383</v>
      </c>
      <c r="S733" s="4">
        <f>SUBTOTAL(109,Table6[cnt])</f>
        <v>58304</v>
      </c>
    </row>
    <row r="734" spans="1:19">
      <c r="A734" s="2">
        <v>733</v>
      </c>
      <c r="B734" s="3">
        <v>40576</v>
      </c>
      <c r="C734" s="2">
        <v>1</v>
      </c>
      <c r="D734" s="2">
        <v>0</v>
      </c>
      <c r="E734" s="2">
        <v>2</v>
      </c>
      <c r="F734" s="2">
        <v>21</v>
      </c>
      <c r="G734" s="2" t="b">
        <v>0</v>
      </c>
      <c r="H734" s="2">
        <v>3</v>
      </c>
      <c r="I734" s="2">
        <v>1</v>
      </c>
      <c r="J734" s="2">
        <v>0.22</v>
      </c>
      <c r="K734" s="2">
        <v>0.19700000000000001</v>
      </c>
      <c r="L734" s="2">
        <v>0.47</v>
      </c>
      <c r="M734" s="2">
        <v>0.32840000000000003</v>
      </c>
      <c r="N734" s="2">
        <v>1</v>
      </c>
      <c r="O734" s="2">
        <v>62</v>
      </c>
      <c r="P734" s="2">
        <v>63</v>
      </c>
      <c r="Q734" s="4">
        <f>SUBTOTAL(109,Table6[casual])</f>
        <v>4921</v>
      </c>
      <c r="R734" s="4">
        <f>SUBTOTAL(109,Table6[registered])</f>
        <v>53383</v>
      </c>
      <c r="S734" s="4">
        <f>SUBTOTAL(109,Table6[cnt])</f>
        <v>58304</v>
      </c>
    </row>
    <row r="735" spans="1:19">
      <c r="A735" s="2">
        <v>734</v>
      </c>
      <c r="B735" s="3">
        <v>40576</v>
      </c>
      <c r="C735" s="2">
        <v>1</v>
      </c>
      <c r="D735" s="2">
        <v>0</v>
      </c>
      <c r="E735" s="2">
        <v>2</v>
      </c>
      <c r="F735" s="2">
        <v>22</v>
      </c>
      <c r="G735" s="2" t="b">
        <v>0</v>
      </c>
      <c r="H735" s="2">
        <v>3</v>
      </c>
      <c r="I735" s="2">
        <v>1</v>
      </c>
      <c r="J735" s="2">
        <v>0.22</v>
      </c>
      <c r="K735" s="2">
        <v>0.21210000000000001</v>
      </c>
      <c r="L735" s="2">
        <v>0.44</v>
      </c>
      <c r="M735" s="2">
        <v>0.25369999999999998</v>
      </c>
      <c r="N735" s="2">
        <v>5</v>
      </c>
      <c r="O735" s="2">
        <v>35</v>
      </c>
      <c r="P735" s="2">
        <v>40</v>
      </c>
      <c r="Q735" s="4">
        <f>SUBTOTAL(109,Table6[casual])</f>
        <v>4921</v>
      </c>
      <c r="R735" s="4">
        <f>SUBTOTAL(109,Table6[registered])</f>
        <v>53383</v>
      </c>
      <c r="S735" s="4">
        <f>SUBTOTAL(109,Table6[cnt])</f>
        <v>58304</v>
      </c>
    </row>
    <row r="736" spans="1:19">
      <c r="A736" s="2">
        <v>735</v>
      </c>
      <c r="B736" s="3">
        <v>40576</v>
      </c>
      <c r="C736" s="2">
        <v>1</v>
      </c>
      <c r="D736" s="2">
        <v>0</v>
      </c>
      <c r="E736" s="2">
        <v>2</v>
      </c>
      <c r="F736" s="2">
        <v>23</v>
      </c>
      <c r="G736" s="2" t="b">
        <v>0</v>
      </c>
      <c r="H736" s="2">
        <v>3</v>
      </c>
      <c r="I736" s="2">
        <v>1</v>
      </c>
      <c r="J736" s="2">
        <v>0.2</v>
      </c>
      <c r="K736" s="2">
        <v>0.16669999999999999</v>
      </c>
      <c r="L736" s="2">
        <v>0.44</v>
      </c>
      <c r="M736" s="2">
        <v>0.44779999999999998</v>
      </c>
      <c r="N736" s="2">
        <v>3</v>
      </c>
      <c r="O736" s="2">
        <v>29</v>
      </c>
      <c r="P736" s="2">
        <v>32</v>
      </c>
      <c r="Q736" s="4">
        <f>SUBTOTAL(109,Table6[casual])</f>
        <v>4921</v>
      </c>
      <c r="R736" s="4">
        <f>SUBTOTAL(109,Table6[registered])</f>
        <v>53383</v>
      </c>
      <c r="S736" s="4">
        <f>SUBTOTAL(109,Table6[cnt])</f>
        <v>58304</v>
      </c>
    </row>
    <row r="737" spans="1:19">
      <c r="A737" s="2">
        <v>736</v>
      </c>
      <c r="B737" s="3">
        <v>40577</v>
      </c>
      <c r="C737" s="2">
        <v>1</v>
      </c>
      <c r="D737" s="2">
        <v>0</v>
      </c>
      <c r="E737" s="2">
        <v>2</v>
      </c>
      <c r="F737" s="2">
        <v>0</v>
      </c>
      <c r="G737" s="2" t="b">
        <v>0</v>
      </c>
      <c r="H737" s="2">
        <v>4</v>
      </c>
      <c r="I737" s="2">
        <v>1</v>
      </c>
      <c r="J737" s="2">
        <v>0.2</v>
      </c>
      <c r="K737" s="2">
        <v>0.16669999999999999</v>
      </c>
      <c r="L737" s="2">
        <v>0.4</v>
      </c>
      <c r="M737" s="2">
        <v>0.44779999999999998</v>
      </c>
      <c r="N737" s="2">
        <v>1</v>
      </c>
      <c r="O737" s="2">
        <v>11</v>
      </c>
      <c r="P737" s="2">
        <v>12</v>
      </c>
      <c r="Q737" s="4">
        <f>SUBTOTAL(109,Table6[casual])</f>
        <v>4921</v>
      </c>
      <c r="R737" s="4">
        <f>SUBTOTAL(109,Table6[registered])</f>
        <v>53383</v>
      </c>
      <c r="S737" s="4">
        <f>SUBTOTAL(109,Table6[cnt])</f>
        <v>58304</v>
      </c>
    </row>
    <row r="738" spans="1:19">
      <c r="A738" s="2">
        <v>737</v>
      </c>
      <c r="B738" s="3">
        <v>40577</v>
      </c>
      <c r="C738" s="2">
        <v>1</v>
      </c>
      <c r="D738" s="2">
        <v>0</v>
      </c>
      <c r="E738" s="2">
        <v>2</v>
      </c>
      <c r="F738" s="2">
        <v>1</v>
      </c>
      <c r="G738" s="2" t="b">
        <v>0</v>
      </c>
      <c r="H738" s="2">
        <v>4</v>
      </c>
      <c r="I738" s="2">
        <v>1</v>
      </c>
      <c r="J738" s="2">
        <v>0.2</v>
      </c>
      <c r="K738" s="2">
        <v>0.1515</v>
      </c>
      <c r="L738" s="2">
        <v>0.44</v>
      </c>
      <c r="M738" s="2">
        <v>0.52239999999999998</v>
      </c>
      <c r="N738" s="2">
        <v>0</v>
      </c>
      <c r="O738" s="2">
        <v>5</v>
      </c>
      <c r="P738" s="2">
        <v>5</v>
      </c>
      <c r="Q738" s="4">
        <f>SUBTOTAL(109,Table6[casual])</f>
        <v>4921</v>
      </c>
      <c r="R738" s="4">
        <f>SUBTOTAL(109,Table6[registered])</f>
        <v>53383</v>
      </c>
      <c r="S738" s="4">
        <f>SUBTOTAL(109,Table6[cnt])</f>
        <v>58304</v>
      </c>
    </row>
    <row r="739" spans="1:19">
      <c r="A739" s="2">
        <v>738</v>
      </c>
      <c r="B739" s="3">
        <v>40577</v>
      </c>
      <c r="C739" s="2">
        <v>1</v>
      </c>
      <c r="D739" s="2">
        <v>0</v>
      </c>
      <c r="E739" s="2">
        <v>2</v>
      </c>
      <c r="F739" s="2">
        <v>2</v>
      </c>
      <c r="G739" s="2" t="b">
        <v>0</v>
      </c>
      <c r="H739" s="2">
        <v>4</v>
      </c>
      <c r="I739" s="2">
        <v>1</v>
      </c>
      <c r="J739" s="2">
        <v>0.18</v>
      </c>
      <c r="K739" s="2">
        <v>0.16669999999999999</v>
      </c>
      <c r="L739" s="2">
        <v>0.43</v>
      </c>
      <c r="M739" s="2">
        <v>0.25369999999999998</v>
      </c>
      <c r="N739" s="2">
        <v>0</v>
      </c>
      <c r="O739" s="2">
        <v>2</v>
      </c>
      <c r="P739" s="2">
        <v>2</v>
      </c>
      <c r="Q739" s="4">
        <f>SUBTOTAL(109,Table6[casual])</f>
        <v>4921</v>
      </c>
      <c r="R739" s="4">
        <f>SUBTOTAL(109,Table6[registered])</f>
        <v>53383</v>
      </c>
      <c r="S739" s="4">
        <f>SUBTOTAL(109,Table6[cnt])</f>
        <v>58304</v>
      </c>
    </row>
    <row r="740" spans="1:19">
      <c r="A740" s="2">
        <v>739</v>
      </c>
      <c r="B740" s="3">
        <v>40577</v>
      </c>
      <c r="C740" s="2">
        <v>1</v>
      </c>
      <c r="D740" s="2">
        <v>0</v>
      </c>
      <c r="E740" s="2">
        <v>2</v>
      </c>
      <c r="F740" s="2">
        <v>3</v>
      </c>
      <c r="G740" s="2" t="b">
        <v>0</v>
      </c>
      <c r="H740" s="2">
        <v>4</v>
      </c>
      <c r="I740" s="2">
        <v>1</v>
      </c>
      <c r="J740" s="2">
        <v>0.18</v>
      </c>
      <c r="K740" s="2">
        <v>0.16669999999999999</v>
      </c>
      <c r="L740" s="2">
        <v>0.43</v>
      </c>
      <c r="M740" s="2">
        <v>0.25369999999999998</v>
      </c>
      <c r="N740" s="2">
        <v>0</v>
      </c>
      <c r="O740" s="2">
        <v>1</v>
      </c>
      <c r="P740" s="2">
        <v>1</v>
      </c>
      <c r="Q740" s="4">
        <f>SUBTOTAL(109,Table6[casual])</f>
        <v>4921</v>
      </c>
      <c r="R740" s="4">
        <f>SUBTOTAL(109,Table6[registered])</f>
        <v>53383</v>
      </c>
      <c r="S740" s="4">
        <f>SUBTOTAL(109,Table6[cnt])</f>
        <v>58304</v>
      </c>
    </row>
    <row r="741" spans="1:19">
      <c r="A741" s="2">
        <v>740</v>
      </c>
      <c r="B741" s="3">
        <v>40577</v>
      </c>
      <c r="C741" s="2">
        <v>1</v>
      </c>
      <c r="D741" s="2">
        <v>0</v>
      </c>
      <c r="E741" s="2">
        <v>2</v>
      </c>
      <c r="F741" s="2">
        <v>5</v>
      </c>
      <c r="G741" s="2" t="b">
        <v>0</v>
      </c>
      <c r="H741" s="2">
        <v>4</v>
      </c>
      <c r="I741" s="2">
        <v>1</v>
      </c>
      <c r="J741" s="2">
        <v>0.16</v>
      </c>
      <c r="K741" s="2">
        <v>0.13639999999999999</v>
      </c>
      <c r="L741" s="2">
        <v>0.5</v>
      </c>
      <c r="M741" s="2">
        <v>0.29849999999999999</v>
      </c>
      <c r="N741" s="2">
        <v>0</v>
      </c>
      <c r="O741" s="2">
        <v>2</v>
      </c>
      <c r="P741" s="2">
        <v>2</v>
      </c>
      <c r="Q741" s="4">
        <f>SUBTOTAL(109,Table6[casual])</f>
        <v>4921</v>
      </c>
      <c r="R741" s="4">
        <f>SUBTOTAL(109,Table6[registered])</f>
        <v>53383</v>
      </c>
      <c r="S741" s="4">
        <f>SUBTOTAL(109,Table6[cnt])</f>
        <v>58304</v>
      </c>
    </row>
    <row r="742" spans="1:19">
      <c r="A742" s="2">
        <v>741</v>
      </c>
      <c r="B742" s="3">
        <v>40577</v>
      </c>
      <c r="C742" s="2">
        <v>1</v>
      </c>
      <c r="D742" s="2">
        <v>0</v>
      </c>
      <c r="E742" s="2">
        <v>2</v>
      </c>
      <c r="F742" s="2">
        <v>6</v>
      </c>
      <c r="G742" s="2" t="b">
        <v>0</v>
      </c>
      <c r="H742" s="2">
        <v>4</v>
      </c>
      <c r="I742" s="2">
        <v>1</v>
      </c>
      <c r="J742" s="2">
        <v>0.16</v>
      </c>
      <c r="K742" s="2">
        <v>0.13639999999999999</v>
      </c>
      <c r="L742" s="2">
        <v>0.43</v>
      </c>
      <c r="M742" s="2">
        <v>0.35820000000000002</v>
      </c>
      <c r="N742" s="2">
        <v>0</v>
      </c>
      <c r="O742" s="2">
        <v>39</v>
      </c>
      <c r="P742" s="2">
        <v>39</v>
      </c>
      <c r="Q742" s="4">
        <f>SUBTOTAL(109,Table6[casual])</f>
        <v>4921</v>
      </c>
      <c r="R742" s="4">
        <f>SUBTOTAL(109,Table6[registered])</f>
        <v>53383</v>
      </c>
      <c r="S742" s="4">
        <f>SUBTOTAL(109,Table6[cnt])</f>
        <v>58304</v>
      </c>
    </row>
    <row r="743" spans="1:19">
      <c r="A743" s="2">
        <v>742</v>
      </c>
      <c r="B743" s="3">
        <v>40577</v>
      </c>
      <c r="C743" s="2">
        <v>1</v>
      </c>
      <c r="D743" s="2">
        <v>0</v>
      </c>
      <c r="E743" s="2">
        <v>2</v>
      </c>
      <c r="F743" s="2">
        <v>7</v>
      </c>
      <c r="G743" s="2" t="b">
        <v>0</v>
      </c>
      <c r="H743" s="2">
        <v>4</v>
      </c>
      <c r="I743" s="2">
        <v>1</v>
      </c>
      <c r="J743" s="2">
        <v>0.14000000000000001</v>
      </c>
      <c r="K743" s="2">
        <v>0.1212</v>
      </c>
      <c r="L743" s="2">
        <v>0.5</v>
      </c>
      <c r="M743" s="2">
        <v>0.32840000000000003</v>
      </c>
      <c r="N743" s="2">
        <v>1</v>
      </c>
      <c r="O743" s="2">
        <v>86</v>
      </c>
      <c r="P743" s="2">
        <v>87</v>
      </c>
      <c r="Q743" s="4">
        <f>SUBTOTAL(109,Table6[casual])</f>
        <v>4921</v>
      </c>
      <c r="R743" s="4">
        <f>SUBTOTAL(109,Table6[registered])</f>
        <v>53383</v>
      </c>
      <c r="S743" s="4">
        <f>SUBTOTAL(109,Table6[cnt])</f>
        <v>58304</v>
      </c>
    </row>
    <row r="744" spans="1:19">
      <c r="A744" s="2">
        <v>743</v>
      </c>
      <c r="B744" s="3">
        <v>40577</v>
      </c>
      <c r="C744" s="2">
        <v>1</v>
      </c>
      <c r="D744" s="2">
        <v>0</v>
      </c>
      <c r="E744" s="2">
        <v>2</v>
      </c>
      <c r="F744" s="2">
        <v>8</v>
      </c>
      <c r="G744" s="2" t="b">
        <v>0</v>
      </c>
      <c r="H744" s="2">
        <v>4</v>
      </c>
      <c r="I744" s="2">
        <v>1</v>
      </c>
      <c r="J744" s="2">
        <v>0.14000000000000001</v>
      </c>
      <c r="K744" s="2">
        <v>0.1212</v>
      </c>
      <c r="L744" s="2">
        <v>0.5</v>
      </c>
      <c r="M744" s="2">
        <v>0.35820000000000002</v>
      </c>
      <c r="N744" s="2">
        <v>4</v>
      </c>
      <c r="O744" s="2">
        <v>184</v>
      </c>
      <c r="P744" s="2">
        <v>188</v>
      </c>
      <c r="Q744" s="4">
        <f>SUBTOTAL(109,Table6[casual])</f>
        <v>4921</v>
      </c>
      <c r="R744" s="4">
        <f>SUBTOTAL(109,Table6[registered])</f>
        <v>53383</v>
      </c>
      <c r="S744" s="4">
        <f>SUBTOTAL(109,Table6[cnt])</f>
        <v>58304</v>
      </c>
    </row>
    <row r="745" spans="1:19">
      <c r="A745" s="2">
        <v>744</v>
      </c>
      <c r="B745" s="3">
        <v>40577</v>
      </c>
      <c r="C745" s="2">
        <v>1</v>
      </c>
      <c r="D745" s="2">
        <v>0</v>
      </c>
      <c r="E745" s="2">
        <v>2</v>
      </c>
      <c r="F745" s="2">
        <v>9</v>
      </c>
      <c r="G745" s="2" t="b">
        <v>0</v>
      </c>
      <c r="H745" s="2">
        <v>4</v>
      </c>
      <c r="I745" s="2">
        <v>1</v>
      </c>
      <c r="J745" s="2">
        <v>0.16</v>
      </c>
      <c r="K745" s="2">
        <v>0.13639999999999999</v>
      </c>
      <c r="L745" s="2">
        <v>0.47</v>
      </c>
      <c r="M745" s="2">
        <v>0.29849999999999999</v>
      </c>
      <c r="N745" s="2">
        <v>6</v>
      </c>
      <c r="O745" s="2">
        <v>127</v>
      </c>
      <c r="P745" s="2">
        <v>133</v>
      </c>
      <c r="Q745" s="4">
        <f>SUBTOTAL(109,Table6[casual])</f>
        <v>4921</v>
      </c>
      <c r="R745" s="4">
        <f>SUBTOTAL(109,Table6[registered])</f>
        <v>53383</v>
      </c>
      <c r="S745" s="4">
        <f>SUBTOTAL(109,Table6[cnt])</f>
        <v>58304</v>
      </c>
    </row>
    <row r="746" spans="1:19">
      <c r="A746" s="2">
        <v>745</v>
      </c>
      <c r="B746" s="3">
        <v>40577</v>
      </c>
      <c r="C746" s="2">
        <v>1</v>
      </c>
      <c r="D746" s="2">
        <v>0</v>
      </c>
      <c r="E746" s="2">
        <v>2</v>
      </c>
      <c r="F746" s="2">
        <v>10</v>
      </c>
      <c r="G746" s="2" t="b">
        <v>0</v>
      </c>
      <c r="H746" s="2">
        <v>4</v>
      </c>
      <c r="I746" s="2">
        <v>1</v>
      </c>
      <c r="J746" s="2">
        <v>0.18</v>
      </c>
      <c r="K746" s="2">
        <v>0.1515</v>
      </c>
      <c r="L746" s="2">
        <v>0.43</v>
      </c>
      <c r="M746" s="2">
        <v>0.32840000000000003</v>
      </c>
      <c r="N746" s="2">
        <v>2</v>
      </c>
      <c r="O746" s="2">
        <v>50</v>
      </c>
      <c r="P746" s="2">
        <v>52</v>
      </c>
      <c r="Q746" s="4">
        <f>SUBTOTAL(109,Table6[casual])</f>
        <v>4921</v>
      </c>
      <c r="R746" s="4">
        <f>SUBTOTAL(109,Table6[registered])</f>
        <v>53383</v>
      </c>
      <c r="S746" s="4">
        <f>SUBTOTAL(109,Table6[cnt])</f>
        <v>58304</v>
      </c>
    </row>
    <row r="747" spans="1:19">
      <c r="A747" s="2">
        <v>746</v>
      </c>
      <c r="B747" s="3">
        <v>40577</v>
      </c>
      <c r="C747" s="2">
        <v>1</v>
      </c>
      <c r="D747" s="2">
        <v>0</v>
      </c>
      <c r="E747" s="2">
        <v>2</v>
      </c>
      <c r="F747" s="2">
        <v>11</v>
      </c>
      <c r="G747" s="2" t="b">
        <v>0</v>
      </c>
      <c r="H747" s="2">
        <v>4</v>
      </c>
      <c r="I747" s="2">
        <v>1</v>
      </c>
      <c r="J747" s="2">
        <v>0.18</v>
      </c>
      <c r="K747" s="2">
        <v>0.13639999999999999</v>
      </c>
      <c r="L747" s="2">
        <v>0.43</v>
      </c>
      <c r="M747" s="2">
        <v>0.44779999999999998</v>
      </c>
      <c r="N747" s="2">
        <v>9</v>
      </c>
      <c r="O747" s="2">
        <v>55</v>
      </c>
      <c r="P747" s="2">
        <v>64</v>
      </c>
      <c r="Q747" s="4">
        <f>SUBTOTAL(109,Table6[casual])</f>
        <v>4921</v>
      </c>
      <c r="R747" s="4">
        <f>SUBTOTAL(109,Table6[registered])</f>
        <v>53383</v>
      </c>
      <c r="S747" s="4">
        <f>SUBTOTAL(109,Table6[cnt])</f>
        <v>58304</v>
      </c>
    </row>
    <row r="748" spans="1:19">
      <c r="A748" s="2">
        <v>747</v>
      </c>
      <c r="B748" s="3">
        <v>40577</v>
      </c>
      <c r="C748" s="2">
        <v>1</v>
      </c>
      <c r="D748" s="2">
        <v>0</v>
      </c>
      <c r="E748" s="2">
        <v>2</v>
      </c>
      <c r="F748" s="2">
        <v>12</v>
      </c>
      <c r="G748" s="2" t="b">
        <v>0</v>
      </c>
      <c r="H748" s="2">
        <v>4</v>
      </c>
      <c r="I748" s="2">
        <v>1</v>
      </c>
      <c r="J748" s="2">
        <v>0.2</v>
      </c>
      <c r="K748" s="2">
        <v>0.18179999999999999</v>
      </c>
      <c r="L748" s="2">
        <v>0.4</v>
      </c>
      <c r="M748" s="2">
        <v>0.35820000000000002</v>
      </c>
      <c r="N748" s="2">
        <v>2</v>
      </c>
      <c r="O748" s="2">
        <v>67</v>
      </c>
      <c r="P748" s="2">
        <v>69</v>
      </c>
      <c r="Q748" s="4">
        <f>SUBTOTAL(109,Table6[casual])</f>
        <v>4921</v>
      </c>
      <c r="R748" s="4">
        <f>SUBTOTAL(109,Table6[registered])</f>
        <v>53383</v>
      </c>
      <c r="S748" s="4">
        <f>SUBTOTAL(109,Table6[cnt])</f>
        <v>58304</v>
      </c>
    </row>
    <row r="749" spans="1:19">
      <c r="A749" s="2">
        <v>748</v>
      </c>
      <c r="B749" s="3">
        <v>40577</v>
      </c>
      <c r="C749" s="2">
        <v>1</v>
      </c>
      <c r="D749" s="2">
        <v>0</v>
      </c>
      <c r="E749" s="2">
        <v>2</v>
      </c>
      <c r="F749" s="2">
        <v>13</v>
      </c>
      <c r="G749" s="2" t="b">
        <v>0</v>
      </c>
      <c r="H749" s="2">
        <v>4</v>
      </c>
      <c r="I749" s="2">
        <v>1</v>
      </c>
      <c r="J749" s="2">
        <v>0.2</v>
      </c>
      <c r="K749" s="2">
        <v>0.16669999999999999</v>
      </c>
      <c r="L749" s="2">
        <v>0.4</v>
      </c>
      <c r="M749" s="2">
        <v>0.41789999999999999</v>
      </c>
      <c r="N749" s="2">
        <v>4</v>
      </c>
      <c r="O749" s="2">
        <v>47</v>
      </c>
      <c r="P749" s="2">
        <v>51</v>
      </c>
      <c r="Q749" s="4">
        <f>SUBTOTAL(109,Table6[casual])</f>
        <v>4921</v>
      </c>
      <c r="R749" s="4">
        <f>SUBTOTAL(109,Table6[registered])</f>
        <v>53383</v>
      </c>
      <c r="S749" s="4">
        <f>SUBTOTAL(109,Table6[cnt])</f>
        <v>58304</v>
      </c>
    </row>
    <row r="750" spans="1:19">
      <c r="A750" s="2">
        <v>749</v>
      </c>
      <c r="B750" s="3">
        <v>40577</v>
      </c>
      <c r="C750" s="2">
        <v>1</v>
      </c>
      <c r="D750" s="2">
        <v>0</v>
      </c>
      <c r="E750" s="2">
        <v>2</v>
      </c>
      <c r="F750" s="2">
        <v>14</v>
      </c>
      <c r="G750" s="2" t="b">
        <v>0</v>
      </c>
      <c r="H750" s="2">
        <v>4</v>
      </c>
      <c r="I750" s="2">
        <v>1</v>
      </c>
      <c r="J750" s="2">
        <v>0.22</v>
      </c>
      <c r="K750" s="2">
        <v>0.19700000000000001</v>
      </c>
      <c r="L750" s="2">
        <v>0.37</v>
      </c>
      <c r="M750" s="2">
        <v>0.3881</v>
      </c>
      <c r="N750" s="2">
        <v>4</v>
      </c>
      <c r="O750" s="2">
        <v>43</v>
      </c>
      <c r="P750" s="2">
        <v>47</v>
      </c>
      <c r="Q750" s="4">
        <f>SUBTOTAL(109,Table6[casual])</f>
        <v>4921</v>
      </c>
      <c r="R750" s="4">
        <f>SUBTOTAL(109,Table6[registered])</f>
        <v>53383</v>
      </c>
      <c r="S750" s="4">
        <f>SUBTOTAL(109,Table6[cnt])</f>
        <v>58304</v>
      </c>
    </row>
    <row r="751" spans="1:19">
      <c r="A751" s="2">
        <v>750</v>
      </c>
      <c r="B751" s="3">
        <v>40577</v>
      </c>
      <c r="C751" s="2">
        <v>1</v>
      </c>
      <c r="D751" s="2">
        <v>0</v>
      </c>
      <c r="E751" s="2">
        <v>2</v>
      </c>
      <c r="F751" s="2">
        <v>15</v>
      </c>
      <c r="G751" s="2" t="b">
        <v>0</v>
      </c>
      <c r="H751" s="2">
        <v>4</v>
      </c>
      <c r="I751" s="2">
        <v>1</v>
      </c>
      <c r="J751" s="2">
        <v>0.22</v>
      </c>
      <c r="K751" s="2">
        <v>0.19700000000000001</v>
      </c>
      <c r="L751" s="2">
        <v>0.37</v>
      </c>
      <c r="M751" s="2">
        <v>0.32840000000000003</v>
      </c>
      <c r="N751" s="2">
        <v>4</v>
      </c>
      <c r="O751" s="2">
        <v>56</v>
      </c>
      <c r="P751" s="2">
        <v>60</v>
      </c>
      <c r="Q751" s="4">
        <f>SUBTOTAL(109,Table6[casual])</f>
        <v>4921</v>
      </c>
      <c r="R751" s="4">
        <f>SUBTOTAL(109,Table6[registered])</f>
        <v>53383</v>
      </c>
      <c r="S751" s="4">
        <f>SUBTOTAL(109,Table6[cnt])</f>
        <v>58304</v>
      </c>
    </row>
    <row r="752" spans="1:19">
      <c r="A752" s="2">
        <v>751</v>
      </c>
      <c r="B752" s="3">
        <v>40577</v>
      </c>
      <c r="C752" s="2">
        <v>1</v>
      </c>
      <c r="D752" s="2">
        <v>0</v>
      </c>
      <c r="E752" s="2">
        <v>2</v>
      </c>
      <c r="F752" s="2">
        <v>16</v>
      </c>
      <c r="G752" s="2" t="b">
        <v>0</v>
      </c>
      <c r="H752" s="2">
        <v>4</v>
      </c>
      <c r="I752" s="2">
        <v>1</v>
      </c>
      <c r="J752" s="2">
        <v>0.22</v>
      </c>
      <c r="K752" s="2">
        <v>0.21210000000000001</v>
      </c>
      <c r="L752" s="2">
        <v>0.37</v>
      </c>
      <c r="M752" s="2">
        <v>0.25369999999999998</v>
      </c>
      <c r="N752" s="2">
        <v>5</v>
      </c>
      <c r="O752" s="2">
        <v>73</v>
      </c>
      <c r="P752" s="2">
        <v>78</v>
      </c>
      <c r="Q752" s="4">
        <f>SUBTOTAL(109,Table6[casual])</f>
        <v>4921</v>
      </c>
      <c r="R752" s="4">
        <f>SUBTOTAL(109,Table6[registered])</f>
        <v>53383</v>
      </c>
      <c r="S752" s="4">
        <f>SUBTOTAL(109,Table6[cnt])</f>
        <v>58304</v>
      </c>
    </row>
    <row r="753" spans="1:19">
      <c r="A753" s="2">
        <v>752</v>
      </c>
      <c r="B753" s="3">
        <v>40577</v>
      </c>
      <c r="C753" s="2">
        <v>1</v>
      </c>
      <c r="D753" s="2">
        <v>0</v>
      </c>
      <c r="E753" s="2">
        <v>2</v>
      </c>
      <c r="F753" s="2">
        <v>17</v>
      </c>
      <c r="G753" s="2" t="b">
        <v>0</v>
      </c>
      <c r="H753" s="2">
        <v>4</v>
      </c>
      <c r="I753" s="2">
        <v>1</v>
      </c>
      <c r="J753" s="2">
        <v>0.2</v>
      </c>
      <c r="K753" s="2">
        <v>0.19700000000000001</v>
      </c>
      <c r="L753" s="2">
        <v>0.4</v>
      </c>
      <c r="M753" s="2">
        <v>0.19400000000000001</v>
      </c>
      <c r="N753" s="2">
        <v>5</v>
      </c>
      <c r="O753" s="2">
        <v>170</v>
      </c>
      <c r="P753" s="2">
        <v>175</v>
      </c>
      <c r="Q753" s="4">
        <f>SUBTOTAL(109,Table6[casual])</f>
        <v>4921</v>
      </c>
      <c r="R753" s="4">
        <f>SUBTOTAL(109,Table6[registered])</f>
        <v>53383</v>
      </c>
      <c r="S753" s="4">
        <f>SUBTOTAL(109,Table6[cnt])</f>
        <v>58304</v>
      </c>
    </row>
    <row r="754" spans="1:19">
      <c r="A754" s="2">
        <v>753</v>
      </c>
      <c r="B754" s="3">
        <v>40577</v>
      </c>
      <c r="C754" s="2">
        <v>1</v>
      </c>
      <c r="D754" s="2">
        <v>0</v>
      </c>
      <c r="E754" s="2">
        <v>2</v>
      </c>
      <c r="F754" s="2">
        <v>18</v>
      </c>
      <c r="G754" s="2" t="b">
        <v>0</v>
      </c>
      <c r="H754" s="2">
        <v>4</v>
      </c>
      <c r="I754" s="2">
        <v>1</v>
      </c>
      <c r="J754" s="2">
        <v>0.2</v>
      </c>
      <c r="K754" s="2">
        <v>0.21210000000000001</v>
      </c>
      <c r="L754" s="2">
        <v>0.4</v>
      </c>
      <c r="M754" s="2">
        <v>0.16420000000000001</v>
      </c>
      <c r="N754" s="2">
        <v>2</v>
      </c>
      <c r="O754" s="2">
        <v>145</v>
      </c>
      <c r="P754" s="2">
        <v>147</v>
      </c>
      <c r="Q754" s="4">
        <f>SUBTOTAL(109,Table6[casual])</f>
        <v>4921</v>
      </c>
      <c r="R754" s="4">
        <f>SUBTOTAL(109,Table6[registered])</f>
        <v>53383</v>
      </c>
      <c r="S754" s="4">
        <f>SUBTOTAL(109,Table6[cnt])</f>
        <v>58304</v>
      </c>
    </row>
    <row r="755" spans="1:19">
      <c r="A755" s="2">
        <v>754</v>
      </c>
      <c r="B755" s="3">
        <v>40577</v>
      </c>
      <c r="C755" s="2">
        <v>1</v>
      </c>
      <c r="D755" s="2">
        <v>0</v>
      </c>
      <c r="E755" s="2">
        <v>2</v>
      </c>
      <c r="F755" s="2">
        <v>19</v>
      </c>
      <c r="G755" s="2" t="b">
        <v>0</v>
      </c>
      <c r="H755" s="2">
        <v>4</v>
      </c>
      <c r="I755" s="2">
        <v>1</v>
      </c>
      <c r="J755" s="2">
        <v>0.2</v>
      </c>
      <c r="K755" s="2">
        <v>0.2576</v>
      </c>
      <c r="L755" s="2">
        <v>0.4</v>
      </c>
      <c r="M755" s="2">
        <v>0</v>
      </c>
      <c r="N755" s="2">
        <v>4</v>
      </c>
      <c r="O755" s="2">
        <v>92</v>
      </c>
      <c r="P755" s="2">
        <v>96</v>
      </c>
      <c r="Q755" s="4">
        <f>SUBTOTAL(109,Table6[casual])</f>
        <v>4921</v>
      </c>
      <c r="R755" s="4">
        <f>SUBTOTAL(109,Table6[registered])</f>
        <v>53383</v>
      </c>
      <c r="S755" s="4">
        <f>SUBTOTAL(109,Table6[cnt])</f>
        <v>58304</v>
      </c>
    </row>
    <row r="756" spans="1:19">
      <c r="A756" s="2">
        <v>755</v>
      </c>
      <c r="B756" s="3">
        <v>40577</v>
      </c>
      <c r="C756" s="2">
        <v>1</v>
      </c>
      <c r="D756" s="2">
        <v>0</v>
      </c>
      <c r="E756" s="2">
        <v>2</v>
      </c>
      <c r="F756" s="2">
        <v>20</v>
      </c>
      <c r="G756" s="2" t="b">
        <v>0</v>
      </c>
      <c r="H756" s="2">
        <v>4</v>
      </c>
      <c r="I756" s="2">
        <v>1</v>
      </c>
      <c r="J756" s="2">
        <v>0.2</v>
      </c>
      <c r="K756" s="2">
        <v>0.2273</v>
      </c>
      <c r="L756" s="2">
        <v>0.47</v>
      </c>
      <c r="M756" s="2">
        <v>8.9599999999999999E-2</v>
      </c>
      <c r="N756" s="2">
        <v>1</v>
      </c>
      <c r="O756" s="2">
        <v>108</v>
      </c>
      <c r="P756" s="2">
        <v>109</v>
      </c>
      <c r="Q756" s="4">
        <f>SUBTOTAL(109,Table6[casual])</f>
        <v>4921</v>
      </c>
      <c r="R756" s="4">
        <f>SUBTOTAL(109,Table6[registered])</f>
        <v>53383</v>
      </c>
      <c r="S756" s="4">
        <f>SUBTOTAL(109,Table6[cnt])</f>
        <v>58304</v>
      </c>
    </row>
    <row r="757" spans="1:19">
      <c r="A757" s="2">
        <v>756</v>
      </c>
      <c r="B757" s="3">
        <v>40577</v>
      </c>
      <c r="C757" s="2">
        <v>1</v>
      </c>
      <c r="D757" s="2">
        <v>0</v>
      </c>
      <c r="E757" s="2">
        <v>2</v>
      </c>
      <c r="F757" s="2">
        <v>21</v>
      </c>
      <c r="G757" s="2" t="b">
        <v>0</v>
      </c>
      <c r="H757" s="2">
        <v>4</v>
      </c>
      <c r="I757" s="2">
        <v>1</v>
      </c>
      <c r="J757" s="2">
        <v>0.18</v>
      </c>
      <c r="K757" s="2">
        <v>0.21210000000000001</v>
      </c>
      <c r="L757" s="2">
        <v>0.55000000000000004</v>
      </c>
      <c r="M757" s="2">
        <v>0.1045</v>
      </c>
      <c r="N757" s="2">
        <v>1</v>
      </c>
      <c r="O757" s="2">
        <v>53</v>
      </c>
      <c r="P757" s="2">
        <v>54</v>
      </c>
      <c r="Q757" s="4">
        <f>SUBTOTAL(109,Table6[casual])</f>
        <v>4921</v>
      </c>
      <c r="R757" s="4">
        <f>SUBTOTAL(109,Table6[registered])</f>
        <v>53383</v>
      </c>
      <c r="S757" s="4">
        <f>SUBTOTAL(109,Table6[cnt])</f>
        <v>58304</v>
      </c>
    </row>
    <row r="758" spans="1:19">
      <c r="A758" s="2">
        <v>757</v>
      </c>
      <c r="B758" s="3">
        <v>40577</v>
      </c>
      <c r="C758" s="2">
        <v>1</v>
      </c>
      <c r="D758" s="2">
        <v>0</v>
      </c>
      <c r="E758" s="2">
        <v>2</v>
      </c>
      <c r="F758" s="2">
        <v>22</v>
      </c>
      <c r="G758" s="2" t="b">
        <v>0</v>
      </c>
      <c r="H758" s="2">
        <v>4</v>
      </c>
      <c r="I758" s="2">
        <v>1</v>
      </c>
      <c r="J758" s="2">
        <v>0.18</v>
      </c>
      <c r="K758" s="2">
        <v>0.21210000000000001</v>
      </c>
      <c r="L758" s="2">
        <v>0.51</v>
      </c>
      <c r="M758" s="2">
        <v>8.9599999999999999E-2</v>
      </c>
      <c r="N758" s="2">
        <v>2</v>
      </c>
      <c r="O758" s="2">
        <v>39</v>
      </c>
      <c r="P758" s="2">
        <v>41</v>
      </c>
      <c r="Q758" s="4">
        <f>SUBTOTAL(109,Table6[casual])</f>
        <v>4921</v>
      </c>
      <c r="R758" s="4">
        <f>SUBTOTAL(109,Table6[registered])</f>
        <v>53383</v>
      </c>
      <c r="S758" s="4">
        <f>SUBTOTAL(109,Table6[cnt])</f>
        <v>58304</v>
      </c>
    </row>
    <row r="759" spans="1:19">
      <c r="A759" s="2">
        <v>758</v>
      </c>
      <c r="B759" s="3">
        <v>40577</v>
      </c>
      <c r="C759" s="2">
        <v>1</v>
      </c>
      <c r="D759" s="2">
        <v>0</v>
      </c>
      <c r="E759" s="2">
        <v>2</v>
      </c>
      <c r="F759" s="2">
        <v>23</v>
      </c>
      <c r="G759" s="2" t="b">
        <v>0</v>
      </c>
      <c r="H759" s="2">
        <v>4</v>
      </c>
      <c r="I759" s="2">
        <v>1</v>
      </c>
      <c r="J759" s="2">
        <v>0.2</v>
      </c>
      <c r="K759" s="2">
        <v>0.2273</v>
      </c>
      <c r="L759" s="2">
        <v>0.47</v>
      </c>
      <c r="M759" s="2">
        <v>0.1045</v>
      </c>
      <c r="N759" s="2">
        <v>4</v>
      </c>
      <c r="O759" s="2">
        <v>34</v>
      </c>
      <c r="P759" s="2">
        <v>38</v>
      </c>
      <c r="Q759" s="4">
        <f>SUBTOTAL(109,Table6[casual])</f>
        <v>4921</v>
      </c>
      <c r="R759" s="4">
        <f>SUBTOTAL(109,Table6[registered])</f>
        <v>53383</v>
      </c>
      <c r="S759" s="4">
        <f>SUBTOTAL(109,Table6[cnt])</f>
        <v>58304</v>
      </c>
    </row>
    <row r="760" spans="1:19">
      <c r="A760" s="2">
        <v>759</v>
      </c>
      <c r="B760" s="3">
        <v>40578</v>
      </c>
      <c r="C760" s="2">
        <v>1</v>
      </c>
      <c r="D760" s="2">
        <v>0</v>
      </c>
      <c r="E760" s="2">
        <v>2</v>
      </c>
      <c r="F760" s="2">
        <v>0</v>
      </c>
      <c r="G760" s="2" t="b">
        <v>0</v>
      </c>
      <c r="H760" s="2">
        <v>5</v>
      </c>
      <c r="I760" s="2">
        <v>2</v>
      </c>
      <c r="J760" s="2">
        <v>0.2</v>
      </c>
      <c r="K760" s="2">
        <v>0.2576</v>
      </c>
      <c r="L760" s="2">
        <v>0.44</v>
      </c>
      <c r="M760" s="2">
        <v>0</v>
      </c>
      <c r="N760" s="2">
        <v>3</v>
      </c>
      <c r="O760" s="2">
        <v>10</v>
      </c>
      <c r="P760" s="2">
        <v>13</v>
      </c>
      <c r="Q760" s="4">
        <f>SUBTOTAL(109,Table6[casual])</f>
        <v>4921</v>
      </c>
      <c r="R760" s="4">
        <f>SUBTOTAL(109,Table6[registered])</f>
        <v>53383</v>
      </c>
      <c r="S760" s="4">
        <f>SUBTOTAL(109,Table6[cnt])</f>
        <v>58304</v>
      </c>
    </row>
    <row r="761" spans="1:19">
      <c r="A761" s="2">
        <v>760</v>
      </c>
      <c r="B761" s="3">
        <v>40578</v>
      </c>
      <c r="C761" s="2">
        <v>1</v>
      </c>
      <c r="D761" s="2">
        <v>0</v>
      </c>
      <c r="E761" s="2">
        <v>2</v>
      </c>
      <c r="F761" s="2">
        <v>1</v>
      </c>
      <c r="G761" s="2" t="b">
        <v>0</v>
      </c>
      <c r="H761" s="2">
        <v>5</v>
      </c>
      <c r="I761" s="2">
        <v>2</v>
      </c>
      <c r="J761" s="2">
        <v>0.16</v>
      </c>
      <c r="K761" s="2">
        <v>0.2273</v>
      </c>
      <c r="L761" s="2">
        <v>0.59</v>
      </c>
      <c r="M761" s="2">
        <v>0</v>
      </c>
      <c r="N761" s="2">
        <v>0</v>
      </c>
      <c r="O761" s="2">
        <v>7</v>
      </c>
      <c r="P761" s="2">
        <v>7</v>
      </c>
      <c r="Q761" s="4">
        <f>SUBTOTAL(109,Table6[casual])</f>
        <v>4921</v>
      </c>
      <c r="R761" s="4">
        <f>SUBTOTAL(109,Table6[registered])</f>
        <v>53383</v>
      </c>
      <c r="S761" s="4">
        <f>SUBTOTAL(109,Table6[cnt])</f>
        <v>58304</v>
      </c>
    </row>
    <row r="762" spans="1:19">
      <c r="A762" s="2">
        <v>761</v>
      </c>
      <c r="B762" s="3">
        <v>40578</v>
      </c>
      <c r="C762" s="2">
        <v>1</v>
      </c>
      <c r="D762" s="2">
        <v>0</v>
      </c>
      <c r="E762" s="2">
        <v>2</v>
      </c>
      <c r="F762" s="2">
        <v>2</v>
      </c>
      <c r="G762" s="2" t="b">
        <v>0</v>
      </c>
      <c r="H762" s="2">
        <v>5</v>
      </c>
      <c r="I762" s="2">
        <v>2</v>
      </c>
      <c r="J762" s="2">
        <v>0.14000000000000001</v>
      </c>
      <c r="K762" s="2">
        <v>0.16669999999999999</v>
      </c>
      <c r="L762" s="2">
        <v>0.63</v>
      </c>
      <c r="M762" s="2">
        <v>0.1045</v>
      </c>
      <c r="N762" s="2">
        <v>0</v>
      </c>
      <c r="O762" s="2">
        <v>1</v>
      </c>
      <c r="P762" s="2">
        <v>1</v>
      </c>
      <c r="Q762" s="4">
        <f>SUBTOTAL(109,Table6[casual])</f>
        <v>4921</v>
      </c>
      <c r="R762" s="4">
        <f>SUBTOTAL(109,Table6[registered])</f>
        <v>53383</v>
      </c>
      <c r="S762" s="4">
        <f>SUBTOTAL(109,Table6[cnt])</f>
        <v>58304</v>
      </c>
    </row>
    <row r="763" spans="1:19">
      <c r="A763" s="2">
        <v>762</v>
      </c>
      <c r="B763" s="3">
        <v>40578</v>
      </c>
      <c r="C763" s="2">
        <v>1</v>
      </c>
      <c r="D763" s="2">
        <v>0</v>
      </c>
      <c r="E763" s="2">
        <v>2</v>
      </c>
      <c r="F763" s="2">
        <v>3</v>
      </c>
      <c r="G763" s="2" t="b">
        <v>0</v>
      </c>
      <c r="H763" s="2">
        <v>5</v>
      </c>
      <c r="I763" s="2">
        <v>2</v>
      </c>
      <c r="J763" s="2">
        <v>0.14000000000000001</v>
      </c>
      <c r="K763" s="2">
        <v>0.16669999999999999</v>
      </c>
      <c r="L763" s="2">
        <v>0.63</v>
      </c>
      <c r="M763" s="2">
        <v>0.1045</v>
      </c>
      <c r="N763" s="2">
        <v>0</v>
      </c>
      <c r="O763" s="2">
        <v>1</v>
      </c>
      <c r="P763" s="2">
        <v>1</v>
      </c>
      <c r="Q763" s="4">
        <f>SUBTOTAL(109,Table6[casual])</f>
        <v>4921</v>
      </c>
      <c r="R763" s="4">
        <f>SUBTOTAL(109,Table6[registered])</f>
        <v>53383</v>
      </c>
      <c r="S763" s="4">
        <f>SUBTOTAL(109,Table6[cnt])</f>
        <v>58304</v>
      </c>
    </row>
    <row r="764" spans="1:19">
      <c r="A764" s="2">
        <v>763</v>
      </c>
      <c r="B764" s="3">
        <v>40578</v>
      </c>
      <c r="C764" s="2">
        <v>1</v>
      </c>
      <c r="D764" s="2">
        <v>0</v>
      </c>
      <c r="E764" s="2">
        <v>2</v>
      </c>
      <c r="F764" s="2">
        <v>5</v>
      </c>
      <c r="G764" s="2" t="b">
        <v>0</v>
      </c>
      <c r="H764" s="2">
        <v>5</v>
      </c>
      <c r="I764" s="2">
        <v>2</v>
      </c>
      <c r="J764" s="2">
        <v>0.14000000000000001</v>
      </c>
      <c r="K764" s="2">
        <v>0.1515</v>
      </c>
      <c r="L764" s="2">
        <v>0.63</v>
      </c>
      <c r="M764" s="2">
        <v>0.1343</v>
      </c>
      <c r="N764" s="2">
        <v>0</v>
      </c>
      <c r="O764" s="2">
        <v>7</v>
      </c>
      <c r="P764" s="2">
        <v>7</v>
      </c>
      <c r="Q764" s="4">
        <f>SUBTOTAL(109,Table6[casual])</f>
        <v>4921</v>
      </c>
      <c r="R764" s="4">
        <f>SUBTOTAL(109,Table6[registered])</f>
        <v>53383</v>
      </c>
      <c r="S764" s="4">
        <f>SUBTOTAL(109,Table6[cnt])</f>
        <v>58304</v>
      </c>
    </row>
    <row r="765" spans="1:19">
      <c r="A765" s="2">
        <v>764</v>
      </c>
      <c r="B765" s="3">
        <v>40578</v>
      </c>
      <c r="C765" s="2">
        <v>1</v>
      </c>
      <c r="D765" s="2">
        <v>0</v>
      </c>
      <c r="E765" s="2">
        <v>2</v>
      </c>
      <c r="F765" s="2">
        <v>6</v>
      </c>
      <c r="G765" s="2" t="b">
        <v>0</v>
      </c>
      <c r="H765" s="2">
        <v>5</v>
      </c>
      <c r="I765" s="2">
        <v>2</v>
      </c>
      <c r="J765" s="2">
        <v>0.16</v>
      </c>
      <c r="K765" s="2">
        <v>0.2273</v>
      </c>
      <c r="L765" s="2">
        <v>0.55000000000000004</v>
      </c>
      <c r="M765" s="2">
        <v>0</v>
      </c>
      <c r="N765" s="2">
        <v>2</v>
      </c>
      <c r="O765" s="2">
        <v>26</v>
      </c>
      <c r="P765" s="2">
        <v>28</v>
      </c>
      <c r="Q765" s="4">
        <f>SUBTOTAL(109,Table6[casual])</f>
        <v>4921</v>
      </c>
      <c r="R765" s="4">
        <f>SUBTOTAL(109,Table6[registered])</f>
        <v>53383</v>
      </c>
      <c r="S765" s="4">
        <f>SUBTOTAL(109,Table6[cnt])</f>
        <v>58304</v>
      </c>
    </row>
    <row r="766" spans="1:19">
      <c r="A766" s="2">
        <v>765</v>
      </c>
      <c r="B766" s="3">
        <v>40578</v>
      </c>
      <c r="C766" s="2">
        <v>1</v>
      </c>
      <c r="D766" s="2">
        <v>0</v>
      </c>
      <c r="E766" s="2">
        <v>2</v>
      </c>
      <c r="F766" s="2">
        <v>7</v>
      </c>
      <c r="G766" s="2" t="b">
        <v>0</v>
      </c>
      <c r="H766" s="2">
        <v>5</v>
      </c>
      <c r="I766" s="2">
        <v>1</v>
      </c>
      <c r="J766" s="2">
        <v>0.14000000000000001</v>
      </c>
      <c r="K766" s="2">
        <v>0.21210000000000001</v>
      </c>
      <c r="L766" s="2">
        <v>0.59</v>
      </c>
      <c r="M766" s="2">
        <v>0</v>
      </c>
      <c r="N766" s="2">
        <v>0</v>
      </c>
      <c r="O766" s="2">
        <v>87</v>
      </c>
      <c r="P766" s="2">
        <v>87</v>
      </c>
      <c r="Q766" s="4">
        <f>SUBTOTAL(109,Table6[casual])</f>
        <v>4921</v>
      </c>
      <c r="R766" s="4">
        <f>SUBTOTAL(109,Table6[registered])</f>
        <v>53383</v>
      </c>
      <c r="S766" s="4">
        <f>SUBTOTAL(109,Table6[cnt])</f>
        <v>58304</v>
      </c>
    </row>
    <row r="767" spans="1:19">
      <c r="A767" s="2">
        <v>766</v>
      </c>
      <c r="B767" s="3">
        <v>40578</v>
      </c>
      <c r="C767" s="2">
        <v>1</v>
      </c>
      <c r="D767" s="2">
        <v>0</v>
      </c>
      <c r="E767" s="2">
        <v>2</v>
      </c>
      <c r="F767" s="2">
        <v>8</v>
      </c>
      <c r="G767" s="2" t="b">
        <v>0</v>
      </c>
      <c r="H767" s="2">
        <v>5</v>
      </c>
      <c r="I767" s="2">
        <v>1</v>
      </c>
      <c r="J767" s="2">
        <v>0.14000000000000001</v>
      </c>
      <c r="K767" s="2">
        <v>0.1515</v>
      </c>
      <c r="L767" s="2">
        <v>0.74</v>
      </c>
      <c r="M767" s="2">
        <v>0.1343</v>
      </c>
      <c r="N767" s="2">
        <v>3</v>
      </c>
      <c r="O767" s="2">
        <v>217</v>
      </c>
      <c r="P767" s="2">
        <v>220</v>
      </c>
      <c r="Q767" s="4">
        <f>SUBTOTAL(109,Table6[casual])</f>
        <v>4921</v>
      </c>
      <c r="R767" s="4">
        <f>SUBTOTAL(109,Table6[registered])</f>
        <v>53383</v>
      </c>
      <c r="S767" s="4">
        <f>SUBTOTAL(109,Table6[cnt])</f>
        <v>58304</v>
      </c>
    </row>
    <row r="768" spans="1:19">
      <c r="A768" s="2">
        <v>767</v>
      </c>
      <c r="B768" s="3">
        <v>40578</v>
      </c>
      <c r="C768" s="2">
        <v>1</v>
      </c>
      <c r="D768" s="2">
        <v>0</v>
      </c>
      <c r="E768" s="2">
        <v>2</v>
      </c>
      <c r="F768" s="2">
        <v>9</v>
      </c>
      <c r="G768" s="2" t="b">
        <v>0</v>
      </c>
      <c r="H768" s="2">
        <v>5</v>
      </c>
      <c r="I768" s="2">
        <v>2</v>
      </c>
      <c r="J768" s="2">
        <v>0.16</v>
      </c>
      <c r="K768" s="2">
        <v>0.18179999999999999</v>
      </c>
      <c r="L768" s="2">
        <v>0.8</v>
      </c>
      <c r="M768" s="2">
        <v>0.1343</v>
      </c>
      <c r="N768" s="2">
        <v>3</v>
      </c>
      <c r="O768" s="2">
        <v>124</v>
      </c>
      <c r="P768" s="2">
        <v>127</v>
      </c>
      <c r="Q768" s="4">
        <f>SUBTOTAL(109,Table6[casual])</f>
        <v>4921</v>
      </c>
      <c r="R768" s="4">
        <f>SUBTOTAL(109,Table6[registered])</f>
        <v>53383</v>
      </c>
      <c r="S768" s="4">
        <f>SUBTOTAL(109,Table6[cnt])</f>
        <v>58304</v>
      </c>
    </row>
    <row r="769" spans="1:19">
      <c r="A769" s="2">
        <v>768</v>
      </c>
      <c r="B769" s="3">
        <v>40578</v>
      </c>
      <c r="C769" s="2">
        <v>1</v>
      </c>
      <c r="D769" s="2">
        <v>0</v>
      </c>
      <c r="E769" s="2">
        <v>2</v>
      </c>
      <c r="F769" s="2">
        <v>10</v>
      </c>
      <c r="G769" s="2" t="b">
        <v>0</v>
      </c>
      <c r="H769" s="2">
        <v>5</v>
      </c>
      <c r="I769" s="2">
        <v>2</v>
      </c>
      <c r="J769" s="2">
        <v>0.2</v>
      </c>
      <c r="K769" s="2">
        <v>0.21210000000000001</v>
      </c>
      <c r="L769" s="2">
        <v>0.51</v>
      </c>
      <c r="M769" s="2">
        <v>0.1343</v>
      </c>
      <c r="N769" s="2">
        <v>5</v>
      </c>
      <c r="O769" s="2">
        <v>46</v>
      </c>
      <c r="P769" s="2">
        <v>51</v>
      </c>
      <c r="Q769" s="4">
        <f>SUBTOTAL(109,Table6[casual])</f>
        <v>4921</v>
      </c>
      <c r="R769" s="4">
        <f>SUBTOTAL(109,Table6[registered])</f>
        <v>53383</v>
      </c>
      <c r="S769" s="4">
        <f>SUBTOTAL(109,Table6[cnt])</f>
        <v>58304</v>
      </c>
    </row>
    <row r="770" spans="1:19">
      <c r="A770" s="2">
        <v>769</v>
      </c>
      <c r="B770" s="3">
        <v>40578</v>
      </c>
      <c r="C770" s="2">
        <v>1</v>
      </c>
      <c r="D770" s="2">
        <v>0</v>
      </c>
      <c r="E770" s="2">
        <v>2</v>
      </c>
      <c r="F770" s="2">
        <v>11</v>
      </c>
      <c r="G770" s="2" t="b">
        <v>0</v>
      </c>
      <c r="H770" s="2">
        <v>5</v>
      </c>
      <c r="I770" s="2">
        <v>1</v>
      </c>
      <c r="J770" s="2">
        <v>0.22</v>
      </c>
      <c r="K770" s="2">
        <v>0.2273</v>
      </c>
      <c r="L770" s="2">
        <v>0.51</v>
      </c>
      <c r="M770" s="2">
        <v>0.16420000000000001</v>
      </c>
      <c r="N770" s="2">
        <v>3</v>
      </c>
      <c r="O770" s="2">
        <v>61</v>
      </c>
      <c r="P770" s="2">
        <v>64</v>
      </c>
      <c r="Q770" s="4">
        <f>SUBTOTAL(109,Table6[casual])</f>
        <v>4921</v>
      </c>
      <c r="R770" s="4">
        <f>SUBTOTAL(109,Table6[registered])</f>
        <v>53383</v>
      </c>
      <c r="S770" s="4">
        <f>SUBTOTAL(109,Table6[cnt])</f>
        <v>58304</v>
      </c>
    </row>
    <row r="771" spans="1:19">
      <c r="A771" s="2">
        <v>770</v>
      </c>
      <c r="B771" s="3">
        <v>40578</v>
      </c>
      <c r="C771" s="2">
        <v>1</v>
      </c>
      <c r="D771" s="2">
        <v>0</v>
      </c>
      <c r="E771" s="2">
        <v>2</v>
      </c>
      <c r="F771" s="2">
        <v>12</v>
      </c>
      <c r="G771" s="2" t="b">
        <v>0</v>
      </c>
      <c r="H771" s="2">
        <v>5</v>
      </c>
      <c r="I771" s="2">
        <v>2</v>
      </c>
      <c r="J771" s="2">
        <v>0.24</v>
      </c>
      <c r="K771" s="2">
        <v>0.2424</v>
      </c>
      <c r="L771" s="2">
        <v>0.48</v>
      </c>
      <c r="M771" s="2">
        <v>0.16420000000000001</v>
      </c>
      <c r="N771" s="2">
        <v>8</v>
      </c>
      <c r="O771" s="2">
        <v>78</v>
      </c>
      <c r="P771" s="2">
        <v>86</v>
      </c>
      <c r="Q771" s="4">
        <f>SUBTOTAL(109,Table6[casual])</f>
        <v>4921</v>
      </c>
      <c r="R771" s="4">
        <f>SUBTOTAL(109,Table6[registered])</f>
        <v>53383</v>
      </c>
      <c r="S771" s="4">
        <f>SUBTOTAL(109,Table6[cnt])</f>
        <v>58304</v>
      </c>
    </row>
    <row r="772" spans="1:19">
      <c r="A772" s="2">
        <v>771</v>
      </c>
      <c r="B772" s="3">
        <v>40578</v>
      </c>
      <c r="C772" s="2">
        <v>1</v>
      </c>
      <c r="D772" s="2">
        <v>0</v>
      </c>
      <c r="E772" s="2">
        <v>2</v>
      </c>
      <c r="F772" s="2">
        <v>13</v>
      </c>
      <c r="G772" s="2" t="b">
        <v>0</v>
      </c>
      <c r="H772" s="2">
        <v>5</v>
      </c>
      <c r="I772" s="2">
        <v>2</v>
      </c>
      <c r="J772" s="2">
        <v>0.26</v>
      </c>
      <c r="K772" s="2">
        <v>0.2576</v>
      </c>
      <c r="L772" s="2">
        <v>0.5</v>
      </c>
      <c r="M772" s="2">
        <v>0.22389999999999999</v>
      </c>
      <c r="N772" s="2">
        <v>9</v>
      </c>
      <c r="O772" s="2">
        <v>73</v>
      </c>
      <c r="P772" s="2">
        <v>82</v>
      </c>
      <c r="Q772" s="4">
        <f>SUBTOTAL(109,Table6[casual])</f>
        <v>4921</v>
      </c>
      <c r="R772" s="4">
        <f>SUBTOTAL(109,Table6[registered])</f>
        <v>53383</v>
      </c>
      <c r="S772" s="4">
        <f>SUBTOTAL(109,Table6[cnt])</f>
        <v>58304</v>
      </c>
    </row>
    <row r="773" spans="1:19">
      <c r="A773" s="2">
        <v>772</v>
      </c>
      <c r="B773" s="3">
        <v>40578</v>
      </c>
      <c r="C773" s="2">
        <v>1</v>
      </c>
      <c r="D773" s="2">
        <v>0</v>
      </c>
      <c r="E773" s="2">
        <v>2</v>
      </c>
      <c r="F773" s="2">
        <v>14</v>
      </c>
      <c r="G773" s="2" t="b">
        <v>0</v>
      </c>
      <c r="H773" s="2">
        <v>5</v>
      </c>
      <c r="I773" s="2">
        <v>2</v>
      </c>
      <c r="J773" s="2">
        <v>0.28000000000000003</v>
      </c>
      <c r="K773" s="2">
        <v>0.2727</v>
      </c>
      <c r="L773" s="2">
        <v>0.45</v>
      </c>
      <c r="M773" s="2">
        <v>0.16420000000000001</v>
      </c>
      <c r="N773" s="2">
        <v>15</v>
      </c>
      <c r="O773" s="2">
        <v>76</v>
      </c>
      <c r="P773" s="2">
        <v>91</v>
      </c>
      <c r="Q773" s="4">
        <f>SUBTOTAL(109,Table6[casual])</f>
        <v>4921</v>
      </c>
      <c r="R773" s="4">
        <f>SUBTOTAL(109,Table6[registered])</f>
        <v>53383</v>
      </c>
      <c r="S773" s="4">
        <f>SUBTOTAL(109,Table6[cnt])</f>
        <v>58304</v>
      </c>
    </row>
    <row r="774" spans="1:19">
      <c r="A774" s="2">
        <v>773</v>
      </c>
      <c r="B774" s="3">
        <v>40578</v>
      </c>
      <c r="C774" s="2">
        <v>1</v>
      </c>
      <c r="D774" s="2">
        <v>0</v>
      </c>
      <c r="E774" s="2">
        <v>2</v>
      </c>
      <c r="F774" s="2">
        <v>15</v>
      </c>
      <c r="G774" s="2" t="b">
        <v>0</v>
      </c>
      <c r="H774" s="2">
        <v>5</v>
      </c>
      <c r="I774" s="2">
        <v>2</v>
      </c>
      <c r="J774" s="2">
        <v>0.28000000000000003</v>
      </c>
      <c r="K774" s="2">
        <v>0.2727</v>
      </c>
      <c r="L774" s="2">
        <v>0.48</v>
      </c>
      <c r="M774" s="2">
        <v>0.25369999999999998</v>
      </c>
      <c r="N774" s="2">
        <v>9</v>
      </c>
      <c r="O774" s="2">
        <v>81</v>
      </c>
      <c r="P774" s="2">
        <v>90</v>
      </c>
      <c r="Q774" s="4">
        <f>SUBTOTAL(109,Table6[casual])</f>
        <v>4921</v>
      </c>
      <c r="R774" s="4">
        <f>SUBTOTAL(109,Table6[registered])</f>
        <v>53383</v>
      </c>
      <c r="S774" s="4">
        <f>SUBTOTAL(109,Table6[cnt])</f>
        <v>58304</v>
      </c>
    </row>
    <row r="775" spans="1:19">
      <c r="A775" s="2">
        <v>774</v>
      </c>
      <c r="B775" s="3">
        <v>40578</v>
      </c>
      <c r="C775" s="2">
        <v>1</v>
      </c>
      <c r="D775" s="2">
        <v>0</v>
      </c>
      <c r="E775" s="2">
        <v>2</v>
      </c>
      <c r="F775" s="2">
        <v>16</v>
      </c>
      <c r="G775" s="2" t="b">
        <v>0</v>
      </c>
      <c r="H775" s="2">
        <v>5</v>
      </c>
      <c r="I775" s="2">
        <v>2</v>
      </c>
      <c r="J775" s="2">
        <v>0.3</v>
      </c>
      <c r="K775" s="2">
        <v>0.28789999999999999</v>
      </c>
      <c r="L775" s="2">
        <v>0.42</v>
      </c>
      <c r="M775" s="2">
        <v>0.22389999999999999</v>
      </c>
      <c r="N775" s="2">
        <v>8</v>
      </c>
      <c r="O775" s="2">
        <v>91</v>
      </c>
      <c r="P775" s="2">
        <v>99</v>
      </c>
      <c r="Q775" s="4">
        <f>SUBTOTAL(109,Table6[casual])</f>
        <v>4921</v>
      </c>
      <c r="R775" s="4">
        <f>SUBTOTAL(109,Table6[registered])</f>
        <v>53383</v>
      </c>
      <c r="S775" s="4">
        <f>SUBTOTAL(109,Table6[cnt])</f>
        <v>58304</v>
      </c>
    </row>
    <row r="776" spans="1:19">
      <c r="A776" s="2">
        <v>775</v>
      </c>
      <c r="B776" s="3">
        <v>40578</v>
      </c>
      <c r="C776" s="2">
        <v>1</v>
      </c>
      <c r="D776" s="2">
        <v>0</v>
      </c>
      <c r="E776" s="2">
        <v>2</v>
      </c>
      <c r="F776" s="2">
        <v>17</v>
      </c>
      <c r="G776" s="2" t="b">
        <v>0</v>
      </c>
      <c r="H776" s="2">
        <v>5</v>
      </c>
      <c r="I776" s="2">
        <v>2</v>
      </c>
      <c r="J776" s="2">
        <v>0.26</v>
      </c>
      <c r="K776" s="2">
        <v>0.2727</v>
      </c>
      <c r="L776" s="2">
        <v>0.56000000000000005</v>
      </c>
      <c r="M776" s="2">
        <v>0.1343</v>
      </c>
      <c r="N776" s="2">
        <v>10</v>
      </c>
      <c r="O776" s="2">
        <v>195</v>
      </c>
      <c r="P776" s="2">
        <v>205</v>
      </c>
      <c r="Q776" s="4">
        <f>SUBTOTAL(109,Table6[casual])</f>
        <v>4921</v>
      </c>
      <c r="R776" s="4">
        <f>SUBTOTAL(109,Table6[registered])</f>
        <v>53383</v>
      </c>
      <c r="S776" s="4">
        <f>SUBTOTAL(109,Table6[cnt])</f>
        <v>58304</v>
      </c>
    </row>
    <row r="777" spans="1:19">
      <c r="A777" s="2">
        <v>776</v>
      </c>
      <c r="B777" s="3">
        <v>40578</v>
      </c>
      <c r="C777" s="2">
        <v>1</v>
      </c>
      <c r="D777" s="2">
        <v>0</v>
      </c>
      <c r="E777" s="2">
        <v>2</v>
      </c>
      <c r="F777" s="2">
        <v>18</v>
      </c>
      <c r="G777" s="2" t="b">
        <v>0</v>
      </c>
      <c r="H777" s="2">
        <v>5</v>
      </c>
      <c r="I777" s="2">
        <v>2</v>
      </c>
      <c r="J777" s="2">
        <v>0.24</v>
      </c>
      <c r="K777" s="2">
        <v>0.2576</v>
      </c>
      <c r="L777" s="2">
        <v>0.6</v>
      </c>
      <c r="M777" s="2">
        <v>0.1045</v>
      </c>
      <c r="N777" s="2">
        <v>3</v>
      </c>
      <c r="O777" s="2">
        <v>152</v>
      </c>
      <c r="P777" s="2">
        <v>155</v>
      </c>
      <c r="Q777" s="4">
        <f>SUBTOTAL(109,Table6[casual])</f>
        <v>4921</v>
      </c>
      <c r="R777" s="4">
        <f>SUBTOTAL(109,Table6[registered])</f>
        <v>53383</v>
      </c>
      <c r="S777" s="4">
        <f>SUBTOTAL(109,Table6[cnt])</f>
        <v>58304</v>
      </c>
    </row>
    <row r="778" spans="1:19">
      <c r="A778" s="2">
        <v>777</v>
      </c>
      <c r="B778" s="3">
        <v>40578</v>
      </c>
      <c r="C778" s="2">
        <v>1</v>
      </c>
      <c r="D778" s="2">
        <v>0</v>
      </c>
      <c r="E778" s="2">
        <v>2</v>
      </c>
      <c r="F778" s="2">
        <v>19</v>
      </c>
      <c r="G778" s="2" t="b">
        <v>0</v>
      </c>
      <c r="H778" s="2">
        <v>5</v>
      </c>
      <c r="I778" s="2">
        <v>2</v>
      </c>
      <c r="J778" s="2">
        <v>0.24</v>
      </c>
      <c r="K778" s="2">
        <v>0.2424</v>
      </c>
      <c r="L778" s="2">
        <v>0.65</v>
      </c>
      <c r="M778" s="2">
        <v>0.1343</v>
      </c>
      <c r="N778" s="2">
        <v>1</v>
      </c>
      <c r="O778" s="2">
        <v>102</v>
      </c>
      <c r="P778" s="2">
        <v>103</v>
      </c>
      <c r="Q778" s="4">
        <f>SUBTOTAL(109,Table6[casual])</f>
        <v>4921</v>
      </c>
      <c r="R778" s="4">
        <f>SUBTOTAL(109,Table6[registered])</f>
        <v>53383</v>
      </c>
      <c r="S778" s="4">
        <f>SUBTOTAL(109,Table6[cnt])</f>
        <v>58304</v>
      </c>
    </row>
    <row r="779" spans="1:19">
      <c r="A779" s="2">
        <v>778</v>
      </c>
      <c r="B779" s="3">
        <v>40578</v>
      </c>
      <c r="C779" s="2">
        <v>1</v>
      </c>
      <c r="D779" s="2">
        <v>0</v>
      </c>
      <c r="E779" s="2">
        <v>2</v>
      </c>
      <c r="F779" s="2">
        <v>20</v>
      </c>
      <c r="G779" s="2" t="b">
        <v>0</v>
      </c>
      <c r="H779" s="2">
        <v>5</v>
      </c>
      <c r="I779" s="2">
        <v>2</v>
      </c>
      <c r="J779" s="2">
        <v>0.24</v>
      </c>
      <c r="K779" s="2">
        <v>0.2424</v>
      </c>
      <c r="L779" s="2">
        <v>0.65</v>
      </c>
      <c r="M779" s="2">
        <v>0.16420000000000001</v>
      </c>
      <c r="N779" s="2">
        <v>2</v>
      </c>
      <c r="O779" s="2">
        <v>69</v>
      </c>
      <c r="P779" s="2">
        <v>71</v>
      </c>
      <c r="Q779" s="4">
        <f>SUBTOTAL(109,Table6[casual])</f>
        <v>4921</v>
      </c>
      <c r="R779" s="4">
        <f>SUBTOTAL(109,Table6[registered])</f>
        <v>53383</v>
      </c>
      <c r="S779" s="4">
        <f>SUBTOTAL(109,Table6[cnt])</f>
        <v>58304</v>
      </c>
    </row>
    <row r="780" spans="1:19">
      <c r="A780" s="2">
        <v>779</v>
      </c>
      <c r="B780" s="3">
        <v>40578</v>
      </c>
      <c r="C780" s="2">
        <v>1</v>
      </c>
      <c r="D780" s="2">
        <v>0</v>
      </c>
      <c r="E780" s="2">
        <v>2</v>
      </c>
      <c r="F780" s="2">
        <v>21</v>
      </c>
      <c r="G780" s="2" t="b">
        <v>0</v>
      </c>
      <c r="H780" s="2">
        <v>5</v>
      </c>
      <c r="I780" s="2">
        <v>2</v>
      </c>
      <c r="J780" s="2">
        <v>0.24</v>
      </c>
      <c r="K780" s="2">
        <v>0.2424</v>
      </c>
      <c r="L780" s="2">
        <v>0.7</v>
      </c>
      <c r="M780" s="2">
        <v>0.16420000000000001</v>
      </c>
      <c r="N780" s="2">
        <v>2</v>
      </c>
      <c r="O780" s="2">
        <v>41</v>
      </c>
      <c r="P780" s="2">
        <v>43</v>
      </c>
      <c r="Q780" s="4">
        <f>SUBTOTAL(109,Table6[casual])</f>
        <v>4921</v>
      </c>
      <c r="R780" s="4">
        <f>SUBTOTAL(109,Table6[registered])</f>
        <v>53383</v>
      </c>
      <c r="S780" s="4">
        <f>SUBTOTAL(109,Table6[cnt])</f>
        <v>58304</v>
      </c>
    </row>
    <row r="781" spans="1:19">
      <c r="A781" s="2">
        <v>780</v>
      </c>
      <c r="B781" s="3">
        <v>40578</v>
      </c>
      <c r="C781" s="2">
        <v>1</v>
      </c>
      <c r="D781" s="2">
        <v>0</v>
      </c>
      <c r="E781" s="2">
        <v>2</v>
      </c>
      <c r="F781" s="2">
        <v>22</v>
      </c>
      <c r="G781" s="2" t="b">
        <v>0</v>
      </c>
      <c r="H781" s="2">
        <v>5</v>
      </c>
      <c r="I781" s="2">
        <v>2</v>
      </c>
      <c r="J781" s="2">
        <v>0.24</v>
      </c>
      <c r="K781" s="2">
        <v>0.2424</v>
      </c>
      <c r="L781" s="2">
        <v>0.65</v>
      </c>
      <c r="M781" s="2">
        <v>0.16420000000000001</v>
      </c>
      <c r="N781" s="2">
        <v>1</v>
      </c>
      <c r="O781" s="2">
        <v>45</v>
      </c>
      <c r="P781" s="2">
        <v>46</v>
      </c>
      <c r="Q781" s="4">
        <f>SUBTOTAL(109,Table6[casual])</f>
        <v>4921</v>
      </c>
      <c r="R781" s="4">
        <f>SUBTOTAL(109,Table6[registered])</f>
        <v>53383</v>
      </c>
      <c r="S781" s="4">
        <f>SUBTOTAL(109,Table6[cnt])</f>
        <v>58304</v>
      </c>
    </row>
    <row r="782" spans="1:19">
      <c r="A782" s="2">
        <v>781</v>
      </c>
      <c r="B782" s="3">
        <v>40578</v>
      </c>
      <c r="C782" s="2">
        <v>1</v>
      </c>
      <c r="D782" s="2">
        <v>0</v>
      </c>
      <c r="E782" s="2">
        <v>2</v>
      </c>
      <c r="F782" s="2">
        <v>23</v>
      </c>
      <c r="G782" s="2" t="b">
        <v>0</v>
      </c>
      <c r="H782" s="2">
        <v>5</v>
      </c>
      <c r="I782" s="2">
        <v>2</v>
      </c>
      <c r="J782" s="2">
        <v>0.24</v>
      </c>
      <c r="K782" s="2">
        <v>0.2424</v>
      </c>
      <c r="L782" s="2">
        <v>0.7</v>
      </c>
      <c r="M782" s="2">
        <v>0.1343</v>
      </c>
      <c r="N782" s="2">
        <v>1</v>
      </c>
      <c r="O782" s="2">
        <v>30</v>
      </c>
      <c r="P782" s="2">
        <v>31</v>
      </c>
      <c r="Q782" s="4">
        <f>SUBTOTAL(109,Table6[casual])</f>
        <v>4921</v>
      </c>
      <c r="R782" s="4">
        <f>SUBTOTAL(109,Table6[registered])</f>
        <v>53383</v>
      </c>
      <c r="S782" s="4">
        <f>SUBTOTAL(109,Table6[cnt])</f>
        <v>58304</v>
      </c>
    </row>
    <row r="783" spans="1:19">
      <c r="A783" s="2">
        <v>782</v>
      </c>
      <c r="B783" s="3">
        <v>40579</v>
      </c>
      <c r="C783" s="2">
        <v>1</v>
      </c>
      <c r="D783" s="2">
        <v>0</v>
      </c>
      <c r="E783" s="2">
        <v>2</v>
      </c>
      <c r="F783" s="2">
        <v>0</v>
      </c>
      <c r="G783" s="2" t="b">
        <v>0</v>
      </c>
      <c r="H783" s="2">
        <v>6</v>
      </c>
      <c r="I783" s="2">
        <v>2</v>
      </c>
      <c r="J783" s="2">
        <v>0.24</v>
      </c>
      <c r="K783" s="2">
        <v>0.2424</v>
      </c>
      <c r="L783" s="2">
        <v>0.7</v>
      </c>
      <c r="M783" s="2">
        <v>0.16420000000000001</v>
      </c>
      <c r="N783" s="2">
        <v>3</v>
      </c>
      <c r="O783" s="2">
        <v>36</v>
      </c>
      <c r="P783" s="2">
        <v>39</v>
      </c>
      <c r="Q783" s="4">
        <f>SUBTOTAL(109,Table6[casual])</f>
        <v>4921</v>
      </c>
      <c r="R783" s="4">
        <f>SUBTOTAL(109,Table6[registered])</f>
        <v>53383</v>
      </c>
      <c r="S783" s="4">
        <f>SUBTOTAL(109,Table6[cnt])</f>
        <v>58304</v>
      </c>
    </row>
    <row r="784" spans="1:19">
      <c r="A784" s="2">
        <v>783</v>
      </c>
      <c r="B784" s="3">
        <v>40579</v>
      </c>
      <c r="C784" s="2">
        <v>1</v>
      </c>
      <c r="D784" s="2">
        <v>0</v>
      </c>
      <c r="E784" s="2">
        <v>2</v>
      </c>
      <c r="F784" s="2">
        <v>1</v>
      </c>
      <c r="G784" s="2" t="b">
        <v>0</v>
      </c>
      <c r="H784" s="2">
        <v>6</v>
      </c>
      <c r="I784" s="2">
        <v>2</v>
      </c>
      <c r="J784" s="2">
        <v>0.24</v>
      </c>
      <c r="K784" s="2">
        <v>0.2424</v>
      </c>
      <c r="L784" s="2">
        <v>0.65</v>
      </c>
      <c r="M784" s="2">
        <v>0.16420000000000001</v>
      </c>
      <c r="N784" s="2">
        <v>1</v>
      </c>
      <c r="O784" s="2">
        <v>17</v>
      </c>
      <c r="P784" s="2">
        <v>18</v>
      </c>
      <c r="Q784" s="4">
        <f>SUBTOTAL(109,Table6[casual])</f>
        <v>4921</v>
      </c>
      <c r="R784" s="4">
        <f>SUBTOTAL(109,Table6[registered])</f>
        <v>53383</v>
      </c>
      <c r="S784" s="4">
        <f>SUBTOTAL(109,Table6[cnt])</f>
        <v>58304</v>
      </c>
    </row>
    <row r="785" spans="1:19">
      <c r="A785" s="2">
        <v>784</v>
      </c>
      <c r="B785" s="3">
        <v>40579</v>
      </c>
      <c r="C785" s="2">
        <v>1</v>
      </c>
      <c r="D785" s="2">
        <v>0</v>
      </c>
      <c r="E785" s="2">
        <v>2</v>
      </c>
      <c r="F785" s="2">
        <v>2</v>
      </c>
      <c r="G785" s="2" t="b">
        <v>0</v>
      </c>
      <c r="H785" s="2">
        <v>6</v>
      </c>
      <c r="I785" s="2">
        <v>2</v>
      </c>
      <c r="J785" s="2">
        <v>0.24</v>
      </c>
      <c r="K785" s="2">
        <v>0.2424</v>
      </c>
      <c r="L785" s="2">
        <v>0.75</v>
      </c>
      <c r="M785" s="2">
        <v>0.16420000000000001</v>
      </c>
      <c r="N785" s="2">
        <v>5</v>
      </c>
      <c r="O785" s="2">
        <v>12</v>
      </c>
      <c r="P785" s="2">
        <v>17</v>
      </c>
      <c r="Q785" s="4">
        <f>SUBTOTAL(109,Table6[casual])</f>
        <v>4921</v>
      </c>
      <c r="R785" s="4">
        <f>SUBTOTAL(109,Table6[registered])</f>
        <v>53383</v>
      </c>
      <c r="S785" s="4">
        <f>SUBTOTAL(109,Table6[cnt])</f>
        <v>58304</v>
      </c>
    </row>
    <row r="786" spans="1:19">
      <c r="A786" s="2">
        <v>785</v>
      </c>
      <c r="B786" s="3">
        <v>40579</v>
      </c>
      <c r="C786" s="2">
        <v>1</v>
      </c>
      <c r="D786" s="2">
        <v>0</v>
      </c>
      <c r="E786" s="2">
        <v>2</v>
      </c>
      <c r="F786" s="2">
        <v>3</v>
      </c>
      <c r="G786" s="2" t="b">
        <v>0</v>
      </c>
      <c r="H786" s="2">
        <v>6</v>
      </c>
      <c r="I786" s="2">
        <v>2</v>
      </c>
      <c r="J786" s="2">
        <v>0.24</v>
      </c>
      <c r="K786" s="2">
        <v>0.2424</v>
      </c>
      <c r="L786" s="2">
        <v>0.75</v>
      </c>
      <c r="M786" s="2">
        <v>0.16420000000000001</v>
      </c>
      <c r="N786" s="2">
        <v>1</v>
      </c>
      <c r="O786" s="2">
        <v>10</v>
      </c>
      <c r="P786" s="2">
        <v>11</v>
      </c>
      <c r="Q786" s="4">
        <f>SUBTOTAL(109,Table6[casual])</f>
        <v>4921</v>
      </c>
      <c r="R786" s="4">
        <f>SUBTOTAL(109,Table6[registered])</f>
        <v>53383</v>
      </c>
      <c r="S786" s="4">
        <f>SUBTOTAL(109,Table6[cnt])</f>
        <v>58304</v>
      </c>
    </row>
    <row r="787" spans="1:19">
      <c r="A787" s="2">
        <v>786</v>
      </c>
      <c r="B787" s="3">
        <v>40579</v>
      </c>
      <c r="C787" s="2">
        <v>1</v>
      </c>
      <c r="D787" s="2">
        <v>0</v>
      </c>
      <c r="E787" s="2">
        <v>2</v>
      </c>
      <c r="F787" s="2">
        <v>4</v>
      </c>
      <c r="G787" s="2" t="b">
        <v>0</v>
      </c>
      <c r="H787" s="2">
        <v>6</v>
      </c>
      <c r="I787" s="2">
        <v>3</v>
      </c>
      <c r="J787" s="2">
        <v>0.22</v>
      </c>
      <c r="K787" s="2">
        <v>0.2273</v>
      </c>
      <c r="L787" s="2">
        <v>0.93</v>
      </c>
      <c r="M787" s="2">
        <v>0.1343</v>
      </c>
      <c r="N787" s="2">
        <v>0</v>
      </c>
      <c r="O787" s="2">
        <v>8</v>
      </c>
      <c r="P787" s="2">
        <v>8</v>
      </c>
      <c r="Q787" s="4">
        <f>SUBTOTAL(109,Table6[casual])</f>
        <v>4921</v>
      </c>
      <c r="R787" s="4">
        <f>SUBTOTAL(109,Table6[registered])</f>
        <v>53383</v>
      </c>
      <c r="S787" s="4">
        <f>SUBTOTAL(109,Table6[cnt])</f>
        <v>58304</v>
      </c>
    </row>
    <row r="788" spans="1:19">
      <c r="A788" s="2">
        <v>787</v>
      </c>
      <c r="B788" s="3">
        <v>40579</v>
      </c>
      <c r="C788" s="2">
        <v>1</v>
      </c>
      <c r="D788" s="2">
        <v>0</v>
      </c>
      <c r="E788" s="2">
        <v>2</v>
      </c>
      <c r="F788" s="2">
        <v>5</v>
      </c>
      <c r="G788" s="2" t="b">
        <v>0</v>
      </c>
      <c r="H788" s="2">
        <v>6</v>
      </c>
      <c r="I788" s="2">
        <v>3</v>
      </c>
      <c r="J788" s="2">
        <v>0.2</v>
      </c>
      <c r="K788" s="2">
        <v>0.2273</v>
      </c>
      <c r="L788" s="2">
        <v>1</v>
      </c>
      <c r="M788" s="2">
        <v>8.9599999999999999E-2</v>
      </c>
      <c r="N788" s="2">
        <v>0</v>
      </c>
      <c r="O788" s="2">
        <v>9</v>
      </c>
      <c r="P788" s="2">
        <v>9</v>
      </c>
      <c r="Q788" s="4">
        <f>SUBTOTAL(109,Table6[casual])</f>
        <v>4921</v>
      </c>
      <c r="R788" s="4">
        <f>SUBTOTAL(109,Table6[registered])</f>
        <v>53383</v>
      </c>
      <c r="S788" s="4">
        <f>SUBTOTAL(109,Table6[cnt])</f>
        <v>58304</v>
      </c>
    </row>
    <row r="789" spans="1:19">
      <c r="A789" s="2">
        <v>788</v>
      </c>
      <c r="B789" s="3">
        <v>40579</v>
      </c>
      <c r="C789" s="2">
        <v>1</v>
      </c>
      <c r="D789" s="2">
        <v>0</v>
      </c>
      <c r="E789" s="2">
        <v>2</v>
      </c>
      <c r="F789" s="2">
        <v>6</v>
      </c>
      <c r="G789" s="2" t="b">
        <v>0</v>
      </c>
      <c r="H789" s="2">
        <v>6</v>
      </c>
      <c r="I789" s="2">
        <v>3</v>
      </c>
      <c r="J789" s="2">
        <v>0.2</v>
      </c>
      <c r="K789" s="2">
        <v>0.2576</v>
      </c>
      <c r="L789" s="2">
        <v>1</v>
      </c>
      <c r="M789" s="2">
        <v>0</v>
      </c>
      <c r="N789" s="2">
        <v>0</v>
      </c>
      <c r="O789" s="2">
        <v>4</v>
      </c>
      <c r="P789" s="2">
        <v>4</v>
      </c>
      <c r="Q789" s="4">
        <f>SUBTOTAL(109,Table6[casual])</f>
        <v>4921</v>
      </c>
      <c r="R789" s="4">
        <f>SUBTOTAL(109,Table6[registered])</f>
        <v>53383</v>
      </c>
      <c r="S789" s="4">
        <f>SUBTOTAL(109,Table6[cnt])</f>
        <v>58304</v>
      </c>
    </row>
    <row r="790" spans="1:19">
      <c r="A790" s="2">
        <v>789</v>
      </c>
      <c r="B790" s="3">
        <v>40579</v>
      </c>
      <c r="C790" s="2">
        <v>1</v>
      </c>
      <c r="D790" s="2">
        <v>0</v>
      </c>
      <c r="E790" s="2">
        <v>2</v>
      </c>
      <c r="F790" s="2">
        <v>7</v>
      </c>
      <c r="G790" s="2" t="b">
        <v>0</v>
      </c>
      <c r="H790" s="2">
        <v>6</v>
      </c>
      <c r="I790" s="2">
        <v>3</v>
      </c>
      <c r="J790" s="2">
        <v>0.22</v>
      </c>
      <c r="K790" s="2">
        <v>0.2576</v>
      </c>
      <c r="L790" s="2">
        <v>0.93</v>
      </c>
      <c r="M790" s="2">
        <v>8.9599999999999999E-2</v>
      </c>
      <c r="N790" s="2">
        <v>0</v>
      </c>
      <c r="O790" s="2">
        <v>4</v>
      </c>
      <c r="P790" s="2">
        <v>4</v>
      </c>
      <c r="Q790" s="4">
        <f>SUBTOTAL(109,Table6[casual])</f>
        <v>4921</v>
      </c>
      <c r="R790" s="4">
        <f>SUBTOTAL(109,Table6[registered])</f>
        <v>53383</v>
      </c>
      <c r="S790" s="4">
        <f>SUBTOTAL(109,Table6[cnt])</f>
        <v>58304</v>
      </c>
    </row>
    <row r="791" spans="1:19">
      <c r="A791" s="2">
        <v>790</v>
      </c>
      <c r="B791" s="3">
        <v>40579</v>
      </c>
      <c r="C791" s="2">
        <v>1</v>
      </c>
      <c r="D791" s="2">
        <v>0</v>
      </c>
      <c r="E791" s="2">
        <v>2</v>
      </c>
      <c r="F791" s="2">
        <v>8</v>
      </c>
      <c r="G791" s="2" t="b">
        <v>0</v>
      </c>
      <c r="H791" s="2">
        <v>6</v>
      </c>
      <c r="I791" s="2">
        <v>3</v>
      </c>
      <c r="J791" s="2">
        <v>0.2</v>
      </c>
      <c r="K791" s="2">
        <v>0.2273</v>
      </c>
      <c r="L791" s="2">
        <v>1</v>
      </c>
      <c r="M791" s="2">
        <v>8.9599999999999999E-2</v>
      </c>
      <c r="N791" s="2">
        <v>0</v>
      </c>
      <c r="O791" s="2">
        <v>10</v>
      </c>
      <c r="P791" s="2">
        <v>10</v>
      </c>
      <c r="Q791" s="4">
        <f>SUBTOTAL(109,Table6[casual])</f>
        <v>4921</v>
      </c>
      <c r="R791" s="4">
        <f>SUBTOTAL(109,Table6[registered])</f>
        <v>53383</v>
      </c>
      <c r="S791" s="4">
        <f>SUBTOTAL(109,Table6[cnt])</f>
        <v>58304</v>
      </c>
    </row>
    <row r="792" spans="1:19">
      <c r="A792" s="2">
        <v>791</v>
      </c>
      <c r="B792" s="3">
        <v>40579</v>
      </c>
      <c r="C792" s="2">
        <v>1</v>
      </c>
      <c r="D792" s="2">
        <v>0</v>
      </c>
      <c r="E792" s="2">
        <v>2</v>
      </c>
      <c r="F792" s="2">
        <v>9</v>
      </c>
      <c r="G792" s="2" t="b">
        <v>0</v>
      </c>
      <c r="H792" s="2">
        <v>6</v>
      </c>
      <c r="I792" s="2">
        <v>3</v>
      </c>
      <c r="J792" s="2">
        <v>0.2</v>
      </c>
      <c r="K792" s="2">
        <v>0.2273</v>
      </c>
      <c r="L792" s="2">
        <v>1</v>
      </c>
      <c r="M792" s="2">
        <v>8.9599999999999999E-2</v>
      </c>
      <c r="N792" s="2">
        <v>3</v>
      </c>
      <c r="O792" s="2">
        <v>17</v>
      </c>
      <c r="P792" s="2">
        <v>20</v>
      </c>
      <c r="Q792" s="4">
        <f>SUBTOTAL(109,Table6[casual])</f>
        <v>4921</v>
      </c>
      <c r="R792" s="4">
        <f>SUBTOTAL(109,Table6[registered])</f>
        <v>53383</v>
      </c>
      <c r="S792" s="4">
        <f>SUBTOTAL(109,Table6[cnt])</f>
        <v>58304</v>
      </c>
    </row>
    <row r="793" spans="1:19">
      <c r="A793" s="2">
        <v>792</v>
      </c>
      <c r="B793" s="3">
        <v>40579</v>
      </c>
      <c r="C793" s="2">
        <v>1</v>
      </c>
      <c r="D793" s="2">
        <v>0</v>
      </c>
      <c r="E793" s="2">
        <v>2</v>
      </c>
      <c r="F793" s="2">
        <v>10</v>
      </c>
      <c r="G793" s="2" t="b">
        <v>0</v>
      </c>
      <c r="H793" s="2">
        <v>6</v>
      </c>
      <c r="I793" s="2">
        <v>3</v>
      </c>
      <c r="J793" s="2">
        <v>0.2</v>
      </c>
      <c r="K793" s="2">
        <v>0.21210000000000001</v>
      </c>
      <c r="L793" s="2">
        <v>1</v>
      </c>
      <c r="M793" s="2">
        <v>0.1343</v>
      </c>
      <c r="N793" s="2">
        <v>3</v>
      </c>
      <c r="O793" s="2">
        <v>31</v>
      </c>
      <c r="P793" s="2">
        <v>34</v>
      </c>
      <c r="Q793" s="4">
        <f>SUBTOTAL(109,Table6[casual])</f>
        <v>4921</v>
      </c>
      <c r="R793" s="4">
        <f>SUBTOTAL(109,Table6[registered])</f>
        <v>53383</v>
      </c>
      <c r="S793" s="4">
        <f>SUBTOTAL(109,Table6[cnt])</f>
        <v>58304</v>
      </c>
    </row>
    <row r="794" spans="1:19">
      <c r="A794" s="2">
        <v>793</v>
      </c>
      <c r="B794" s="3">
        <v>40579</v>
      </c>
      <c r="C794" s="2">
        <v>1</v>
      </c>
      <c r="D794" s="2">
        <v>0</v>
      </c>
      <c r="E794" s="2">
        <v>2</v>
      </c>
      <c r="F794" s="2">
        <v>11</v>
      </c>
      <c r="G794" s="2" t="b">
        <v>0</v>
      </c>
      <c r="H794" s="2">
        <v>6</v>
      </c>
      <c r="I794" s="2">
        <v>3</v>
      </c>
      <c r="J794" s="2">
        <v>0.22</v>
      </c>
      <c r="K794" s="2">
        <v>0.2273</v>
      </c>
      <c r="L794" s="2">
        <v>1</v>
      </c>
      <c r="M794" s="2">
        <v>0.1343</v>
      </c>
      <c r="N794" s="2">
        <v>1</v>
      </c>
      <c r="O794" s="2">
        <v>46</v>
      </c>
      <c r="P794" s="2">
        <v>47</v>
      </c>
      <c r="Q794" s="4">
        <f>SUBTOTAL(109,Table6[casual])</f>
        <v>4921</v>
      </c>
      <c r="R794" s="4">
        <f>SUBTOTAL(109,Table6[registered])</f>
        <v>53383</v>
      </c>
      <c r="S794" s="4">
        <f>SUBTOTAL(109,Table6[cnt])</f>
        <v>58304</v>
      </c>
    </row>
    <row r="795" spans="1:19">
      <c r="A795" s="2">
        <v>794</v>
      </c>
      <c r="B795" s="3">
        <v>40579</v>
      </c>
      <c r="C795" s="2">
        <v>1</v>
      </c>
      <c r="D795" s="2">
        <v>0</v>
      </c>
      <c r="E795" s="2">
        <v>2</v>
      </c>
      <c r="F795" s="2">
        <v>12</v>
      </c>
      <c r="G795" s="2" t="b">
        <v>0</v>
      </c>
      <c r="H795" s="2">
        <v>6</v>
      </c>
      <c r="I795" s="2">
        <v>3</v>
      </c>
      <c r="J795" s="2">
        <v>0.22</v>
      </c>
      <c r="K795" s="2">
        <v>0.2273</v>
      </c>
      <c r="L795" s="2">
        <v>1</v>
      </c>
      <c r="M795" s="2">
        <v>0.16420000000000001</v>
      </c>
      <c r="N795" s="2">
        <v>10</v>
      </c>
      <c r="O795" s="2">
        <v>42</v>
      </c>
      <c r="P795" s="2">
        <v>52</v>
      </c>
      <c r="Q795" s="4">
        <f>SUBTOTAL(109,Table6[casual])</f>
        <v>4921</v>
      </c>
      <c r="R795" s="4">
        <f>SUBTOTAL(109,Table6[registered])</f>
        <v>53383</v>
      </c>
      <c r="S795" s="4">
        <f>SUBTOTAL(109,Table6[cnt])</f>
        <v>58304</v>
      </c>
    </row>
    <row r="796" spans="1:19">
      <c r="A796" s="2">
        <v>795</v>
      </c>
      <c r="B796" s="3">
        <v>40579</v>
      </c>
      <c r="C796" s="2">
        <v>1</v>
      </c>
      <c r="D796" s="2">
        <v>0</v>
      </c>
      <c r="E796" s="2">
        <v>2</v>
      </c>
      <c r="F796" s="2">
        <v>13</v>
      </c>
      <c r="G796" s="2" t="b">
        <v>0</v>
      </c>
      <c r="H796" s="2">
        <v>6</v>
      </c>
      <c r="I796" s="2">
        <v>3</v>
      </c>
      <c r="J796" s="2">
        <v>0.22</v>
      </c>
      <c r="K796" s="2">
        <v>0.2273</v>
      </c>
      <c r="L796" s="2">
        <v>1</v>
      </c>
      <c r="M796" s="2">
        <v>0.16420000000000001</v>
      </c>
      <c r="N796" s="2">
        <v>10</v>
      </c>
      <c r="O796" s="2">
        <v>62</v>
      </c>
      <c r="P796" s="2">
        <v>72</v>
      </c>
      <c r="Q796" s="4">
        <f>SUBTOTAL(109,Table6[casual])</f>
        <v>4921</v>
      </c>
      <c r="R796" s="4">
        <f>SUBTOTAL(109,Table6[registered])</f>
        <v>53383</v>
      </c>
      <c r="S796" s="4">
        <f>SUBTOTAL(109,Table6[cnt])</f>
        <v>58304</v>
      </c>
    </row>
    <row r="797" spans="1:19">
      <c r="A797" s="2">
        <v>796</v>
      </c>
      <c r="B797" s="3">
        <v>40579</v>
      </c>
      <c r="C797" s="2">
        <v>1</v>
      </c>
      <c r="D797" s="2">
        <v>0</v>
      </c>
      <c r="E797" s="2">
        <v>2</v>
      </c>
      <c r="F797" s="2">
        <v>14</v>
      </c>
      <c r="G797" s="2" t="b">
        <v>0</v>
      </c>
      <c r="H797" s="2">
        <v>6</v>
      </c>
      <c r="I797" s="2">
        <v>3</v>
      </c>
      <c r="J797" s="2">
        <v>0.22</v>
      </c>
      <c r="K797" s="2">
        <v>0.2727</v>
      </c>
      <c r="L797" s="2">
        <v>1</v>
      </c>
      <c r="M797" s="2">
        <v>0</v>
      </c>
      <c r="N797" s="2">
        <v>5</v>
      </c>
      <c r="O797" s="2">
        <v>50</v>
      </c>
      <c r="P797" s="2">
        <v>55</v>
      </c>
      <c r="Q797" s="4">
        <f>SUBTOTAL(109,Table6[casual])</f>
        <v>4921</v>
      </c>
      <c r="R797" s="4">
        <f>SUBTOTAL(109,Table6[registered])</f>
        <v>53383</v>
      </c>
      <c r="S797" s="4">
        <f>SUBTOTAL(109,Table6[cnt])</f>
        <v>58304</v>
      </c>
    </row>
    <row r="798" spans="1:19">
      <c r="A798" s="2">
        <v>797</v>
      </c>
      <c r="B798" s="3">
        <v>40579</v>
      </c>
      <c r="C798" s="2">
        <v>1</v>
      </c>
      <c r="D798" s="2">
        <v>0</v>
      </c>
      <c r="E798" s="2">
        <v>2</v>
      </c>
      <c r="F798" s="2">
        <v>15</v>
      </c>
      <c r="G798" s="2" t="b">
        <v>0</v>
      </c>
      <c r="H798" s="2">
        <v>6</v>
      </c>
      <c r="I798" s="2">
        <v>3</v>
      </c>
      <c r="J798" s="2">
        <v>0.22</v>
      </c>
      <c r="K798" s="2">
        <v>0.2727</v>
      </c>
      <c r="L798" s="2">
        <v>1</v>
      </c>
      <c r="M798" s="2">
        <v>0</v>
      </c>
      <c r="N798" s="2">
        <v>11</v>
      </c>
      <c r="O798" s="2">
        <v>49</v>
      </c>
      <c r="P798" s="2">
        <v>60</v>
      </c>
      <c r="Q798" s="4">
        <f>SUBTOTAL(109,Table6[casual])</f>
        <v>4921</v>
      </c>
      <c r="R798" s="4">
        <f>SUBTOTAL(109,Table6[registered])</f>
        <v>53383</v>
      </c>
      <c r="S798" s="4">
        <f>SUBTOTAL(109,Table6[cnt])</f>
        <v>58304</v>
      </c>
    </row>
    <row r="799" spans="1:19">
      <c r="A799" s="2">
        <v>798</v>
      </c>
      <c r="B799" s="3">
        <v>40579</v>
      </c>
      <c r="C799" s="2">
        <v>1</v>
      </c>
      <c r="D799" s="2">
        <v>0</v>
      </c>
      <c r="E799" s="2">
        <v>2</v>
      </c>
      <c r="F799" s="2">
        <v>16</v>
      </c>
      <c r="G799" s="2" t="b">
        <v>0</v>
      </c>
      <c r="H799" s="2">
        <v>6</v>
      </c>
      <c r="I799" s="2">
        <v>3</v>
      </c>
      <c r="J799" s="2">
        <v>0.22</v>
      </c>
      <c r="K799" s="2">
        <v>0.2273</v>
      </c>
      <c r="L799" s="2">
        <v>1</v>
      </c>
      <c r="M799" s="2">
        <v>0.1343</v>
      </c>
      <c r="N799" s="2">
        <v>8</v>
      </c>
      <c r="O799" s="2">
        <v>63</v>
      </c>
      <c r="P799" s="2">
        <v>71</v>
      </c>
      <c r="Q799" s="4">
        <f>SUBTOTAL(109,Table6[casual])</f>
        <v>4921</v>
      </c>
      <c r="R799" s="4">
        <f>SUBTOTAL(109,Table6[registered])</f>
        <v>53383</v>
      </c>
      <c r="S799" s="4">
        <f>SUBTOTAL(109,Table6[cnt])</f>
        <v>58304</v>
      </c>
    </row>
    <row r="800" spans="1:19">
      <c r="A800" s="2">
        <v>799</v>
      </c>
      <c r="B800" s="3">
        <v>40579</v>
      </c>
      <c r="C800" s="2">
        <v>1</v>
      </c>
      <c r="D800" s="2">
        <v>0</v>
      </c>
      <c r="E800" s="2">
        <v>2</v>
      </c>
      <c r="F800" s="2">
        <v>17</v>
      </c>
      <c r="G800" s="2" t="b">
        <v>0</v>
      </c>
      <c r="H800" s="2">
        <v>6</v>
      </c>
      <c r="I800" s="2">
        <v>2</v>
      </c>
      <c r="J800" s="2">
        <v>0.24</v>
      </c>
      <c r="K800" s="2">
        <v>0.21210000000000001</v>
      </c>
      <c r="L800" s="2">
        <v>1</v>
      </c>
      <c r="M800" s="2">
        <v>0.28360000000000002</v>
      </c>
      <c r="N800" s="2">
        <v>14</v>
      </c>
      <c r="O800" s="2">
        <v>64</v>
      </c>
      <c r="P800" s="2">
        <v>78</v>
      </c>
      <c r="Q800" s="4">
        <f>SUBTOTAL(109,Table6[casual])</f>
        <v>4921</v>
      </c>
      <c r="R800" s="4">
        <f>SUBTOTAL(109,Table6[registered])</f>
        <v>53383</v>
      </c>
      <c r="S800" s="4">
        <f>SUBTOTAL(109,Table6[cnt])</f>
        <v>58304</v>
      </c>
    </row>
    <row r="801" spans="1:19">
      <c r="A801" s="2">
        <v>800</v>
      </c>
      <c r="B801" s="3">
        <v>40579</v>
      </c>
      <c r="C801" s="2">
        <v>1</v>
      </c>
      <c r="D801" s="2">
        <v>0</v>
      </c>
      <c r="E801" s="2">
        <v>2</v>
      </c>
      <c r="F801" s="2">
        <v>18</v>
      </c>
      <c r="G801" s="2" t="b">
        <v>0</v>
      </c>
      <c r="H801" s="2">
        <v>6</v>
      </c>
      <c r="I801" s="2">
        <v>2</v>
      </c>
      <c r="J801" s="2">
        <v>0.28000000000000003</v>
      </c>
      <c r="K801" s="2">
        <v>0.2424</v>
      </c>
      <c r="L801" s="2">
        <v>0.93</v>
      </c>
      <c r="M801" s="2">
        <v>0.44779999999999998</v>
      </c>
      <c r="N801" s="2">
        <v>2</v>
      </c>
      <c r="O801" s="2">
        <v>81</v>
      </c>
      <c r="P801" s="2">
        <v>83</v>
      </c>
      <c r="Q801" s="4">
        <f>SUBTOTAL(109,Table6[casual])</f>
        <v>4921</v>
      </c>
      <c r="R801" s="4">
        <f>SUBTOTAL(109,Table6[registered])</f>
        <v>53383</v>
      </c>
      <c r="S801" s="4">
        <f>SUBTOTAL(109,Table6[cnt])</f>
        <v>58304</v>
      </c>
    </row>
    <row r="802" spans="1:19">
      <c r="A802" s="2">
        <v>801</v>
      </c>
      <c r="B802" s="3">
        <v>40579</v>
      </c>
      <c r="C802" s="2">
        <v>1</v>
      </c>
      <c r="D802" s="2">
        <v>0</v>
      </c>
      <c r="E802" s="2">
        <v>2</v>
      </c>
      <c r="F802" s="2">
        <v>19</v>
      </c>
      <c r="G802" s="2" t="b">
        <v>0</v>
      </c>
      <c r="H802" s="2">
        <v>6</v>
      </c>
      <c r="I802" s="2">
        <v>2</v>
      </c>
      <c r="J802" s="2">
        <v>0.28000000000000003</v>
      </c>
      <c r="K802" s="2">
        <v>0.2424</v>
      </c>
      <c r="L802" s="2">
        <v>0.93</v>
      </c>
      <c r="M802" s="2">
        <v>0.44779999999999998</v>
      </c>
      <c r="N802" s="2">
        <v>6</v>
      </c>
      <c r="O802" s="2">
        <v>78</v>
      </c>
      <c r="P802" s="2">
        <v>84</v>
      </c>
      <c r="Q802" s="4">
        <f>SUBTOTAL(109,Table6[casual])</f>
        <v>4921</v>
      </c>
      <c r="R802" s="4">
        <f>SUBTOTAL(109,Table6[registered])</f>
        <v>53383</v>
      </c>
      <c r="S802" s="4">
        <f>SUBTOTAL(109,Table6[cnt])</f>
        <v>58304</v>
      </c>
    </row>
    <row r="803" spans="1:19">
      <c r="A803" s="2">
        <v>802</v>
      </c>
      <c r="B803" s="3">
        <v>40579</v>
      </c>
      <c r="C803" s="2">
        <v>1</v>
      </c>
      <c r="D803" s="2">
        <v>0</v>
      </c>
      <c r="E803" s="2">
        <v>2</v>
      </c>
      <c r="F803" s="2">
        <v>20</v>
      </c>
      <c r="G803" s="2" t="b">
        <v>0</v>
      </c>
      <c r="H803" s="2">
        <v>6</v>
      </c>
      <c r="I803" s="2">
        <v>1</v>
      </c>
      <c r="J803" s="2">
        <v>0.3</v>
      </c>
      <c r="K803" s="2">
        <v>0.28789999999999999</v>
      </c>
      <c r="L803" s="2">
        <v>0.87</v>
      </c>
      <c r="M803" s="2">
        <v>0.25369999999999998</v>
      </c>
      <c r="N803" s="2">
        <v>5</v>
      </c>
      <c r="O803" s="2">
        <v>64</v>
      </c>
      <c r="P803" s="2">
        <v>69</v>
      </c>
      <c r="Q803" s="4">
        <f>SUBTOTAL(109,Table6[casual])</f>
        <v>4921</v>
      </c>
      <c r="R803" s="4">
        <f>SUBTOTAL(109,Table6[registered])</f>
        <v>53383</v>
      </c>
      <c r="S803" s="4">
        <f>SUBTOTAL(109,Table6[cnt])</f>
        <v>58304</v>
      </c>
    </row>
    <row r="804" spans="1:19">
      <c r="A804" s="2">
        <v>803</v>
      </c>
      <c r="B804" s="3">
        <v>40579</v>
      </c>
      <c r="C804" s="2">
        <v>1</v>
      </c>
      <c r="D804" s="2">
        <v>0</v>
      </c>
      <c r="E804" s="2">
        <v>2</v>
      </c>
      <c r="F804" s="2">
        <v>21</v>
      </c>
      <c r="G804" s="2" t="b">
        <v>0</v>
      </c>
      <c r="H804" s="2">
        <v>6</v>
      </c>
      <c r="I804" s="2">
        <v>1</v>
      </c>
      <c r="J804" s="2">
        <v>0.26</v>
      </c>
      <c r="K804" s="2">
        <v>0.2576</v>
      </c>
      <c r="L804" s="2">
        <v>1</v>
      </c>
      <c r="M804" s="2">
        <v>0.19400000000000001</v>
      </c>
      <c r="N804" s="2">
        <v>3</v>
      </c>
      <c r="O804" s="2">
        <v>53</v>
      </c>
      <c r="P804" s="2">
        <v>56</v>
      </c>
      <c r="Q804" s="4">
        <f>SUBTOTAL(109,Table6[casual])</f>
        <v>4921</v>
      </c>
      <c r="R804" s="4">
        <f>SUBTOTAL(109,Table6[registered])</f>
        <v>53383</v>
      </c>
      <c r="S804" s="4">
        <f>SUBTOTAL(109,Table6[cnt])</f>
        <v>58304</v>
      </c>
    </row>
    <row r="805" spans="1:19">
      <c r="A805" s="2">
        <v>804</v>
      </c>
      <c r="B805" s="3">
        <v>40579</v>
      </c>
      <c r="C805" s="2">
        <v>1</v>
      </c>
      <c r="D805" s="2">
        <v>0</v>
      </c>
      <c r="E805" s="2">
        <v>2</v>
      </c>
      <c r="F805" s="2">
        <v>22</v>
      </c>
      <c r="G805" s="2" t="b">
        <v>0</v>
      </c>
      <c r="H805" s="2">
        <v>6</v>
      </c>
      <c r="I805" s="2">
        <v>1</v>
      </c>
      <c r="J805" s="2">
        <v>0.26</v>
      </c>
      <c r="K805" s="2">
        <v>0.2727</v>
      </c>
      <c r="L805" s="2">
        <v>0.93</v>
      </c>
      <c r="M805" s="2">
        <v>0.1343</v>
      </c>
      <c r="N805" s="2">
        <v>2</v>
      </c>
      <c r="O805" s="2">
        <v>43</v>
      </c>
      <c r="P805" s="2">
        <v>45</v>
      </c>
      <c r="Q805" s="4">
        <f>SUBTOTAL(109,Table6[casual])</f>
        <v>4921</v>
      </c>
      <c r="R805" s="4">
        <f>SUBTOTAL(109,Table6[registered])</f>
        <v>53383</v>
      </c>
      <c r="S805" s="4">
        <f>SUBTOTAL(109,Table6[cnt])</f>
        <v>58304</v>
      </c>
    </row>
    <row r="806" spans="1:19">
      <c r="A806" s="2">
        <v>805</v>
      </c>
      <c r="B806" s="3">
        <v>40579</v>
      </c>
      <c r="C806" s="2">
        <v>1</v>
      </c>
      <c r="D806" s="2">
        <v>0</v>
      </c>
      <c r="E806" s="2">
        <v>2</v>
      </c>
      <c r="F806" s="2">
        <v>23</v>
      </c>
      <c r="G806" s="2" t="b">
        <v>0</v>
      </c>
      <c r="H806" s="2">
        <v>6</v>
      </c>
      <c r="I806" s="2">
        <v>1</v>
      </c>
      <c r="J806" s="2">
        <v>0.26</v>
      </c>
      <c r="K806" s="2">
        <v>0.2576</v>
      </c>
      <c r="L806" s="2">
        <v>0.93</v>
      </c>
      <c r="M806" s="2">
        <v>0.22389999999999999</v>
      </c>
      <c r="N806" s="2">
        <v>7</v>
      </c>
      <c r="O806" s="2">
        <v>52</v>
      </c>
      <c r="P806" s="2">
        <v>59</v>
      </c>
      <c r="Q806" s="4">
        <f>SUBTOTAL(109,Table6[casual])</f>
        <v>4921</v>
      </c>
      <c r="R806" s="4">
        <f>SUBTOTAL(109,Table6[registered])</f>
        <v>53383</v>
      </c>
      <c r="S806" s="4">
        <f>SUBTOTAL(109,Table6[cnt])</f>
        <v>58304</v>
      </c>
    </row>
    <row r="807" spans="1:19">
      <c r="A807" s="2">
        <v>806</v>
      </c>
      <c r="B807" s="3">
        <v>40580</v>
      </c>
      <c r="C807" s="2">
        <v>1</v>
      </c>
      <c r="D807" s="2">
        <v>0</v>
      </c>
      <c r="E807" s="2">
        <v>2</v>
      </c>
      <c r="F807" s="2">
        <v>0</v>
      </c>
      <c r="G807" s="2" t="b">
        <v>0</v>
      </c>
      <c r="H807" s="2">
        <v>0</v>
      </c>
      <c r="I807" s="2">
        <v>1</v>
      </c>
      <c r="J807" s="2">
        <v>0.26</v>
      </c>
      <c r="K807" s="2">
        <v>0.2576</v>
      </c>
      <c r="L807" s="2">
        <v>0.7</v>
      </c>
      <c r="M807" s="2">
        <v>0.19400000000000001</v>
      </c>
      <c r="N807" s="2">
        <v>2</v>
      </c>
      <c r="O807" s="2">
        <v>37</v>
      </c>
      <c r="P807" s="2">
        <v>39</v>
      </c>
      <c r="Q807" s="4">
        <f>SUBTOTAL(109,Table6[casual])</f>
        <v>4921</v>
      </c>
      <c r="R807" s="4">
        <f>SUBTOTAL(109,Table6[registered])</f>
        <v>53383</v>
      </c>
      <c r="S807" s="4">
        <f>SUBTOTAL(109,Table6[cnt])</f>
        <v>58304</v>
      </c>
    </row>
    <row r="808" spans="1:19">
      <c r="A808" s="2">
        <v>807</v>
      </c>
      <c r="B808" s="3">
        <v>40580</v>
      </c>
      <c r="C808" s="2">
        <v>1</v>
      </c>
      <c r="D808" s="2">
        <v>0</v>
      </c>
      <c r="E808" s="2">
        <v>2</v>
      </c>
      <c r="F808" s="2">
        <v>1</v>
      </c>
      <c r="G808" s="2" t="b">
        <v>0</v>
      </c>
      <c r="H808" s="2">
        <v>0</v>
      </c>
      <c r="I808" s="2">
        <v>1</v>
      </c>
      <c r="J808" s="2">
        <v>0.26</v>
      </c>
      <c r="K808" s="2">
        <v>0.2273</v>
      </c>
      <c r="L808" s="2">
        <v>0.65</v>
      </c>
      <c r="M808" s="2">
        <v>0.41789999999999999</v>
      </c>
      <c r="N808" s="2">
        <v>4</v>
      </c>
      <c r="O808" s="2">
        <v>40</v>
      </c>
      <c r="P808" s="2">
        <v>44</v>
      </c>
      <c r="Q808" s="4">
        <f>SUBTOTAL(109,Table6[casual])</f>
        <v>4921</v>
      </c>
      <c r="R808" s="4">
        <f>SUBTOTAL(109,Table6[registered])</f>
        <v>53383</v>
      </c>
      <c r="S808" s="4">
        <f>SUBTOTAL(109,Table6[cnt])</f>
        <v>58304</v>
      </c>
    </row>
    <row r="809" spans="1:19">
      <c r="A809" s="2">
        <v>808</v>
      </c>
      <c r="B809" s="3">
        <v>40580</v>
      </c>
      <c r="C809" s="2">
        <v>1</v>
      </c>
      <c r="D809" s="2">
        <v>0</v>
      </c>
      <c r="E809" s="2">
        <v>2</v>
      </c>
      <c r="F809" s="2">
        <v>2</v>
      </c>
      <c r="G809" s="2" t="b">
        <v>0</v>
      </c>
      <c r="H809" s="2">
        <v>0</v>
      </c>
      <c r="I809" s="2">
        <v>1</v>
      </c>
      <c r="J809" s="2">
        <v>0.26</v>
      </c>
      <c r="K809" s="2">
        <v>0.2273</v>
      </c>
      <c r="L809" s="2">
        <v>0.6</v>
      </c>
      <c r="M809" s="2">
        <v>0.32840000000000003</v>
      </c>
      <c r="N809" s="2">
        <v>0</v>
      </c>
      <c r="O809" s="2">
        <v>20</v>
      </c>
      <c r="P809" s="2">
        <v>20</v>
      </c>
      <c r="Q809" s="4">
        <f>SUBTOTAL(109,Table6[casual])</f>
        <v>4921</v>
      </c>
      <c r="R809" s="4">
        <f>SUBTOTAL(109,Table6[registered])</f>
        <v>53383</v>
      </c>
      <c r="S809" s="4">
        <f>SUBTOTAL(109,Table6[cnt])</f>
        <v>58304</v>
      </c>
    </row>
    <row r="810" spans="1:19">
      <c r="A810" s="2">
        <v>809</v>
      </c>
      <c r="B810" s="3">
        <v>40580</v>
      </c>
      <c r="C810" s="2">
        <v>1</v>
      </c>
      <c r="D810" s="2">
        <v>0</v>
      </c>
      <c r="E810" s="2">
        <v>2</v>
      </c>
      <c r="F810" s="2">
        <v>3</v>
      </c>
      <c r="G810" s="2" t="b">
        <v>0</v>
      </c>
      <c r="H810" s="2">
        <v>0</v>
      </c>
      <c r="I810" s="2">
        <v>1</v>
      </c>
      <c r="J810" s="2">
        <v>0.26</v>
      </c>
      <c r="K810" s="2">
        <v>0.28789999999999999</v>
      </c>
      <c r="L810" s="2">
        <v>0.6</v>
      </c>
      <c r="M810" s="2">
        <v>8.9599999999999999E-2</v>
      </c>
      <c r="N810" s="2">
        <v>3</v>
      </c>
      <c r="O810" s="2">
        <v>10</v>
      </c>
      <c r="P810" s="2">
        <v>13</v>
      </c>
      <c r="Q810" s="4">
        <f>SUBTOTAL(109,Table6[casual])</f>
        <v>4921</v>
      </c>
      <c r="R810" s="4">
        <f>SUBTOTAL(109,Table6[registered])</f>
        <v>53383</v>
      </c>
      <c r="S810" s="4">
        <f>SUBTOTAL(109,Table6[cnt])</f>
        <v>58304</v>
      </c>
    </row>
    <row r="811" spans="1:19">
      <c r="A811" s="2">
        <v>810</v>
      </c>
      <c r="B811" s="3">
        <v>40580</v>
      </c>
      <c r="C811" s="2">
        <v>1</v>
      </c>
      <c r="D811" s="2">
        <v>0</v>
      </c>
      <c r="E811" s="2">
        <v>2</v>
      </c>
      <c r="F811" s="2">
        <v>4</v>
      </c>
      <c r="G811" s="2" t="b">
        <v>0</v>
      </c>
      <c r="H811" s="2">
        <v>0</v>
      </c>
      <c r="I811" s="2">
        <v>1</v>
      </c>
      <c r="J811" s="2">
        <v>0.26</v>
      </c>
      <c r="K811" s="2">
        <v>0.2273</v>
      </c>
      <c r="L811" s="2">
        <v>0.6</v>
      </c>
      <c r="M811" s="2">
        <v>0.35820000000000002</v>
      </c>
      <c r="N811" s="2">
        <v>0</v>
      </c>
      <c r="O811" s="2">
        <v>2</v>
      </c>
      <c r="P811" s="2">
        <v>2</v>
      </c>
      <c r="Q811" s="4">
        <f>SUBTOTAL(109,Table6[casual])</f>
        <v>4921</v>
      </c>
      <c r="R811" s="4">
        <f>SUBTOTAL(109,Table6[registered])</f>
        <v>53383</v>
      </c>
      <c r="S811" s="4">
        <f>SUBTOTAL(109,Table6[cnt])</f>
        <v>58304</v>
      </c>
    </row>
    <row r="812" spans="1:19">
      <c r="A812" s="2">
        <v>811</v>
      </c>
      <c r="B812" s="3">
        <v>40580</v>
      </c>
      <c r="C812" s="2">
        <v>1</v>
      </c>
      <c r="D812" s="2">
        <v>0</v>
      </c>
      <c r="E812" s="2">
        <v>2</v>
      </c>
      <c r="F812" s="2">
        <v>5</v>
      </c>
      <c r="G812" s="2" t="b">
        <v>0</v>
      </c>
      <c r="H812" s="2">
        <v>0</v>
      </c>
      <c r="I812" s="2">
        <v>1</v>
      </c>
      <c r="J812" s="2">
        <v>0.26</v>
      </c>
      <c r="K812" s="2">
        <v>0.2576</v>
      </c>
      <c r="L812" s="2">
        <v>0.6</v>
      </c>
      <c r="M812" s="2">
        <v>0.22389999999999999</v>
      </c>
      <c r="N812" s="2">
        <v>0</v>
      </c>
      <c r="O812" s="2">
        <v>1</v>
      </c>
      <c r="P812" s="2">
        <v>1</v>
      </c>
      <c r="Q812" s="4">
        <f>SUBTOTAL(109,Table6[casual])</f>
        <v>4921</v>
      </c>
      <c r="R812" s="4">
        <f>SUBTOTAL(109,Table6[registered])</f>
        <v>53383</v>
      </c>
      <c r="S812" s="4">
        <f>SUBTOTAL(109,Table6[cnt])</f>
        <v>58304</v>
      </c>
    </row>
    <row r="813" spans="1:19">
      <c r="A813" s="2">
        <v>812</v>
      </c>
      <c r="B813" s="3">
        <v>40580</v>
      </c>
      <c r="C813" s="2">
        <v>1</v>
      </c>
      <c r="D813" s="2">
        <v>0</v>
      </c>
      <c r="E813" s="2">
        <v>2</v>
      </c>
      <c r="F813" s="2">
        <v>6</v>
      </c>
      <c r="G813" s="2" t="b">
        <v>0</v>
      </c>
      <c r="H813" s="2">
        <v>0</v>
      </c>
      <c r="I813" s="2">
        <v>1</v>
      </c>
      <c r="J813" s="2">
        <v>0.26</v>
      </c>
      <c r="K813" s="2">
        <v>0.2576</v>
      </c>
      <c r="L813" s="2">
        <v>0.6</v>
      </c>
      <c r="M813" s="2">
        <v>0.22389999999999999</v>
      </c>
      <c r="N813" s="2">
        <v>0</v>
      </c>
      <c r="O813" s="2">
        <v>1</v>
      </c>
      <c r="P813" s="2">
        <v>1</v>
      </c>
      <c r="Q813" s="4">
        <f>SUBTOTAL(109,Table6[casual])</f>
        <v>4921</v>
      </c>
      <c r="R813" s="4">
        <f>SUBTOTAL(109,Table6[registered])</f>
        <v>53383</v>
      </c>
      <c r="S813" s="4">
        <f>SUBTOTAL(109,Table6[cnt])</f>
        <v>58304</v>
      </c>
    </row>
    <row r="814" spans="1:19">
      <c r="A814" s="2">
        <v>813</v>
      </c>
      <c r="B814" s="3">
        <v>40580</v>
      </c>
      <c r="C814" s="2">
        <v>1</v>
      </c>
      <c r="D814" s="2">
        <v>0</v>
      </c>
      <c r="E814" s="2">
        <v>2</v>
      </c>
      <c r="F814" s="2">
        <v>7</v>
      </c>
      <c r="G814" s="2" t="b">
        <v>0</v>
      </c>
      <c r="H814" s="2">
        <v>0</v>
      </c>
      <c r="I814" s="2">
        <v>1</v>
      </c>
      <c r="J814" s="2">
        <v>0.24</v>
      </c>
      <c r="K814" s="2">
        <v>0.2424</v>
      </c>
      <c r="L814" s="2">
        <v>0.65</v>
      </c>
      <c r="M814" s="2">
        <v>0.16420000000000001</v>
      </c>
      <c r="N814" s="2">
        <v>0</v>
      </c>
      <c r="O814" s="2">
        <v>8</v>
      </c>
      <c r="P814" s="2">
        <v>8</v>
      </c>
      <c r="Q814" s="4">
        <f>SUBTOTAL(109,Table6[casual])</f>
        <v>4921</v>
      </c>
      <c r="R814" s="4">
        <f>SUBTOTAL(109,Table6[registered])</f>
        <v>53383</v>
      </c>
      <c r="S814" s="4">
        <f>SUBTOTAL(109,Table6[cnt])</f>
        <v>58304</v>
      </c>
    </row>
    <row r="815" spans="1:19">
      <c r="A815" s="2">
        <v>814</v>
      </c>
      <c r="B815" s="3">
        <v>40580</v>
      </c>
      <c r="C815" s="2">
        <v>1</v>
      </c>
      <c r="D815" s="2">
        <v>0</v>
      </c>
      <c r="E815" s="2">
        <v>2</v>
      </c>
      <c r="F815" s="2">
        <v>8</v>
      </c>
      <c r="G815" s="2" t="b">
        <v>0</v>
      </c>
      <c r="H815" s="2">
        <v>0</v>
      </c>
      <c r="I815" s="2">
        <v>1</v>
      </c>
      <c r="J815" s="2">
        <v>0.24</v>
      </c>
      <c r="K815" s="2">
        <v>0.2576</v>
      </c>
      <c r="L815" s="2">
        <v>0.65</v>
      </c>
      <c r="M815" s="2">
        <v>0.1045</v>
      </c>
      <c r="N815" s="2">
        <v>2</v>
      </c>
      <c r="O815" s="2">
        <v>21</v>
      </c>
      <c r="P815" s="2">
        <v>23</v>
      </c>
      <c r="Q815" s="4">
        <f>SUBTOTAL(109,Table6[casual])</f>
        <v>4921</v>
      </c>
      <c r="R815" s="4">
        <f>SUBTOTAL(109,Table6[registered])</f>
        <v>53383</v>
      </c>
      <c r="S815" s="4">
        <f>SUBTOTAL(109,Table6[cnt])</f>
        <v>58304</v>
      </c>
    </row>
    <row r="816" spans="1:19">
      <c r="A816" s="2">
        <v>815</v>
      </c>
      <c r="B816" s="3">
        <v>40580</v>
      </c>
      <c r="C816" s="2">
        <v>1</v>
      </c>
      <c r="D816" s="2">
        <v>0</v>
      </c>
      <c r="E816" s="2">
        <v>2</v>
      </c>
      <c r="F816" s="2">
        <v>9</v>
      </c>
      <c r="G816" s="2" t="b">
        <v>0</v>
      </c>
      <c r="H816" s="2">
        <v>0</v>
      </c>
      <c r="I816" s="2">
        <v>1</v>
      </c>
      <c r="J816" s="2">
        <v>0.28000000000000003</v>
      </c>
      <c r="K816" s="2">
        <v>0.28789999999999999</v>
      </c>
      <c r="L816" s="2">
        <v>0.56000000000000005</v>
      </c>
      <c r="M816" s="2">
        <v>0.1045</v>
      </c>
      <c r="N816" s="2">
        <v>7</v>
      </c>
      <c r="O816" s="2">
        <v>38</v>
      </c>
      <c r="P816" s="2">
        <v>45</v>
      </c>
      <c r="Q816" s="4">
        <f>SUBTOTAL(109,Table6[casual])</f>
        <v>4921</v>
      </c>
      <c r="R816" s="4">
        <f>SUBTOTAL(109,Table6[registered])</f>
        <v>53383</v>
      </c>
      <c r="S816" s="4">
        <f>SUBTOTAL(109,Table6[cnt])</f>
        <v>58304</v>
      </c>
    </row>
    <row r="817" spans="1:19">
      <c r="A817" s="2">
        <v>816</v>
      </c>
      <c r="B817" s="3">
        <v>40580</v>
      </c>
      <c r="C817" s="2">
        <v>1</v>
      </c>
      <c r="D817" s="2">
        <v>0</v>
      </c>
      <c r="E817" s="2">
        <v>2</v>
      </c>
      <c r="F817" s="2">
        <v>10</v>
      </c>
      <c r="G817" s="2" t="b">
        <v>0</v>
      </c>
      <c r="H817" s="2">
        <v>0</v>
      </c>
      <c r="I817" s="2">
        <v>1</v>
      </c>
      <c r="J817" s="2">
        <v>0.3</v>
      </c>
      <c r="K817" s="2">
        <v>0.28789999999999999</v>
      </c>
      <c r="L817" s="2">
        <v>0.52</v>
      </c>
      <c r="M817" s="2">
        <v>0.25369999999999998</v>
      </c>
      <c r="N817" s="2">
        <v>15</v>
      </c>
      <c r="O817" s="2">
        <v>74</v>
      </c>
      <c r="P817" s="2">
        <v>89</v>
      </c>
      <c r="Q817" s="4">
        <f>SUBTOTAL(109,Table6[casual])</f>
        <v>4921</v>
      </c>
      <c r="R817" s="4">
        <f>SUBTOTAL(109,Table6[registered])</f>
        <v>53383</v>
      </c>
      <c r="S817" s="4">
        <f>SUBTOTAL(109,Table6[cnt])</f>
        <v>58304</v>
      </c>
    </row>
    <row r="818" spans="1:19">
      <c r="A818" s="2">
        <v>817</v>
      </c>
      <c r="B818" s="3">
        <v>40580</v>
      </c>
      <c r="C818" s="2">
        <v>1</v>
      </c>
      <c r="D818" s="2">
        <v>0</v>
      </c>
      <c r="E818" s="2">
        <v>2</v>
      </c>
      <c r="F818" s="2">
        <v>11</v>
      </c>
      <c r="G818" s="2" t="b">
        <v>0</v>
      </c>
      <c r="H818" s="2">
        <v>0</v>
      </c>
      <c r="I818" s="2">
        <v>1</v>
      </c>
      <c r="J818" s="2">
        <v>0.32</v>
      </c>
      <c r="K818" s="2">
        <v>0.30299999999999999</v>
      </c>
      <c r="L818" s="2">
        <v>0.49</v>
      </c>
      <c r="M818" s="2">
        <v>0.25369999999999998</v>
      </c>
      <c r="N818" s="2">
        <v>28</v>
      </c>
      <c r="O818" s="2">
        <v>89</v>
      </c>
      <c r="P818" s="2">
        <v>117</v>
      </c>
      <c r="Q818" s="4">
        <f>SUBTOTAL(109,Table6[casual])</f>
        <v>4921</v>
      </c>
      <c r="R818" s="4">
        <f>SUBTOTAL(109,Table6[registered])</f>
        <v>53383</v>
      </c>
      <c r="S818" s="4">
        <f>SUBTOTAL(109,Table6[cnt])</f>
        <v>58304</v>
      </c>
    </row>
    <row r="819" spans="1:19">
      <c r="A819" s="2">
        <v>818</v>
      </c>
      <c r="B819" s="3">
        <v>40580</v>
      </c>
      <c r="C819" s="2">
        <v>1</v>
      </c>
      <c r="D819" s="2">
        <v>0</v>
      </c>
      <c r="E819" s="2">
        <v>2</v>
      </c>
      <c r="F819" s="2">
        <v>12</v>
      </c>
      <c r="G819" s="2" t="b">
        <v>0</v>
      </c>
      <c r="H819" s="2">
        <v>0</v>
      </c>
      <c r="I819" s="2">
        <v>1</v>
      </c>
      <c r="J819" s="2">
        <v>0.34</v>
      </c>
      <c r="K819" s="2">
        <v>0.33329999999999999</v>
      </c>
      <c r="L819" s="2">
        <v>0.46</v>
      </c>
      <c r="M819" s="2">
        <v>0</v>
      </c>
      <c r="N819" s="2">
        <v>48</v>
      </c>
      <c r="O819" s="2">
        <v>126</v>
      </c>
      <c r="P819" s="2">
        <v>174</v>
      </c>
      <c r="Q819" s="4">
        <f>SUBTOTAL(109,Table6[casual])</f>
        <v>4921</v>
      </c>
      <c r="R819" s="4">
        <f>SUBTOTAL(109,Table6[registered])</f>
        <v>53383</v>
      </c>
      <c r="S819" s="4">
        <f>SUBTOTAL(109,Table6[cnt])</f>
        <v>58304</v>
      </c>
    </row>
    <row r="820" spans="1:19">
      <c r="A820" s="2">
        <v>819</v>
      </c>
      <c r="B820" s="3">
        <v>40580</v>
      </c>
      <c r="C820" s="2">
        <v>1</v>
      </c>
      <c r="D820" s="2">
        <v>0</v>
      </c>
      <c r="E820" s="2">
        <v>2</v>
      </c>
      <c r="F820" s="2">
        <v>13</v>
      </c>
      <c r="G820" s="2" t="b">
        <v>0</v>
      </c>
      <c r="H820" s="2">
        <v>0</v>
      </c>
      <c r="I820" s="2">
        <v>1</v>
      </c>
      <c r="J820" s="2">
        <v>0.34</v>
      </c>
      <c r="K820" s="2">
        <v>0.36359999999999998</v>
      </c>
      <c r="L820" s="2">
        <v>0.46</v>
      </c>
      <c r="M820" s="2">
        <v>0</v>
      </c>
      <c r="N820" s="2">
        <v>47</v>
      </c>
      <c r="O820" s="2">
        <v>135</v>
      </c>
      <c r="P820" s="2">
        <v>182</v>
      </c>
      <c r="Q820" s="4">
        <f>SUBTOTAL(109,Table6[casual])</f>
        <v>4921</v>
      </c>
      <c r="R820" s="4">
        <f>SUBTOTAL(109,Table6[registered])</f>
        <v>53383</v>
      </c>
      <c r="S820" s="4">
        <f>SUBTOTAL(109,Table6[cnt])</f>
        <v>58304</v>
      </c>
    </row>
    <row r="821" spans="1:19">
      <c r="A821" s="2">
        <v>820</v>
      </c>
      <c r="B821" s="3">
        <v>40580</v>
      </c>
      <c r="C821" s="2">
        <v>1</v>
      </c>
      <c r="D821" s="2">
        <v>0</v>
      </c>
      <c r="E821" s="2">
        <v>2</v>
      </c>
      <c r="F821" s="2">
        <v>14</v>
      </c>
      <c r="G821" s="2" t="b">
        <v>0</v>
      </c>
      <c r="H821" s="2">
        <v>0</v>
      </c>
      <c r="I821" s="2">
        <v>1</v>
      </c>
      <c r="J821" s="2">
        <v>0.34</v>
      </c>
      <c r="K821" s="2">
        <v>0.34849999999999998</v>
      </c>
      <c r="L821" s="2">
        <v>0.46</v>
      </c>
      <c r="M821" s="2">
        <v>8.9599999999999999E-2</v>
      </c>
      <c r="N821" s="2">
        <v>47</v>
      </c>
      <c r="O821" s="2">
        <v>114</v>
      </c>
      <c r="P821" s="2">
        <v>161</v>
      </c>
      <c r="Q821" s="4">
        <f>SUBTOTAL(109,Table6[casual])</f>
        <v>4921</v>
      </c>
      <c r="R821" s="4">
        <f>SUBTOTAL(109,Table6[registered])</f>
        <v>53383</v>
      </c>
      <c r="S821" s="4">
        <f>SUBTOTAL(109,Table6[cnt])</f>
        <v>58304</v>
      </c>
    </row>
    <row r="822" spans="1:19">
      <c r="A822" s="2">
        <v>821</v>
      </c>
      <c r="B822" s="3">
        <v>40580</v>
      </c>
      <c r="C822" s="2">
        <v>1</v>
      </c>
      <c r="D822" s="2">
        <v>0</v>
      </c>
      <c r="E822" s="2">
        <v>2</v>
      </c>
      <c r="F822" s="2">
        <v>15</v>
      </c>
      <c r="G822" s="2" t="b">
        <v>0</v>
      </c>
      <c r="H822" s="2">
        <v>0</v>
      </c>
      <c r="I822" s="2">
        <v>1</v>
      </c>
      <c r="J822" s="2">
        <v>0.34</v>
      </c>
      <c r="K822" s="2">
        <v>0.34849999999999998</v>
      </c>
      <c r="L822" s="2">
        <v>0.46</v>
      </c>
      <c r="M822" s="2">
        <v>8.9599999999999999E-2</v>
      </c>
      <c r="N822" s="2">
        <v>52</v>
      </c>
      <c r="O822" s="2">
        <v>130</v>
      </c>
      <c r="P822" s="2">
        <v>182</v>
      </c>
      <c r="Q822" s="4">
        <f>SUBTOTAL(109,Table6[casual])</f>
        <v>4921</v>
      </c>
      <c r="R822" s="4">
        <f>SUBTOTAL(109,Table6[registered])</f>
        <v>53383</v>
      </c>
      <c r="S822" s="4">
        <f>SUBTOTAL(109,Table6[cnt])</f>
        <v>58304</v>
      </c>
    </row>
    <row r="823" spans="1:19">
      <c r="A823" s="2">
        <v>822</v>
      </c>
      <c r="B823" s="3">
        <v>40580</v>
      </c>
      <c r="C823" s="2">
        <v>1</v>
      </c>
      <c r="D823" s="2">
        <v>0</v>
      </c>
      <c r="E823" s="2">
        <v>2</v>
      </c>
      <c r="F823" s="2">
        <v>16</v>
      </c>
      <c r="G823" s="2" t="b">
        <v>0</v>
      </c>
      <c r="H823" s="2">
        <v>0</v>
      </c>
      <c r="I823" s="2">
        <v>1</v>
      </c>
      <c r="J823" s="2">
        <v>0.34</v>
      </c>
      <c r="K823" s="2">
        <v>0.34849999999999998</v>
      </c>
      <c r="L823" s="2">
        <v>0.49</v>
      </c>
      <c r="M823" s="2">
        <v>0.1045</v>
      </c>
      <c r="N823" s="2">
        <v>42</v>
      </c>
      <c r="O823" s="2">
        <v>115</v>
      </c>
      <c r="P823" s="2">
        <v>157</v>
      </c>
      <c r="Q823" s="4">
        <f>SUBTOTAL(109,Table6[casual])</f>
        <v>4921</v>
      </c>
      <c r="R823" s="4">
        <f>SUBTOTAL(109,Table6[registered])</f>
        <v>53383</v>
      </c>
      <c r="S823" s="4">
        <f>SUBTOTAL(109,Table6[cnt])</f>
        <v>58304</v>
      </c>
    </row>
    <row r="824" spans="1:19">
      <c r="A824" s="2">
        <v>823</v>
      </c>
      <c r="B824" s="3">
        <v>40580</v>
      </c>
      <c r="C824" s="2">
        <v>1</v>
      </c>
      <c r="D824" s="2">
        <v>0</v>
      </c>
      <c r="E824" s="2">
        <v>2</v>
      </c>
      <c r="F824" s="2">
        <v>17</v>
      </c>
      <c r="G824" s="2" t="b">
        <v>0</v>
      </c>
      <c r="H824" s="2">
        <v>0</v>
      </c>
      <c r="I824" s="2">
        <v>1</v>
      </c>
      <c r="J824" s="2">
        <v>0.34</v>
      </c>
      <c r="K824" s="2">
        <v>0.36359999999999998</v>
      </c>
      <c r="L824" s="2">
        <v>0.46</v>
      </c>
      <c r="M824" s="2">
        <v>0</v>
      </c>
      <c r="N824" s="2">
        <v>24</v>
      </c>
      <c r="O824" s="2">
        <v>97</v>
      </c>
      <c r="P824" s="2">
        <v>121</v>
      </c>
      <c r="Q824" s="4">
        <f>SUBTOTAL(109,Table6[casual])</f>
        <v>4921</v>
      </c>
      <c r="R824" s="4">
        <f>SUBTOTAL(109,Table6[registered])</f>
        <v>53383</v>
      </c>
      <c r="S824" s="4">
        <f>SUBTOTAL(109,Table6[cnt])</f>
        <v>58304</v>
      </c>
    </row>
    <row r="825" spans="1:19">
      <c r="A825" s="2">
        <v>824</v>
      </c>
      <c r="B825" s="3">
        <v>40580</v>
      </c>
      <c r="C825" s="2">
        <v>1</v>
      </c>
      <c r="D825" s="2">
        <v>0</v>
      </c>
      <c r="E825" s="2">
        <v>2</v>
      </c>
      <c r="F825" s="2">
        <v>18</v>
      </c>
      <c r="G825" s="2" t="b">
        <v>0</v>
      </c>
      <c r="H825" s="2">
        <v>0</v>
      </c>
      <c r="I825" s="2">
        <v>1</v>
      </c>
      <c r="J825" s="2">
        <v>0.3</v>
      </c>
      <c r="K825" s="2">
        <v>0.30299999999999999</v>
      </c>
      <c r="L825" s="2">
        <v>0.56000000000000005</v>
      </c>
      <c r="M825" s="2">
        <v>0.16420000000000001</v>
      </c>
      <c r="N825" s="2">
        <v>13</v>
      </c>
      <c r="O825" s="2">
        <v>65</v>
      </c>
      <c r="P825" s="2">
        <v>78</v>
      </c>
      <c r="Q825" s="4">
        <f>SUBTOTAL(109,Table6[casual])</f>
        <v>4921</v>
      </c>
      <c r="R825" s="4">
        <f>SUBTOTAL(109,Table6[registered])</f>
        <v>53383</v>
      </c>
      <c r="S825" s="4">
        <f>SUBTOTAL(109,Table6[cnt])</f>
        <v>58304</v>
      </c>
    </row>
    <row r="826" spans="1:19">
      <c r="A826" s="2">
        <v>825</v>
      </c>
      <c r="B826" s="3">
        <v>40580</v>
      </c>
      <c r="C826" s="2">
        <v>1</v>
      </c>
      <c r="D826" s="2">
        <v>0</v>
      </c>
      <c r="E826" s="2">
        <v>2</v>
      </c>
      <c r="F826" s="2">
        <v>19</v>
      </c>
      <c r="G826" s="2" t="b">
        <v>0</v>
      </c>
      <c r="H826" s="2">
        <v>0</v>
      </c>
      <c r="I826" s="2">
        <v>1</v>
      </c>
      <c r="J826" s="2">
        <v>0.28000000000000003</v>
      </c>
      <c r="K826" s="2">
        <v>0.28789999999999999</v>
      </c>
      <c r="L826" s="2">
        <v>0.61</v>
      </c>
      <c r="M826" s="2">
        <v>0.1343</v>
      </c>
      <c r="N826" s="2">
        <v>1</v>
      </c>
      <c r="O826" s="2">
        <v>20</v>
      </c>
      <c r="P826" s="2">
        <v>21</v>
      </c>
      <c r="Q826" s="4">
        <f>SUBTOTAL(109,Table6[casual])</f>
        <v>4921</v>
      </c>
      <c r="R826" s="4">
        <f>SUBTOTAL(109,Table6[registered])</f>
        <v>53383</v>
      </c>
      <c r="S826" s="4">
        <f>SUBTOTAL(109,Table6[cnt])</f>
        <v>58304</v>
      </c>
    </row>
    <row r="827" spans="1:19">
      <c r="A827" s="2">
        <v>826</v>
      </c>
      <c r="B827" s="3">
        <v>40580</v>
      </c>
      <c r="C827" s="2">
        <v>1</v>
      </c>
      <c r="D827" s="2">
        <v>0</v>
      </c>
      <c r="E827" s="2">
        <v>2</v>
      </c>
      <c r="F827" s="2">
        <v>20</v>
      </c>
      <c r="G827" s="2" t="b">
        <v>0</v>
      </c>
      <c r="H827" s="2">
        <v>0</v>
      </c>
      <c r="I827" s="2">
        <v>1</v>
      </c>
      <c r="J827" s="2">
        <v>0.28000000000000003</v>
      </c>
      <c r="K827" s="2">
        <v>0.28789999999999999</v>
      </c>
      <c r="L827" s="2">
        <v>0.61</v>
      </c>
      <c r="M827" s="2">
        <v>0.1045</v>
      </c>
      <c r="N827" s="2">
        <v>5</v>
      </c>
      <c r="O827" s="2">
        <v>21</v>
      </c>
      <c r="P827" s="2">
        <v>26</v>
      </c>
      <c r="Q827" s="4">
        <f>SUBTOTAL(109,Table6[casual])</f>
        <v>4921</v>
      </c>
      <c r="R827" s="4">
        <f>SUBTOTAL(109,Table6[registered])</f>
        <v>53383</v>
      </c>
      <c r="S827" s="4">
        <f>SUBTOTAL(109,Table6[cnt])</f>
        <v>58304</v>
      </c>
    </row>
    <row r="828" spans="1:19">
      <c r="A828" s="2">
        <v>827</v>
      </c>
      <c r="B828" s="3">
        <v>40580</v>
      </c>
      <c r="C828" s="2">
        <v>1</v>
      </c>
      <c r="D828" s="2">
        <v>0</v>
      </c>
      <c r="E828" s="2">
        <v>2</v>
      </c>
      <c r="F828" s="2">
        <v>21</v>
      </c>
      <c r="G828" s="2" t="b">
        <v>0</v>
      </c>
      <c r="H828" s="2">
        <v>0</v>
      </c>
      <c r="I828" s="2">
        <v>1</v>
      </c>
      <c r="J828" s="2">
        <v>0.26</v>
      </c>
      <c r="K828" s="2">
        <v>0.30299999999999999</v>
      </c>
      <c r="L828" s="2">
        <v>0.6</v>
      </c>
      <c r="M828" s="2">
        <v>0</v>
      </c>
      <c r="N828" s="2">
        <v>5</v>
      </c>
      <c r="O828" s="2">
        <v>22</v>
      </c>
      <c r="P828" s="2">
        <v>27</v>
      </c>
      <c r="Q828" s="4">
        <f>SUBTOTAL(109,Table6[casual])</f>
        <v>4921</v>
      </c>
      <c r="R828" s="4">
        <f>SUBTOTAL(109,Table6[registered])</f>
        <v>53383</v>
      </c>
      <c r="S828" s="4">
        <f>SUBTOTAL(109,Table6[cnt])</f>
        <v>58304</v>
      </c>
    </row>
    <row r="829" spans="1:19">
      <c r="A829" s="2">
        <v>828</v>
      </c>
      <c r="B829" s="3">
        <v>40580</v>
      </c>
      <c r="C829" s="2">
        <v>1</v>
      </c>
      <c r="D829" s="2">
        <v>0</v>
      </c>
      <c r="E829" s="2">
        <v>2</v>
      </c>
      <c r="F829" s="2">
        <v>22</v>
      </c>
      <c r="G829" s="2" t="b">
        <v>0</v>
      </c>
      <c r="H829" s="2">
        <v>0</v>
      </c>
      <c r="I829" s="2">
        <v>1</v>
      </c>
      <c r="J829" s="2">
        <v>0.26</v>
      </c>
      <c r="K829" s="2">
        <v>0.30299999999999999</v>
      </c>
      <c r="L829" s="2">
        <v>0.6</v>
      </c>
      <c r="M829" s="2">
        <v>0</v>
      </c>
      <c r="N829" s="2">
        <v>5</v>
      </c>
      <c r="O829" s="2">
        <v>57</v>
      </c>
      <c r="P829" s="2">
        <v>62</v>
      </c>
      <c r="Q829" s="4">
        <f>SUBTOTAL(109,Table6[casual])</f>
        <v>4921</v>
      </c>
      <c r="R829" s="4">
        <f>SUBTOTAL(109,Table6[registered])</f>
        <v>53383</v>
      </c>
      <c r="S829" s="4">
        <f>SUBTOTAL(109,Table6[cnt])</f>
        <v>58304</v>
      </c>
    </row>
    <row r="830" spans="1:19">
      <c r="A830" s="2">
        <v>829</v>
      </c>
      <c r="B830" s="3">
        <v>40580</v>
      </c>
      <c r="C830" s="2">
        <v>1</v>
      </c>
      <c r="D830" s="2">
        <v>0</v>
      </c>
      <c r="E830" s="2">
        <v>2</v>
      </c>
      <c r="F830" s="2">
        <v>23</v>
      </c>
      <c r="G830" s="2" t="b">
        <v>0</v>
      </c>
      <c r="H830" s="2">
        <v>0</v>
      </c>
      <c r="I830" s="2">
        <v>1</v>
      </c>
      <c r="J830" s="2">
        <v>0.24</v>
      </c>
      <c r="K830" s="2">
        <v>0.28789999999999999</v>
      </c>
      <c r="L830" s="2">
        <v>0.65</v>
      </c>
      <c r="M830" s="2">
        <v>0</v>
      </c>
      <c r="N830" s="2">
        <v>4</v>
      </c>
      <c r="O830" s="2">
        <v>26</v>
      </c>
      <c r="P830" s="2">
        <v>30</v>
      </c>
      <c r="Q830" s="4">
        <f>SUBTOTAL(109,Table6[casual])</f>
        <v>4921</v>
      </c>
      <c r="R830" s="4">
        <f>SUBTOTAL(109,Table6[registered])</f>
        <v>53383</v>
      </c>
      <c r="S830" s="4">
        <f>SUBTOTAL(109,Table6[cnt])</f>
        <v>58304</v>
      </c>
    </row>
    <row r="831" spans="1:19">
      <c r="A831" s="2">
        <v>830</v>
      </c>
      <c r="B831" s="3">
        <v>40581</v>
      </c>
      <c r="C831" s="2">
        <v>1</v>
      </c>
      <c r="D831" s="2">
        <v>0</v>
      </c>
      <c r="E831" s="2">
        <v>2</v>
      </c>
      <c r="F831" s="2">
        <v>0</v>
      </c>
      <c r="G831" s="2" t="b">
        <v>0</v>
      </c>
      <c r="H831" s="2">
        <v>1</v>
      </c>
      <c r="I831" s="2">
        <v>1</v>
      </c>
      <c r="J831" s="2">
        <v>0.24</v>
      </c>
      <c r="K831" s="2">
        <v>0.28789999999999999</v>
      </c>
      <c r="L831" s="2">
        <v>0.65</v>
      </c>
      <c r="M831" s="2">
        <v>0</v>
      </c>
      <c r="N831" s="2">
        <v>1</v>
      </c>
      <c r="O831" s="2">
        <v>14</v>
      </c>
      <c r="P831" s="2">
        <v>15</v>
      </c>
      <c r="Q831" s="4">
        <f>SUBTOTAL(109,Table6[casual])</f>
        <v>4921</v>
      </c>
      <c r="R831" s="4">
        <f>SUBTOTAL(109,Table6[registered])</f>
        <v>53383</v>
      </c>
      <c r="S831" s="4">
        <f>SUBTOTAL(109,Table6[cnt])</f>
        <v>58304</v>
      </c>
    </row>
    <row r="832" spans="1:19">
      <c r="A832" s="2">
        <v>831</v>
      </c>
      <c r="B832" s="3">
        <v>40581</v>
      </c>
      <c r="C832" s="2">
        <v>1</v>
      </c>
      <c r="D832" s="2">
        <v>0</v>
      </c>
      <c r="E832" s="2">
        <v>2</v>
      </c>
      <c r="F832" s="2">
        <v>1</v>
      </c>
      <c r="G832" s="2" t="b">
        <v>0</v>
      </c>
      <c r="H832" s="2">
        <v>1</v>
      </c>
      <c r="I832" s="2">
        <v>1</v>
      </c>
      <c r="J832" s="2">
        <v>0.22</v>
      </c>
      <c r="K832" s="2">
        <v>0.2727</v>
      </c>
      <c r="L832" s="2">
        <v>0.75</v>
      </c>
      <c r="M832" s="2">
        <v>0</v>
      </c>
      <c r="N832" s="2">
        <v>1</v>
      </c>
      <c r="O832" s="2">
        <v>4</v>
      </c>
      <c r="P832" s="2">
        <v>5</v>
      </c>
      <c r="Q832" s="4">
        <f>SUBTOTAL(109,Table6[casual])</f>
        <v>4921</v>
      </c>
      <c r="R832" s="4">
        <f>SUBTOTAL(109,Table6[registered])</f>
        <v>53383</v>
      </c>
      <c r="S832" s="4">
        <f>SUBTOTAL(109,Table6[cnt])</f>
        <v>58304</v>
      </c>
    </row>
    <row r="833" spans="1:19">
      <c r="A833" s="2">
        <v>832</v>
      </c>
      <c r="B833" s="3">
        <v>40581</v>
      </c>
      <c r="C833" s="2">
        <v>1</v>
      </c>
      <c r="D833" s="2">
        <v>0</v>
      </c>
      <c r="E833" s="2">
        <v>2</v>
      </c>
      <c r="F833" s="2">
        <v>2</v>
      </c>
      <c r="G833" s="2" t="b">
        <v>0</v>
      </c>
      <c r="H833" s="2">
        <v>1</v>
      </c>
      <c r="I833" s="2">
        <v>1</v>
      </c>
      <c r="J833" s="2">
        <v>0.2</v>
      </c>
      <c r="K833" s="2">
        <v>0.2576</v>
      </c>
      <c r="L833" s="2">
        <v>0.8</v>
      </c>
      <c r="M833" s="2">
        <v>0</v>
      </c>
      <c r="N833" s="2">
        <v>0</v>
      </c>
      <c r="O833" s="2">
        <v>3</v>
      </c>
      <c r="P833" s="2">
        <v>3</v>
      </c>
      <c r="Q833" s="4">
        <f>SUBTOTAL(109,Table6[casual])</f>
        <v>4921</v>
      </c>
      <c r="R833" s="4">
        <f>SUBTOTAL(109,Table6[registered])</f>
        <v>53383</v>
      </c>
      <c r="S833" s="4">
        <f>SUBTOTAL(109,Table6[cnt])</f>
        <v>58304</v>
      </c>
    </row>
    <row r="834" spans="1:19">
      <c r="A834" s="2">
        <v>833</v>
      </c>
      <c r="B834" s="3">
        <v>40581</v>
      </c>
      <c r="C834" s="2">
        <v>1</v>
      </c>
      <c r="D834" s="2">
        <v>0</v>
      </c>
      <c r="E834" s="2">
        <v>2</v>
      </c>
      <c r="F834" s="2">
        <v>3</v>
      </c>
      <c r="G834" s="2" t="b">
        <v>0</v>
      </c>
      <c r="H834" s="2">
        <v>1</v>
      </c>
      <c r="I834" s="2">
        <v>1</v>
      </c>
      <c r="J834" s="2">
        <v>0.2</v>
      </c>
      <c r="K834" s="2">
        <v>0.2576</v>
      </c>
      <c r="L834" s="2">
        <v>0.86</v>
      </c>
      <c r="M834" s="2">
        <v>0</v>
      </c>
      <c r="N834" s="2">
        <v>0</v>
      </c>
      <c r="O834" s="2">
        <v>1</v>
      </c>
      <c r="P834" s="2">
        <v>1</v>
      </c>
      <c r="Q834" s="4">
        <f>SUBTOTAL(109,Table6[casual])</f>
        <v>4921</v>
      </c>
      <c r="R834" s="4">
        <f>SUBTOTAL(109,Table6[registered])</f>
        <v>53383</v>
      </c>
      <c r="S834" s="4">
        <f>SUBTOTAL(109,Table6[cnt])</f>
        <v>58304</v>
      </c>
    </row>
    <row r="835" spans="1:19">
      <c r="A835" s="2">
        <v>834</v>
      </c>
      <c r="B835" s="3">
        <v>40581</v>
      </c>
      <c r="C835" s="2">
        <v>1</v>
      </c>
      <c r="D835" s="2">
        <v>0</v>
      </c>
      <c r="E835" s="2">
        <v>2</v>
      </c>
      <c r="F835" s="2">
        <v>4</v>
      </c>
      <c r="G835" s="2" t="b">
        <v>0</v>
      </c>
      <c r="H835" s="2">
        <v>1</v>
      </c>
      <c r="I835" s="2">
        <v>1</v>
      </c>
      <c r="J835" s="2">
        <v>0.2</v>
      </c>
      <c r="K835" s="2">
        <v>0.2576</v>
      </c>
      <c r="L835" s="2">
        <v>0.86</v>
      </c>
      <c r="M835" s="2">
        <v>0</v>
      </c>
      <c r="N835" s="2">
        <v>1</v>
      </c>
      <c r="O835" s="2">
        <v>1</v>
      </c>
      <c r="P835" s="2">
        <v>2</v>
      </c>
      <c r="Q835" s="4">
        <f>SUBTOTAL(109,Table6[casual])</f>
        <v>4921</v>
      </c>
      <c r="R835" s="4">
        <f>SUBTOTAL(109,Table6[registered])</f>
        <v>53383</v>
      </c>
      <c r="S835" s="4">
        <f>SUBTOTAL(109,Table6[cnt])</f>
        <v>58304</v>
      </c>
    </row>
    <row r="836" spans="1:19">
      <c r="A836" s="2">
        <v>835</v>
      </c>
      <c r="B836" s="3">
        <v>40581</v>
      </c>
      <c r="C836" s="2">
        <v>1</v>
      </c>
      <c r="D836" s="2">
        <v>0</v>
      </c>
      <c r="E836" s="2">
        <v>2</v>
      </c>
      <c r="F836" s="2">
        <v>5</v>
      </c>
      <c r="G836" s="2" t="b">
        <v>0</v>
      </c>
      <c r="H836" s="2">
        <v>1</v>
      </c>
      <c r="I836" s="2">
        <v>1</v>
      </c>
      <c r="J836" s="2">
        <v>0.2</v>
      </c>
      <c r="K836" s="2">
        <v>0.2576</v>
      </c>
      <c r="L836" s="2">
        <v>0.86</v>
      </c>
      <c r="M836" s="2">
        <v>0</v>
      </c>
      <c r="N836" s="2">
        <v>1</v>
      </c>
      <c r="O836" s="2">
        <v>9</v>
      </c>
      <c r="P836" s="2">
        <v>10</v>
      </c>
      <c r="Q836" s="4">
        <f>SUBTOTAL(109,Table6[casual])</f>
        <v>4921</v>
      </c>
      <c r="R836" s="4">
        <f>SUBTOTAL(109,Table6[registered])</f>
        <v>53383</v>
      </c>
      <c r="S836" s="4">
        <f>SUBTOTAL(109,Table6[cnt])</f>
        <v>58304</v>
      </c>
    </row>
    <row r="837" spans="1:19">
      <c r="A837" s="2">
        <v>836</v>
      </c>
      <c r="B837" s="3">
        <v>40581</v>
      </c>
      <c r="C837" s="2">
        <v>1</v>
      </c>
      <c r="D837" s="2">
        <v>0</v>
      </c>
      <c r="E837" s="2">
        <v>2</v>
      </c>
      <c r="F837" s="2">
        <v>6</v>
      </c>
      <c r="G837" s="2" t="b">
        <v>0</v>
      </c>
      <c r="H837" s="2">
        <v>1</v>
      </c>
      <c r="I837" s="2">
        <v>1</v>
      </c>
      <c r="J837" s="2">
        <v>0.18</v>
      </c>
      <c r="K837" s="2">
        <v>0.2424</v>
      </c>
      <c r="L837" s="2">
        <v>0.93</v>
      </c>
      <c r="M837" s="2">
        <v>0</v>
      </c>
      <c r="N837" s="2">
        <v>1</v>
      </c>
      <c r="O837" s="2">
        <v>29</v>
      </c>
      <c r="P837" s="2">
        <v>30</v>
      </c>
      <c r="Q837" s="4">
        <f>SUBTOTAL(109,Table6[casual])</f>
        <v>4921</v>
      </c>
      <c r="R837" s="4">
        <f>SUBTOTAL(109,Table6[registered])</f>
        <v>53383</v>
      </c>
      <c r="S837" s="4">
        <f>SUBTOTAL(109,Table6[cnt])</f>
        <v>58304</v>
      </c>
    </row>
    <row r="838" spans="1:19">
      <c r="A838" s="2">
        <v>837</v>
      </c>
      <c r="B838" s="3">
        <v>40581</v>
      </c>
      <c r="C838" s="2">
        <v>1</v>
      </c>
      <c r="D838" s="2">
        <v>0</v>
      </c>
      <c r="E838" s="2">
        <v>2</v>
      </c>
      <c r="F838" s="2">
        <v>7</v>
      </c>
      <c r="G838" s="2" t="b">
        <v>0</v>
      </c>
      <c r="H838" s="2">
        <v>1</v>
      </c>
      <c r="I838" s="2">
        <v>1</v>
      </c>
      <c r="J838" s="2">
        <v>0.18</v>
      </c>
      <c r="K838" s="2">
        <v>0.2424</v>
      </c>
      <c r="L838" s="2">
        <v>0.86</v>
      </c>
      <c r="M838" s="2">
        <v>0</v>
      </c>
      <c r="N838" s="2">
        <v>6</v>
      </c>
      <c r="O838" s="2">
        <v>89</v>
      </c>
      <c r="P838" s="2">
        <v>95</v>
      </c>
      <c r="Q838" s="4">
        <f>SUBTOTAL(109,Table6[casual])</f>
        <v>4921</v>
      </c>
      <c r="R838" s="4">
        <f>SUBTOTAL(109,Table6[registered])</f>
        <v>53383</v>
      </c>
      <c r="S838" s="4">
        <f>SUBTOTAL(109,Table6[cnt])</f>
        <v>58304</v>
      </c>
    </row>
    <row r="839" spans="1:19">
      <c r="A839" s="2">
        <v>838</v>
      </c>
      <c r="B839" s="3">
        <v>40581</v>
      </c>
      <c r="C839" s="2">
        <v>1</v>
      </c>
      <c r="D839" s="2">
        <v>0</v>
      </c>
      <c r="E839" s="2">
        <v>2</v>
      </c>
      <c r="F839" s="2">
        <v>8</v>
      </c>
      <c r="G839" s="2" t="b">
        <v>0</v>
      </c>
      <c r="H839" s="2">
        <v>1</v>
      </c>
      <c r="I839" s="2">
        <v>2</v>
      </c>
      <c r="J839" s="2">
        <v>0.16</v>
      </c>
      <c r="K839" s="2">
        <v>0.2273</v>
      </c>
      <c r="L839" s="2">
        <v>1</v>
      </c>
      <c r="M839" s="2">
        <v>0</v>
      </c>
      <c r="N839" s="2">
        <v>7</v>
      </c>
      <c r="O839" s="2">
        <v>223</v>
      </c>
      <c r="P839" s="2">
        <v>230</v>
      </c>
      <c r="Q839" s="4">
        <f>SUBTOTAL(109,Table6[casual])</f>
        <v>4921</v>
      </c>
      <c r="R839" s="4">
        <f>SUBTOTAL(109,Table6[registered])</f>
        <v>53383</v>
      </c>
      <c r="S839" s="4">
        <f>SUBTOTAL(109,Table6[cnt])</f>
        <v>58304</v>
      </c>
    </row>
    <row r="840" spans="1:19">
      <c r="A840" s="2">
        <v>839</v>
      </c>
      <c r="B840" s="3">
        <v>40581</v>
      </c>
      <c r="C840" s="2">
        <v>1</v>
      </c>
      <c r="D840" s="2">
        <v>0</v>
      </c>
      <c r="E840" s="2">
        <v>2</v>
      </c>
      <c r="F840" s="2">
        <v>9</v>
      </c>
      <c r="G840" s="2" t="b">
        <v>0</v>
      </c>
      <c r="H840" s="2">
        <v>1</v>
      </c>
      <c r="I840" s="2">
        <v>1</v>
      </c>
      <c r="J840" s="2">
        <v>0.22</v>
      </c>
      <c r="K840" s="2">
        <v>0.2727</v>
      </c>
      <c r="L840" s="2">
        <v>0.8</v>
      </c>
      <c r="M840" s="2">
        <v>0</v>
      </c>
      <c r="N840" s="2">
        <v>3</v>
      </c>
      <c r="O840" s="2">
        <v>115</v>
      </c>
      <c r="P840" s="2">
        <v>118</v>
      </c>
      <c r="Q840" s="4">
        <f>SUBTOTAL(109,Table6[casual])</f>
        <v>4921</v>
      </c>
      <c r="R840" s="4">
        <f>SUBTOTAL(109,Table6[registered])</f>
        <v>53383</v>
      </c>
      <c r="S840" s="4">
        <f>SUBTOTAL(109,Table6[cnt])</f>
        <v>58304</v>
      </c>
    </row>
    <row r="841" spans="1:19">
      <c r="A841" s="2">
        <v>840</v>
      </c>
      <c r="B841" s="3">
        <v>40581</v>
      </c>
      <c r="C841" s="2">
        <v>1</v>
      </c>
      <c r="D841" s="2">
        <v>0</v>
      </c>
      <c r="E841" s="2">
        <v>2</v>
      </c>
      <c r="F841" s="2">
        <v>10</v>
      </c>
      <c r="G841" s="2" t="b">
        <v>0</v>
      </c>
      <c r="H841" s="2">
        <v>1</v>
      </c>
      <c r="I841" s="2">
        <v>1</v>
      </c>
      <c r="J841" s="2">
        <v>0.24</v>
      </c>
      <c r="K841" s="2">
        <v>0.2576</v>
      </c>
      <c r="L841" s="2">
        <v>0.75</v>
      </c>
      <c r="M841" s="2">
        <v>0.1045</v>
      </c>
      <c r="N841" s="2">
        <v>6</v>
      </c>
      <c r="O841" s="2">
        <v>49</v>
      </c>
      <c r="P841" s="2">
        <v>55</v>
      </c>
      <c r="Q841" s="4">
        <f>SUBTOTAL(109,Table6[casual])</f>
        <v>4921</v>
      </c>
      <c r="R841" s="4">
        <f>SUBTOTAL(109,Table6[registered])</f>
        <v>53383</v>
      </c>
      <c r="S841" s="4">
        <f>SUBTOTAL(109,Table6[cnt])</f>
        <v>58304</v>
      </c>
    </row>
    <row r="842" spans="1:19">
      <c r="A842" s="2">
        <v>841</v>
      </c>
      <c r="B842" s="3">
        <v>40581</v>
      </c>
      <c r="C842" s="2">
        <v>1</v>
      </c>
      <c r="D842" s="2">
        <v>0</v>
      </c>
      <c r="E842" s="2">
        <v>2</v>
      </c>
      <c r="F842" s="2">
        <v>11</v>
      </c>
      <c r="G842" s="2" t="b">
        <v>0</v>
      </c>
      <c r="H842" s="2">
        <v>1</v>
      </c>
      <c r="I842" s="2">
        <v>1</v>
      </c>
      <c r="J842" s="2">
        <v>0.3</v>
      </c>
      <c r="K842" s="2">
        <v>0.31819999999999998</v>
      </c>
      <c r="L842" s="2">
        <v>0.65</v>
      </c>
      <c r="M842" s="2">
        <v>8.9599999999999999E-2</v>
      </c>
      <c r="N842" s="2">
        <v>11</v>
      </c>
      <c r="O842" s="2">
        <v>36</v>
      </c>
      <c r="P842" s="2">
        <v>47</v>
      </c>
      <c r="Q842" s="4">
        <f>SUBTOTAL(109,Table6[casual])</f>
        <v>4921</v>
      </c>
      <c r="R842" s="4">
        <f>SUBTOTAL(109,Table6[registered])</f>
        <v>53383</v>
      </c>
      <c r="S842" s="4">
        <f>SUBTOTAL(109,Table6[cnt])</f>
        <v>58304</v>
      </c>
    </row>
    <row r="843" spans="1:19">
      <c r="A843" s="2">
        <v>842</v>
      </c>
      <c r="B843" s="3">
        <v>40581</v>
      </c>
      <c r="C843" s="2">
        <v>1</v>
      </c>
      <c r="D843" s="2">
        <v>0</v>
      </c>
      <c r="E843" s="2">
        <v>2</v>
      </c>
      <c r="F843" s="2">
        <v>12</v>
      </c>
      <c r="G843" s="2" t="b">
        <v>0</v>
      </c>
      <c r="H843" s="2">
        <v>1</v>
      </c>
      <c r="I843" s="2">
        <v>2</v>
      </c>
      <c r="J843" s="2">
        <v>0.32</v>
      </c>
      <c r="K843" s="2">
        <v>0.34849999999999998</v>
      </c>
      <c r="L843" s="2">
        <v>0.62</v>
      </c>
      <c r="M843" s="2">
        <v>0</v>
      </c>
      <c r="N843" s="2">
        <v>7</v>
      </c>
      <c r="O843" s="2">
        <v>59</v>
      </c>
      <c r="P843" s="2">
        <v>66</v>
      </c>
      <c r="Q843" s="4">
        <f>SUBTOTAL(109,Table6[casual])</f>
        <v>4921</v>
      </c>
      <c r="R843" s="4">
        <f>SUBTOTAL(109,Table6[registered])</f>
        <v>53383</v>
      </c>
      <c r="S843" s="4">
        <f>SUBTOTAL(109,Table6[cnt])</f>
        <v>58304</v>
      </c>
    </row>
    <row r="844" spans="1:19">
      <c r="A844" s="2">
        <v>843</v>
      </c>
      <c r="B844" s="3">
        <v>40581</v>
      </c>
      <c r="C844" s="2">
        <v>1</v>
      </c>
      <c r="D844" s="2">
        <v>0</v>
      </c>
      <c r="E844" s="2">
        <v>2</v>
      </c>
      <c r="F844" s="2">
        <v>13</v>
      </c>
      <c r="G844" s="2" t="b">
        <v>0</v>
      </c>
      <c r="H844" s="2">
        <v>1</v>
      </c>
      <c r="I844" s="2">
        <v>2</v>
      </c>
      <c r="J844" s="2">
        <v>0.36</v>
      </c>
      <c r="K844" s="2">
        <v>0.36359999999999998</v>
      </c>
      <c r="L844" s="2">
        <v>0.56999999999999995</v>
      </c>
      <c r="M844" s="2">
        <v>8.9599999999999999E-2</v>
      </c>
      <c r="N844" s="2">
        <v>10</v>
      </c>
      <c r="O844" s="2">
        <v>54</v>
      </c>
      <c r="P844" s="2">
        <v>64</v>
      </c>
      <c r="Q844" s="4">
        <f>SUBTOTAL(109,Table6[casual])</f>
        <v>4921</v>
      </c>
      <c r="R844" s="4">
        <f>SUBTOTAL(109,Table6[registered])</f>
        <v>53383</v>
      </c>
      <c r="S844" s="4">
        <f>SUBTOTAL(109,Table6[cnt])</f>
        <v>58304</v>
      </c>
    </row>
    <row r="845" spans="1:19">
      <c r="A845" s="2">
        <v>844</v>
      </c>
      <c r="B845" s="3">
        <v>40581</v>
      </c>
      <c r="C845" s="2">
        <v>1</v>
      </c>
      <c r="D845" s="2">
        <v>0</v>
      </c>
      <c r="E845" s="2">
        <v>2</v>
      </c>
      <c r="F845" s="2">
        <v>14</v>
      </c>
      <c r="G845" s="2" t="b">
        <v>0</v>
      </c>
      <c r="H845" s="2">
        <v>1</v>
      </c>
      <c r="I845" s="2">
        <v>2</v>
      </c>
      <c r="J845" s="2">
        <v>0.36</v>
      </c>
      <c r="K845" s="2">
        <v>0.36359999999999998</v>
      </c>
      <c r="L845" s="2">
        <v>0.56999999999999995</v>
      </c>
      <c r="M845" s="2">
        <v>8.9599999999999999E-2</v>
      </c>
      <c r="N845" s="2">
        <v>8</v>
      </c>
      <c r="O845" s="2">
        <v>52</v>
      </c>
      <c r="P845" s="2">
        <v>60</v>
      </c>
      <c r="Q845" s="4">
        <f>SUBTOTAL(109,Table6[casual])</f>
        <v>4921</v>
      </c>
      <c r="R845" s="4">
        <f>SUBTOTAL(109,Table6[registered])</f>
        <v>53383</v>
      </c>
      <c r="S845" s="4">
        <f>SUBTOTAL(109,Table6[cnt])</f>
        <v>58304</v>
      </c>
    </row>
    <row r="846" spans="1:19">
      <c r="A846" s="2">
        <v>845</v>
      </c>
      <c r="B846" s="3">
        <v>40581</v>
      </c>
      <c r="C846" s="2">
        <v>1</v>
      </c>
      <c r="D846" s="2">
        <v>0</v>
      </c>
      <c r="E846" s="2">
        <v>2</v>
      </c>
      <c r="F846" s="2">
        <v>15</v>
      </c>
      <c r="G846" s="2" t="b">
        <v>0</v>
      </c>
      <c r="H846" s="2">
        <v>1</v>
      </c>
      <c r="I846" s="2">
        <v>2</v>
      </c>
      <c r="J846" s="2">
        <v>0.38</v>
      </c>
      <c r="K846" s="2">
        <v>0.39389999999999997</v>
      </c>
      <c r="L846" s="2">
        <v>0.54</v>
      </c>
      <c r="M846" s="2">
        <v>8.9599999999999999E-2</v>
      </c>
      <c r="N846" s="2">
        <v>4</v>
      </c>
      <c r="O846" s="2">
        <v>46</v>
      </c>
      <c r="P846" s="2">
        <v>50</v>
      </c>
      <c r="Q846" s="4">
        <f>SUBTOTAL(109,Table6[casual])</f>
        <v>4921</v>
      </c>
      <c r="R846" s="4">
        <f>SUBTOTAL(109,Table6[registered])</f>
        <v>53383</v>
      </c>
      <c r="S846" s="4">
        <f>SUBTOTAL(109,Table6[cnt])</f>
        <v>58304</v>
      </c>
    </row>
    <row r="847" spans="1:19">
      <c r="A847" s="2">
        <v>846</v>
      </c>
      <c r="B847" s="3">
        <v>40581</v>
      </c>
      <c r="C847" s="2">
        <v>1</v>
      </c>
      <c r="D847" s="2">
        <v>0</v>
      </c>
      <c r="E847" s="2">
        <v>2</v>
      </c>
      <c r="F847" s="2">
        <v>16</v>
      </c>
      <c r="G847" s="2" t="b">
        <v>0</v>
      </c>
      <c r="H847" s="2">
        <v>1</v>
      </c>
      <c r="I847" s="2">
        <v>2</v>
      </c>
      <c r="J847" s="2">
        <v>0.36</v>
      </c>
      <c r="K847" s="2">
        <v>0.34849999999999998</v>
      </c>
      <c r="L847" s="2">
        <v>0.56999999999999995</v>
      </c>
      <c r="M847" s="2">
        <v>0.1343</v>
      </c>
      <c r="N847" s="2">
        <v>16</v>
      </c>
      <c r="O847" s="2">
        <v>98</v>
      </c>
      <c r="P847" s="2">
        <v>114</v>
      </c>
      <c r="Q847" s="4">
        <f>SUBTOTAL(109,Table6[casual])</f>
        <v>4921</v>
      </c>
      <c r="R847" s="4">
        <f>SUBTOTAL(109,Table6[registered])</f>
        <v>53383</v>
      </c>
      <c r="S847" s="4">
        <f>SUBTOTAL(109,Table6[cnt])</f>
        <v>58304</v>
      </c>
    </row>
    <row r="848" spans="1:19">
      <c r="A848" s="2">
        <v>847</v>
      </c>
      <c r="B848" s="3">
        <v>40581</v>
      </c>
      <c r="C848" s="2">
        <v>1</v>
      </c>
      <c r="D848" s="2">
        <v>0</v>
      </c>
      <c r="E848" s="2">
        <v>2</v>
      </c>
      <c r="F848" s="2">
        <v>17</v>
      </c>
      <c r="G848" s="2" t="b">
        <v>0</v>
      </c>
      <c r="H848" s="2">
        <v>1</v>
      </c>
      <c r="I848" s="2">
        <v>2</v>
      </c>
      <c r="J848" s="2">
        <v>0.32</v>
      </c>
      <c r="K848" s="2">
        <v>0.31819999999999998</v>
      </c>
      <c r="L848" s="2">
        <v>0.7</v>
      </c>
      <c r="M848" s="2">
        <v>0.16420000000000001</v>
      </c>
      <c r="N848" s="2">
        <v>9</v>
      </c>
      <c r="O848" s="2">
        <v>207</v>
      </c>
      <c r="P848" s="2">
        <v>216</v>
      </c>
      <c r="Q848" s="4">
        <f>SUBTOTAL(109,Table6[casual])</f>
        <v>4921</v>
      </c>
      <c r="R848" s="4">
        <f>SUBTOTAL(109,Table6[registered])</f>
        <v>53383</v>
      </c>
      <c r="S848" s="4">
        <f>SUBTOTAL(109,Table6[cnt])</f>
        <v>58304</v>
      </c>
    </row>
    <row r="849" spans="1:19">
      <c r="A849" s="2">
        <v>848</v>
      </c>
      <c r="B849" s="3">
        <v>40581</v>
      </c>
      <c r="C849" s="2">
        <v>1</v>
      </c>
      <c r="D849" s="2">
        <v>0</v>
      </c>
      <c r="E849" s="2">
        <v>2</v>
      </c>
      <c r="F849" s="2">
        <v>18</v>
      </c>
      <c r="G849" s="2" t="b">
        <v>0</v>
      </c>
      <c r="H849" s="2">
        <v>1</v>
      </c>
      <c r="I849" s="2">
        <v>2</v>
      </c>
      <c r="J849" s="2">
        <v>0.34</v>
      </c>
      <c r="K849" s="2">
        <v>0.33329999999999999</v>
      </c>
      <c r="L849" s="2">
        <v>0.66</v>
      </c>
      <c r="M849" s="2">
        <v>0.1343</v>
      </c>
      <c r="N849" s="2">
        <v>5</v>
      </c>
      <c r="O849" s="2">
        <v>170</v>
      </c>
      <c r="P849" s="2">
        <v>175</v>
      </c>
      <c r="Q849" s="4">
        <f>SUBTOTAL(109,Table6[casual])</f>
        <v>4921</v>
      </c>
      <c r="R849" s="4">
        <f>SUBTOTAL(109,Table6[registered])</f>
        <v>53383</v>
      </c>
      <c r="S849" s="4">
        <f>SUBTOTAL(109,Table6[cnt])</f>
        <v>58304</v>
      </c>
    </row>
    <row r="850" spans="1:19">
      <c r="A850" s="2">
        <v>849</v>
      </c>
      <c r="B850" s="3">
        <v>40581</v>
      </c>
      <c r="C850" s="2">
        <v>1</v>
      </c>
      <c r="D850" s="2">
        <v>0</v>
      </c>
      <c r="E850" s="2">
        <v>2</v>
      </c>
      <c r="F850" s="2">
        <v>19</v>
      </c>
      <c r="G850" s="2" t="b">
        <v>0</v>
      </c>
      <c r="H850" s="2">
        <v>1</v>
      </c>
      <c r="I850" s="2">
        <v>2</v>
      </c>
      <c r="J850" s="2">
        <v>0.32</v>
      </c>
      <c r="K850" s="2">
        <v>0.34849999999999998</v>
      </c>
      <c r="L850" s="2">
        <v>0.7</v>
      </c>
      <c r="M850" s="2">
        <v>0</v>
      </c>
      <c r="N850" s="2">
        <v>5</v>
      </c>
      <c r="O850" s="2">
        <v>123</v>
      </c>
      <c r="P850" s="2">
        <v>128</v>
      </c>
      <c r="Q850" s="4">
        <f>SUBTOTAL(109,Table6[casual])</f>
        <v>4921</v>
      </c>
      <c r="R850" s="4">
        <f>SUBTOTAL(109,Table6[registered])</f>
        <v>53383</v>
      </c>
      <c r="S850" s="4">
        <f>SUBTOTAL(109,Table6[cnt])</f>
        <v>58304</v>
      </c>
    </row>
    <row r="851" spans="1:19">
      <c r="A851" s="2">
        <v>850</v>
      </c>
      <c r="B851" s="3">
        <v>40581</v>
      </c>
      <c r="C851" s="2">
        <v>1</v>
      </c>
      <c r="D851" s="2">
        <v>0</v>
      </c>
      <c r="E851" s="2">
        <v>2</v>
      </c>
      <c r="F851" s="2">
        <v>20</v>
      </c>
      <c r="G851" s="2" t="b">
        <v>0</v>
      </c>
      <c r="H851" s="2">
        <v>1</v>
      </c>
      <c r="I851" s="2">
        <v>2</v>
      </c>
      <c r="J851" s="2">
        <v>0.32</v>
      </c>
      <c r="K851" s="2">
        <v>0.33329999999999999</v>
      </c>
      <c r="L851" s="2">
        <v>0.7</v>
      </c>
      <c r="M851" s="2">
        <v>0.1045</v>
      </c>
      <c r="N851" s="2">
        <v>6</v>
      </c>
      <c r="O851" s="2">
        <v>82</v>
      </c>
      <c r="P851" s="2">
        <v>88</v>
      </c>
      <c r="Q851" s="4">
        <f>SUBTOTAL(109,Table6[casual])</f>
        <v>4921</v>
      </c>
      <c r="R851" s="4">
        <f>SUBTOTAL(109,Table6[registered])</f>
        <v>53383</v>
      </c>
      <c r="S851" s="4">
        <f>SUBTOTAL(109,Table6[cnt])</f>
        <v>58304</v>
      </c>
    </row>
    <row r="852" spans="1:19">
      <c r="A852" s="2">
        <v>851</v>
      </c>
      <c r="B852" s="3">
        <v>40581</v>
      </c>
      <c r="C852" s="2">
        <v>1</v>
      </c>
      <c r="D852" s="2">
        <v>0</v>
      </c>
      <c r="E852" s="2">
        <v>2</v>
      </c>
      <c r="F852" s="2">
        <v>21</v>
      </c>
      <c r="G852" s="2" t="b">
        <v>0</v>
      </c>
      <c r="H852" s="2">
        <v>1</v>
      </c>
      <c r="I852" s="2">
        <v>1</v>
      </c>
      <c r="J852" s="2">
        <v>0.32</v>
      </c>
      <c r="K852" s="2">
        <v>0.34849999999999998</v>
      </c>
      <c r="L852" s="2">
        <v>0.7</v>
      </c>
      <c r="M852" s="2">
        <v>0</v>
      </c>
      <c r="N852" s="2">
        <v>3</v>
      </c>
      <c r="O852" s="2">
        <v>75</v>
      </c>
      <c r="P852" s="2">
        <v>78</v>
      </c>
      <c r="Q852" s="4">
        <f>SUBTOTAL(109,Table6[casual])</f>
        <v>4921</v>
      </c>
      <c r="R852" s="4">
        <f>SUBTOTAL(109,Table6[registered])</f>
        <v>53383</v>
      </c>
      <c r="S852" s="4">
        <f>SUBTOTAL(109,Table6[cnt])</f>
        <v>58304</v>
      </c>
    </row>
    <row r="853" spans="1:19">
      <c r="A853" s="2">
        <v>852</v>
      </c>
      <c r="B853" s="3">
        <v>40581</v>
      </c>
      <c r="C853" s="2">
        <v>1</v>
      </c>
      <c r="D853" s="2">
        <v>0</v>
      </c>
      <c r="E853" s="2">
        <v>2</v>
      </c>
      <c r="F853" s="2">
        <v>22</v>
      </c>
      <c r="G853" s="2" t="b">
        <v>0</v>
      </c>
      <c r="H853" s="2">
        <v>1</v>
      </c>
      <c r="I853" s="2">
        <v>1</v>
      </c>
      <c r="J853" s="2">
        <v>0.28000000000000003</v>
      </c>
      <c r="K853" s="2">
        <v>0.30299999999999999</v>
      </c>
      <c r="L853" s="2">
        <v>0.81</v>
      </c>
      <c r="M853" s="2">
        <v>8.9599999999999999E-2</v>
      </c>
      <c r="N853" s="2">
        <v>3</v>
      </c>
      <c r="O853" s="2">
        <v>34</v>
      </c>
      <c r="P853" s="2">
        <v>37</v>
      </c>
      <c r="Q853" s="4">
        <f>SUBTOTAL(109,Table6[casual])</f>
        <v>4921</v>
      </c>
      <c r="R853" s="4">
        <f>SUBTOTAL(109,Table6[registered])</f>
        <v>53383</v>
      </c>
      <c r="S853" s="4">
        <f>SUBTOTAL(109,Table6[cnt])</f>
        <v>58304</v>
      </c>
    </row>
    <row r="854" spans="1:19">
      <c r="A854" s="2">
        <v>853</v>
      </c>
      <c r="B854" s="3">
        <v>40581</v>
      </c>
      <c r="C854" s="2">
        <v>1</v>
      </c>
      <c r="D854" s="2">
        <v>0</v>
      </c>
      <c r="E854" s="2">
        <v>2</v>
      </c>
      <c r="F854" s="2">
        <v>23</v>
      </c>
      <c r="G854" s="2" t="b">
        <v>0</v>
      </c>
      <c r="H854" s="2">
        <v>1</v>
      </c>
      <c r="I854" s="2">
        <v>2</v>
      </c>
      <c r="J854" s="2">
        <v>0.3</v>
      </c>
      <c r="K854" s="2">
        <v>0.33329999999999999</v>
      </c>
      <c r="L854" s="2">
        <v>0.81</v>
      </c>
      <c r="M854" s="2">
        <v>0</v>
      </c>
      <c r="N854" s="2">
        <v>6</v>
      </c>
      <c r="O854" s="2">
        <v>19</v>
      </c>
      <c r="P854" s="2">
        <v>25</v>
      </c>
      <c r="Q854" s="4">
        <f>SUBTOTAL(109,Table6[casual])</f>
        <v>4921</v>
      </c>
      <c r="R854" s="4">
        <f>SUBTOTAL(109,Table6[registered])</f>
        <v>53383</v>
      </c>
      <c r="S854" s="4">
        <f>SUBTOTAL(109,Table6[cnt])</f>
        <v>58304</v>
      </c>
    </row>
    <row r="855" spans="1:19">
      <c r="A855" s="2">
        <v>854</v>
      </c>
      <c r="B855" s="3">
        <v>40582</v>
      </c>
      <c r="C855" s="2">
        <v>1</v>
      </c>
      <c r="D855" s="2">
        <v>0</v>
      </c>
      <c r="E855" s="2">
        <v>2</v>
      </c>
      <c r="F855" s="2">
        <v>0</v>
      </c>
      <c r="G855" s="2" t="b">
        <v>0</v>
      </c>
      <c r="H855" s="2">
        <v>2</v>
      </c>
      <c r="I855" s="2">
        <v>2</v>
      </c>
      <c r="J855" s="2">
        <v>0.28000000000000003</v>
      </c>
      <c r="K855" s="2">
        <v>0.31819999999999998</v>
      </c>
      <c r="L855" s="2">
        <v>0.87</v>
      </c>
      <c r="M855" s="2">
        <v>0</v>
      </c>
      <c r="N855" s="2">
        <v>4</v>
      </c>
      <c r="O855" s="2">
        <v>6</v>
      </c>
      <c r="P855" s="2">
        <v>10</v>
      </c>
      <c r="Q855" s="4">
        <f>SUBTOTAL(109,Table6[casual])</f>
        <v>4921</v>
      </c>
      <c r="R855" s="4">
        <f>SUBTOTAL(109,Table6[registered])</f>
        <v>53383</v>
      </c>
      <c r="S855" s="4">
        <f>SUBTOTAL(109,Table6[cnt])</f>
        <v>58304</v>
      </c>
    </row>
    <row r="856" spans="1:19">
      <c r="A856" s="2">
        <v>855</v>
      </c>
      <c r="B856" s="3">
        <v>40582</v>
      </c>
      <c r="C856" s="2">
        <v>1</v>
      </c>
      <c r="D856" s="2">
        <v>0</v>
      </c>
      <c r="E856" s="2">
        <v>2</v>
      </c>
      <c r="F856" s="2">
        <v>1</v>
      </c>
      <c r="G856" s="2" t="b">
        <v>0</v>
      </c>
      <c r="H856" s="2">
        <v>2</v>
      </c>
      <c r="I856" s="2">
        <v>2</v>
      </c>
      <c r="J856" s="2">
        <v>0.28000000000000003</v>
      </c>
      <c r="K856" s="2">
        <v>0.31819999999999998</v>
      </c>
      <c r="L856" s="2">
        <v>0.87</v>
      </c>
      <c r="M856" s="2">
        <v>0</v>
      </c>
      <c r="N856" s="2">
        <v>0</v>
      </c>
      <c r="O856" s="2">
        <v>4</v>
      </c>
      <c r="P856" s="2">
        <v>4</v>
      </c>
      <c r="Q856" s="4">
        <f>SUBTOTAL(109,Table6[casual])</f>
        <v>4921</v>
      </c>
      <c r="R856" s="4">
        <f>SUBTOTAL(109,Table6[registered])</f>
        <v>53383</v>
      </c>
      <c r="S856" s="4">
        <f>SUBTOTAL(109,Table6[cnt])</f>
        <v>58304</v>
      </c>
    </row>
    <row r="857" spans="1:19">
      <c r="A857" s="2">
        <v>856</v>
      </c>
      <c r="B857" s="3">
        <v>40582</v>
      </c>
      <c r="C857" s="2">
        <v>1</v>
      </c>
      <c r="D857" s="2">
        <v>0</v>
      </c>
      <c r="E857" s="2">
        <v>2</v>
      </c>
      <c r="F857" s="2">
        <v>2</v>
      </c>
      <c r="G857" s="2" t="b">
        <v>0</v>
      </c>
      <c r="H857" s="2">
        <v>2</v>
      </c>
      <c r="I857" s="2">
        <v>2</v>
      </c>
      <c r="J857" s="2">
        <v>0.26</v>
      </c>
      <c r="K857" s="2">
        <v>0.2727</v>
      </c>
      <c r="L857" s="2">
        <v>0.93</v>
      </c>
      <c r="M857" s="2">
        <v>0.1045</v>
      </c>
      <c r="N857" s="2">
        <v>1</v>
      </c>
      <c r="O857" s="2">
        <v>1</v>
      </c>
      <c r="P857" s="2">
        <v>2</v>
      </c>
      <c r="Q857" s="4">
        <f>SUBTOTAL(109,Table6[casual])</f>
        <v>4921</v>
      </c>
      <c r="R857" s="4">
        <f>SUBTOTAL(109,Table6[registered])</f>
        <v>53383</v>
      </c>
      <c r="S857" s="4">
        <f>SUBTOTAL(109,Table6[cnt])</f>
        <v>58304</v>
      </c>
    </row>
    <row r="858" spans="1:19">
      <c r="A858" s="2">
        <v>857</v>
      </c>
      <c r="B858" s="3">
        <v>40582</v>
      </c>
      <c r="C858" s="2">
        <v>1</v>
      </c>
      <c r="D858" s="2">
        <v>0</v>
      </c>
      <c r="E858" s="2">
        <v>2</v>
      </c>
      <c r="F858" s="2">
        <v>3</v>
      </c>
      <c r="G858" s="2" t="b">
        <v>0</v>
      </c>
      <c r="H858" s="2">
        <v>2</v>
      </c>
      <c r="I858" s="2">
        <v>3</v>
      </c>
      <c r="J858" s="2">
        <v>0.28000000000000003</v>
      </c>
      <c r="K858" s="2">
        <v>0.2727</v>
      </c>
      <c r="L858" s="2">
        <v>0.93</v>
      </c>
      <c r="M858" s="2">
        <v>0.16420000000000001</v>
      </c>
      <c r="N858" s="2">
        <v>0</v>
      </c>
      <c r="O858" s="2">
        <v>1</v>
      </c>
      <c r="P858" s="2">
        <v>1</v>
      </c>
      <c r="Q858" s="4">
        <f>SUBTOTAL(109,Table6[casual])</f>
        <v>4921</v>
      </c>
      <c r="R858" s="4">
        <f>SUBTOTAL(109,Table6[registered])</f>
        <v>53383</v>
      </c>
      <c r="S858" s="4">
        <f>SUBTOTAL(109,Table6[cnt])</f>
        <v>58304</v>
      </c>
    </row>
    <row r="859" spans="1:19">
      <c r="A859" s="2">
        <v>858</v>
      </c>
      <c r="B859" s="3">
        <v>40582</v>
      </c>
      <c r="C859" s="2">
        <v>1</v>
      </c>
      <c r="D859" s="2">
        <v>0</v>
      </c>
      <c r="E859" s="2">
        <v>2</v>
      </c>
      <c r="F859" s="2">
        <v>4</v>
      </c>
      <c r="G859" s="2" t="b">
        <v>0</v>
      </c>
      <c r="H859" s="2">
        <v>2</v>
      </c>
      <c r="I859" s="2">
        <v>1</v>
      </c>
      <c r="J859" s="2">
        <v>0.26</v>
      </c>
      <c r="K859" s="2">
        <v>0.2576</v>
      </c>
      <c r="L859" s="2">
        <v>0.93</v>
      </c>
      <c r="M859" s="2">
        <v>0.16420000000000001</v>
      </c>
      <c r="N859" s="2">
        <v>0</v>
      </c>
      <c r="O859" s="2">
        <v>3</v>
      </c>
      <c r="P859" s="2">
        <v>3</v>
      </c>
      <c r="Q859" s="4">
        <f>SUBTOTAL(109,Table6[casual])</f>
        <v>4921</v>
      </c>
      <c r="R859" s="4">
        <f>SUBTOTAL(109,Table6[registered])</f>
        <v>53383</v>
      </c>
      <c r="S859" s="4">
        <f>SUBTOTAL(109,Table6[cnt])</f>
        <v>58304</v>
      </c>
    </row>
    <row r="860" spans="1:19">
      <c r="A860" s="2">
        <v>859</v>
      </c>
      <c r="B860" s="3">
        <v>40582</v>
      </c>
      <c r="C860" s="2">
        <v>1</v>
      </c>
      <c r="D860" s="2">
        <v>0</v>
      </c>
      <c r="E860" s="2">
        <v>2</v>
      </c>
      <c r="F860" s="2">
        <v>5</v>
      </c>
      <c r="G860" s="2" t="b">
        <v>0</v>
      </c>
      <c r="H860" s="2">
        <v>2</v>
      </c>
      <c r="I860" s="2">
        <v>1</v>
      </c>
      <c r="J860" s="2">
        <v>0.26</v>
      </c>
      <c r="K860" s="2">
        <v>0.2273</v>
      </c>
      <c r="L860" s="2">
        <v>0.81</v>
      </c>
      <c r="M860" s="2">
        <v>0.32840000000000003</v>
      </c>
      <c r="N860" s="2">
        <v>0</v>
      </c>
      <c r="O860" s="2">
        <v>2</v>
      </c>
      <c r="P860" s="2">
        <v>2</v>
      </c>
      <c r="Q860" s="4">
        <f>SUBTOTAL(109,Table6[casual])</f>
        <v>4921</v>
      </c>
      <c r="R860" s="4">
        <f>SUBTOTAL(109,Table6[registered])</f>
        <v>53383</v>
      </c>
      <c r="S860" s="4">
        <f>SUBTOTAL(109,Table6[cnt])</f>
        <v>58304</v>
      </c>
    </row>
    <row r="861" spans="1:19">
      <c r="A861" s="2">
        <v>860</v>
      </c>
      <c r="B861" s="3">
        <v>40582</v>
      </c>
      <c r="C861" s="2">
        <v>1</v>
      </c>
      <c r="D861" s="2">
        <v>0</v>
      </c>
      <c r="E861" s="2">
        <v>2</v>
      </c>
      <c r="F861" s="2">
        <v>6</v>
      </c>
      <c r="G861" s="2" t="b">
        <v>0</v>
      </c>
      <c r="H861" s="2">
        <v>2</v>
      </c>
      <c r="I861" s="2">
        <v>1</v>
      </c>
      <c r="J861" s="2">
        <v>0.26</v>
      </c>
      <c r="K861" s="2">
        <v>0.2273</v>
      </c>
      <c r="L861" s="2">
        <v>0.7</v>
      </c>
      <c r="M861" s="2">
        <v>0.32840000000000003</v>
      </c>
      <c r="N861" s="2">
        <v>0</v>
      </c>
      <c r="O861" s="2">
        <v>39</v>
      </c>
      <c r="P861" s="2">
        <v>39</v>
      </c>
      <c r="Q861" s="4">
        <f>SUBTOTAL(109,Table6[casual])</f>
        <v>4921</v>
      </c>
      <c r="R861" s="4">
        <f>SUBTOTAL(109,Table6[registered])</f>
        <v>53383</v>
      </c>
      <c r="S861" s="4">
        <f>SUBTOTAL(109,Table6[cnt])</f>
        <v>58304</v>
      </c>
    </row>
    <row r="862" spans="1:19">
      <c r="A862" s="2">
        <v>861</v>
      </c>
      <c r="B862" s="3">
        <v>40582</v>
      </c>
      <c r="C862" s="2">
        <v>1</v>
      </c>
      <c r="D862" s="2">
        <v>0</v>
      </c>
      <c r="E862" s="2">
        <v>2</v>
      </c>
      <c r="F862" s="2">
        <v>7</v>
      </c>
      <c r="G862" s="2" t="b">
        <v>0</v>
      </c>
      <c r="H862" s="2">
        <v>2</v>
      </c>
      <c r="I862" s="2">
        <v>1</v>
      </c>
      <c r="J862" s="2">
        <v>0.24</v>
      </c>
      <c r="K862" s="2">
        <v>0.19700000000000001</v>
      </c>
      <c r="L862" s="2">
        <v>0.65</v>
      </c>
      <c r="M862" s="2">
        <v>0.41789999999999999</v>
      </c>
      <c r="N862" s="2">
        <v>3</v>
      </c>
      <c r="O862" s="2">
        <v>97</v>
      </c>
      <c r="P862" s="2">
        <v>100</v>
      </c>
      <c r="Q862" s="4">
        <f>SUBTOTAL(109,Table6[casual])</f>
        <v>4921</v>
      </c>
      <c r="R862" s="4">
        <f>SUBTOTAL(109,Table6[registered])</f>
        <v>53383</v>
      </c>
      <c r="S862" s="4">
        <f>SUBTOTAL(109,Table6[cnt])</f>
        <v>58304</v>
      </c>
    </row>
    <row r="863" spans="1:19">
      <c r="A863" s="2">
        <v>862</v>
      </c>
      <c r="B863" s="3">
        <v>40582</v>
      </c>
      <c r="C863" s="2">
        <v>1</v>
      </c>
      <c r="D863" s="2">
        <v>0</v>
      </c>
      <c r="E863" s="2">
        <v>2</v>
      </c>
      <c r="F863" s="2">
        <v>8</v>
      </c>
      <c r="G863" s="2" t="b">
        <v>0</v>
      </c>
      <c r="H863" s="2">
        <v>2</v>
      </c>
      <c r="I863" s="2">
        <v>1</v>
      </c>
      <c r="J863" s="2">
        <v>0.24</v>
      </c>
      <c r="K863" s="2">
        <v>0.19700000000000001</v>
      </c>
      <c r="L863" s="2">
        <v>0.56000000000000005</v>
      </c>
      <c r="M863" s="2">
        <v>0.49249999999999999</v>
      </c>
      <c r="N863" s="2">
        <v>7</v>
      </c>
      <c r="O863" s="2">
        <v>236</v>
      </c>
      <c r="P863" s="2">
        <v>243</v>
      </c>
      <c r="Q863" s="4">
        <f>SUBTOTAL(109,Table6[casual])</f>
        <v>4921</v>
      </c>
      <c r="R863" s="4">
        <f>SUBTOTAL(109,Table6[registered])</f>
        <v>53383</v>
      </c>
      <c r="S863" s="4">
        <f>SUBTOTAL(109,Table6[cnt])</f>
        <v>58304</v>
      </c>
    </row>
    <row r="864" spans="1:19">
      <c r="A864" s="2">
        <v>863</v>
      </c>
      <c r="B864" s="3">
        <v>40582</v>
      </c>
      <c r="C864" s="2">
        <v>1</v>
      </c>
      <c r="D864" s="2">
        <v>0</v>
      </c>
      <c r="E864" s="2">
        <v>2</v>
      </c>
      <c r="F864" s="2">
        <v>9</v>
      </c>
      <c r="G864" s="2" t="b">
        <v>0</v>
      </c>
      <c r="H864" s="2">
        <v>2</v>
      </c>
      <c r="I864" s="2">
        <v>1</v>
      </c>
      <c r="J864" s="2">
        <v>0.24</v>
      </c>
      <c r="K864" s="2">
        <v>0.19700000000000001</v>
      </c>
      <c r="L864" s="2">
        <v>0.52</v>
      </c>
      <c r="M864" s="2">
        <v>0.49249999999999999</v>
      </c>
      <c r="N864" s="2">
        <v>7</v>
      </c>
      <c r="O864" s="2">
        <v>128</v>
      </c>
      <c r="P864" s="2">
        <v>135</v>
      </c>
      <c r="Q864" s="4">
        <f>SUBTOTAL(109,Table6[casual])</f>
        <v>4921</v>
      </c>
      <c r="R864" s="4">
        <f>SUBTOTAL(109,Table6[registered])</f>
        <v>53383</v>
      </c>
      <c r="S864" s="4">
        <f>SUBTOTAL(109,Table6[cnt])</f>
        <v>58304</v>
      </c>
    </row>
    <row r="865" spans="1:19">
      <c r="A865" s="2">
        <v>864</v>
      </c>
      <c r="B865" s="3">
        <v>40582</v>
      </c>
      <c r="C865" s="2">
        <v>1</v>
      </c>
      <c r="D865" s="2">
        <v>0</v>
      </c>
      <c r="E865" s="2">
        <v>2</v>
      </c>
      <c r="F865" s="2">
        <v>10</v>
      </c>
      <c r="G865" s="2" t="b">
        <v>0</v>
      </c>
      <c r="H865" s="2">
        <v>2</v>
      </c>
      <c r="I865" s="2">
        <v>1</v>
      </c>
      <c r="J865" s="2">
        <v>0.22</v>
      </c>
      <c r="K865" s="2">
        <v>0.18179999999999999</v>
      </c>
      <c r="L865" s="2">
        <v>0.47</v>
      </c>
      <c r="M865" s="2">
        <v>0.55220000000000002</v>
      </c>
      <c r="N865" s="2">
        <v>4</v>
      </c>
      <c r="O865" s="2">
        <v>44</v>
      </c>
      <c r="P865" s="2">
        <v>48</v>
      </c>
      <c r="Q865" s="4">
        <f>SUBTOTAL(109,Table6[casual])</f>
        <v>4921</v>
      </c>
      <c r="R865" s="4">
        <f>SUBTOTAL(109,Table6[registered])</f>
        <v>53383</v>
      </c>
      <c r="S865" s="4">
        <f>SUBTOTAL(109,Table6[cnt])</f>
        <v>58304</v>
      </c>
    </row>
    <row r="866" spans="1:19">
      <c r="A866" s="2">
        <v>865</v>
      </c>
      <c r="B866" s="3">
        <v>40582</v>
      </c>
      <c r="C866" s="2">
        <v>1</v>
      </c>
      <c r="D866" s="2">
        <v>0</v>
      </c>
      <c r="E866" s="2">
        <v>2</v>
      </c>
      <c r="F866" s="2">
        <v>11</v>
      </c>
      <c r="G866" s="2" t="b">
        <v>0</v>
      </c>
      <c r="H866" s="2">
        <v>2</v>
      </c>
      <c r="I866" s="2">
        <v>1</v>
      </c>
      <c r="J866" s="2">
        <v>0.22</v>
      </c>
      <c r="K866" s="2">
        <v>0.18179999999999999</v>
      </c>
      <c r="L866" s="2">
        <v>0.47</v>
      </c>
      <c r="M866" s="2">
        <v>0.4627</v>
      </c>
      <c r="N866" s="2">
        <v>1</v>
      </c>
      <c r="O866" s="2">
        <v>49</v>
      </c>
      <c r="P866" s="2">
        <v>50</v>
      </c>
      <c r="Q866" s="4">
        <f>SUBTOTAL(109,Table6[casual])</f>
        <v>4921</v>
      </c>
      <c r="R866" s="4">
        <f>SUBTOTAL(109,Table6[registered])</f>
        <v>53383</v>
      </c>
      <c r="S866" s="4">
        <f>SUBTOTAL(109,Table6[cnt])</f>
        <v>58304</v>
      </c>
    </row>
    <row r="867" spans="1:19">
      <c r="A867" s="2">
        <v>866</v>
      </c>
      <c r="B867" s="3">
        <v>40582</v>
      </c>
      <c r="C867" s="2">
        <v>1</v>
      </c>
      <c r="D867" s="2">
        <v>0</v>
      </c>
      <c r="E867" s="2">
        <v>2</v>
      </c>
      <c r="F867" s="2">
        <v>12</v>
      </c>
      <c r="G867" s="2" t="b">
        <v>0</v>
      </c>
      <c r="H867" s="2">
        <v>2</v>
      </c>
      <c r="I867" s="2">
        <v>1</v>
      </c>
      <c r="J867" s="2">
        <v>0.24</v>
      </c>
      <c r="K867" s="2">
        <v>0.19700000000000001</v>
      </c>
      <c r="L867" s="2">
        <v>0.38</v>
      </c>
      <c r="M867" s="2">
        <v>0.49249999999999999</v>
      </c>
      <c r="N867" s="2">
        <v>2</v>
      </c>
      <c r="O867" s="2">
        <v>63</v>
      </c>
      <c r="P867" s="2">
        <v>65</v>
      </c>
      <c r="Q867" s="4">
        <f>SUBTOTAL(109,Table6[casual])</f>
        <v>4921</v>
      </c>
      <c r="R867" s="4">
        <f>SUBTOTAL(109,Table6[registered])</f>
        <v>53383</v>
      </c>
      <c r="S867" s="4">
        <f>SUBTOTAL(109,Table6[cnt])</f>
        <v>58304</v>
      </c>
    </row>
    <row r="868" spans="1:19">
      <c r="A868" s="2">
        <v>867</v>
      </c>
      <c r="B868" s="3">
        <v>40582</v>
      </c>
      <c r="C868" s="2">
        <v>1</v>
      </c>
      <c r="D868" s="2">
        <v>0</v>
      </c>
      <c r="E868" s="2">
        <v>2</v>
      </c>
      <c r="F868" s="2">
        <v>13</v>
      </c>
      <c r="G868" s="2" t="b">
        <v>0</v>
      </c>
      <c r="H868" s="2">
        <v>2</v>
      </c>
      <c r="I868" s="2">
        <v>2</v>
      </c>
      <c r="J868" s="2">
        <v>0.24</v>
      </c>
      <c r="K868" s="2">
        <v>0.19700000000000001</v>
      </c>
      <c r="L868" s="2">
        <v>0.32</v>
      </c>
      <c r="M868" s="2">
        <v>0.44779999999999998</v>
      </c>
      <c r="N868" s="2">
        <v>2</v>
      </c>
      <c r="O868" s="2">
        <v>48</v>
      </c>
      <c r="P868" s="2">
        <v>50</v>
      </c>
      <c r="Q868" s="4">
        <f>SUBTOTAL(109,Table6[casual])</f>
        <v>4921</v>
      </c>
      <c r="R868" s="4">
        <f>SUBTOTAL(109,Table6[registered])</f>
        <v>53383</v>
      </c>
      <c r="S868" s="4">
        <f>SUBTOTAL(109,Table6[cnt])</f>
        <v>58304</v>
      </c>
    </row>
    <row r="869" spans="1:19">
      <c r="A869" s="2">
        <v>868</v>
      </c>
      <c r="B869" s="3">
        <v>40582</v>
      </c>
      <c r="C869" s="2">
        <v>1</v>
      </c>
      <c r="D869" s="2">
        <v>0</v>
      </c>
      <c r="E869" s="2">
        <v>2</v>
      </c>
      <c r="F869" s="2">
        <v>14</v>
      </c>
      <c r="G869" s="2" t="b">
        <v>0</v>
      </c>
      <c r="H869" s="2">
        <v>2</v>
      </c>
      <c r="I869" s="2">
        <v>1</v>
      </c>
      <c r="J869" s="2">
        <v>0.22</v>
      </c>
      <c r="K869" s="2">
        <v>0.19700000000000001</v>
      </c>
      <c r="L869" s="2">
        <v>0.37</v>
      </c>
      <c r="M869" s="2">
        <v>0.41789999999999999</v>
      </c>
      <c r="N869" s="2">
        <v>3</v>
      </c>
      <c r="O869" s="2">
        <v>61</v>
      </c>
      <c r="P869" s="2">
        <v>64</v>
      </c>
      <c r="Q869" s="4">
        <f>SUBTOTAL(109,Table6[casual])</f>
        <v>4921</v>
      </c>
      <c r="R869" s="4">
        <f>SUBTOTAL(109,Table6[registered])</f>
        <v>53383</v>
      </c>
      <c r="S869" s="4">
        <f>SUBTOTAL(109,Table6[cnt])</f>
        <v>58304</v>
      </c>
    </row>
    <row r="870" spans="1:19">
      <c r="A870" s="2">
        <v>869</v>
      </c>
      <c r="B870" s="3">
        <v>40582</v>
      </c>
      <c r="C870" s="2">
        <v>1</v>
      </c>
      <c r="D870" s="2">
        <v>0</v>
      </c>
      <c r="E870" s="2">
        <v>2</v>
      </c>
      <c r="F870" s="2">
        <v>15</v>
      </c>
      <c r="G870" s="2" t="b">
        <v>0</v>
      </c>
      <c r="H870" s="2">
        <v>2</v>
      </c>
      <c r="I870" s="2">
        <v>1</v>
      </c>
      <c r="J870" s="2">
        <v>0.22</v>
      </c>
      <c r="K870" s="2">
        <v>0.19700000000000001</v>
      </c>
      <c r="L870" s="2">
        <v>0.35</v>
      </c>
      <c r="M870" s="2">
        <v>0.3881</v>
      </c>
      <c r="N870" s="2">
        <v>6</v>
      </c>
      <c r="O870" s="2">
        <v>45</v>
      </c>
      <c r="P870" s="2">
        <v>51</v>
      </c>
      <c r="Q870" s="4">
        <f>SUBTOTAL(109,Table6[casual])</f>
        <v>4921</v>
      </c>
      <c r="R870" s="4">
        <f>SUBTOTAL(109,Table6[registered])</f>
        <v>53383</v>
      </c>
      <c r="S870" s="4">
        <f>SUBTOTAL(109,Table6[cnt])</f>
        <v>58304</v>
      </c>
    </row>
    <row r="871" spans="1:19">
      <c r="A871" s="2">
        <v>870</v>
      </c>
      <c r="B871" s="3">
        <v>40582</v>
      </c>
      <c r="C871" s="2">
        <v>1</v>
      </c>
      <c r="D871" s="2">
        <v>0</v>
      </c>
      <c r="E871" s="2">
        <v>2</v>
      </c>
      <c r="F871" s="2">
        <v>16</v>
      </c>
      <c r="G871" s="2" t="b">
        <v>0</v>
      </c>
      <c r="H871" s="2">
        <v>2</v>
      </c>
      <c r="I871" s="2">
        <v>1</v>
      </c>
      <c r="J871" s="2">
        <v>0.22</v>
      </c>
      <c r="K871" s="2">
        <v>0.18179999999999999</v>
      </c>
      <c r="L871" s="2">
        <v>0.35</v>
      </c>
      <c r="M871" s="2">
        <v>0.52239999999999998</v>
      </c>
      <c r="N871" s="2">
        <v>4</v>
      </c>
      <c r="O871" s="2">
        <v>79</v>
      </c>
      <c r="P871" s="2">
        <v>83</v>
      </c>
      <c r="Q871" s="4">
        <f>SUBTOTAL(109,Table6[casual])</f>
        <v>4921</v>
      </c>
      <c r="R871" s="4">
        <f>SUBTOTAL(109,Table6[registered])</f>
        <v>53383</v>
      </c>
      <c r="S871" s="4">
        <f>SUBTOTAL(109,Table6[cnt])</f>
        <v>58304</v>
      </c>
    </row>
    <row r="872" spans="1:19">
      <c r="A872" s="2">
        <v>871</v>
      </c>
      <c r="B872" s="3">
        <v>40582</v>
      </c>
      <c r="C872" s="2">
        <v>1</v>
      </c>
      <c r="D872" s="2">
        <v>0</v>
      </c>
      <c r="E872" s="2">
        <v>2</v>
      </c>
      <c r="F872" s="2">
        <v>17</v>
      </c>
      <c r="G872" s="2" t="b">
        <v>0</v>
      </c>
      <c r="H872" s="2">
        <v>2</v>
      </c>
      <c r="I872" s="2">
        <v>1</v>
      </c>
      <c r="J872" s="2">
        <v>0.22</v>
      </c>
      <c r="K872" s="2">
        <v>0.18179999999999999</v>
      </c>
      <c r="L872" s="2">
        <v>0.32</v>
      </c>
      <c r="M872" s="2">
        <v>0.58209999999999995</v>
      </c>
      <c r="N872" s="2">
        <v>4</v>
      </c>
      <c r="O872" s="2">
        <v>172</v>
      </c>
      <c r="P872" s="2">
        <v>176</v>
      </c>
      <c r="Q872" s="4">
        <f>SUBTOTAL(109,Table6[casual])</f>
        <v>4921</v>
      </c>
      <c r="R872" s="4">
        <f>SUBTOTAL(109,Table6[registered])</f>
        <v>53383</v>
      </c>
      <c r="S872" s="4">
        <f>SUBTOTAL(109,Table6[cnt])</f>
        <v>58304</v>
      </c>
    </row>
    <row r="873" spans="1:19">
      <c r="A873" s="2">
        <v>872</v>
      </c>
      <c r="B873" s="3">
        <v>40582</v>
      </c>
      <c r="C873" s="2">
        <v>1</v>
      </c>
      <c r="D873" s="2">
        <v>0</v>
      </c>
      <c r="E873" s="2">
        <v>2</v>
      </c>
      <c r="F873" s="2">
        <v>18</v>
      </c>
      <c r="G873" s="2" t="b">
        <v>0</v>
      </c>
      <c r="H873" s="2">
        <v>2</v>
      </c>
      <c r="I873" s="2">
        <v>1</v>
      </c>
      <c r="J873" s="2">
        <v>0.2</v>
      </c>
      <c r="K873" s="2">
        <v>0.18179999999999999</v>
      </c>
      <c r="L873" s="2">
        <v>0.32</v>
      </c>
      <c r="M873" s="2">
        <v>0.3881</v>
      </c>
      <c r="N873" s="2">
        <v>1</v>
      </c>
      <c r="O873" s="2">
        <v>151</v>
      </c>
      <c r="P873" s="2">
        <v>152</v>
      </c>
      <c r="Q873" s="4">
        <f>SUBTOTAL(109,Table6[casual])</f>
        <v>4921</v>
      </c>
      <c r="R873" s="4">
        <f>SUBTOTAL(109,Table6[registered])</f>
        <v>53383</v>
      </c>
      <c r="S873" s="4">
        <f>SUBTOTAL(109,Table6[cnt])</f>
        <v>58304</v>
      </c>
    </row>
    <row r="874" spans="1:19">
      <c r="A874" s="2">
        <v>873</v>
      </c>
      <c r="B874" s="3">
        <v>40582</v>
      </c>
      <c r="C874" s="2">
        <v>1</v>
      </c>
      <c r="D874" s="2">
        <v>0</v>
      </c>
      <c r="E874" s="2">
        <v>2</v>
      </c>
      <c r="F874" s="2">
        <v>19</v>
      </c>
      <c r="G874" s="2" t="b">
        <v>0</v>
      </c>
      <c r="H874" s="2">
        <v>2</v>
      </c>
      <c r="I874" s="2">
        <v>1</v>
      </c>
      <c r="J874" s="2">
        <v>0.16</v>
      </c>
      <c r="K874" s="2">
        <v>0.1212</v>
      </c>
      <c r="L874" s="2">
        <v>0.4</v>
      </c>
      <c r="M874" s="2">
        <v>0.4627</v>
      </c>
      <c r="N874" s="2">
        <v>1</v>
      </c>
      <c r="O874" s="2">
        <v>100</v>
      </c>
      <c r="P874" s="2">
        <v>101</v>
      </c>
      <c r="Q874" s="4">
        <f>SUBTOTAL(109,Table6[casual])</f>
        <v>4921</v>
      </c>
      <c r="R874" s="4">
        <f>SUBTOTAL(109,Table6[registered])</f>
        <v>53383</v>
      </c>
      <c r="S874" s="4">
        <f>SUBTOTAL(109,Table6[cnt])</f>
        <v>58304</v>
      </c>
    </row>
    <row r="875" spans="1:19">
      <c r="A875" s="2">
        <v>874</v>
      </c>
      <c r="B875" s="3">
        <v>40582</v>
      </c>
      <c r="C875" s="2">
        <v>1</v>
      </c>
      <c r="D875" s="2">
        <v>0</v>
      </c>
      <c r="E875" s="2">
        <v>2</v>
      </c>
      <c r="F875" s="2">
        <v>20</v>
      </c>
      <c r="G875" s="2" t="b">
        <v>0</v>
      </c>
      <c r="H875" s="2">
        <v>2</v>
      </c>
      <c r="I875" s="2">
        <v>1</v>
      </c>
      <c r="J875" s="2">
        <v>0.16</v>
      </c>
      <c r="K875" s="2">
        <v>0.13639999999999999</v>
      </c>
      <c r="L875" s="2">
        <v>0.4</v>
      </c>
      <c r="M875" s="2">
        <v>0.32840000000000003</v>
      </c>
      <c r="N875" s="2">
        <v>3</v>
      </c>
      <c r="O875" s="2">
        <v>53</v>
      </c>
      <c r="P875" s="2">
        <v>56</v>
      </c>
      <c r="Q875" s="4">
        <f>SUBTOTAL(109,Table6[casual])</f>
        <v>4921</v>
      </c>
      <c r="R875" s="4">
        <f>SUBTOTAL(109,Table6[registered])</f>
        <v>53383</v>
      </c>
      <c r="S875" s="4">
        <f>SUBTOTAL(109,Table6[cnt])</f>
        <v>58304</v>
      </c>
    </row>
    <row r="876" spans="1:19">
      <c r="A876" s="2">
        <v>875</v>
      </c>
      <c r="B876" s="3">
        <v>40582</v>
      </c>
      <c r="C876" s="2">
        <v>1</v>
      </c>
      <c r="D876" s="2">
        <v>0</v>
      </c>
      <c r="E876" s="2">
        <v>2</v>
      </c>
      <c r="F876" s="2">
        <v>21</v>
      </c>
      <c r="G876" s="2" t="b">
        <v>0</v>
      </c>
      <c r="H876" s="2">
        <v>2</v>
      </c>
      <c r="I876" s="2">
        <v>1</v>
      </c>
      <c r="J876" s="2">
        <v>0.14000000000000001</v>
      </c>
      <c r="K876" s="2">
        <v>0.1061</v>
      </c>
      <c r="L876" s="2">
        <v>0.33</v>
      </c>
      <c r="M876" s="2">
        <v>0.4627</v>
      </c>
      <c r="N876" s="2">
        <v>8</v>
      </c>
      <c r="O876" s="2">
        <v>46</v>
      </c>
      <c r="P876" s="2">
        <v>54</v>
      </c>
      <c r="Q876" s="4">
        <f>SUBTOTAL(109,Table6[casual])</f>
        <v>4921</v>
      </c>
      <c r="R876" s="4">
        <f>SUBTOTAL(109,Table6[registered])</f>
        <v>53383</v>
      </c>
      <c r="S876" s="4">
        <f>SUBTOTAL(109,Table6[cnt])</f>
        <v>58304</v>
      </c>
    </row>
    <row r="877" spans="1:19">
      <c r="A877" s="2">
        <v>876</v>
      </c>
      <c r="B877" s="3">
        <v>40582</v>
      </c>
      <c r="C877" s="2">
        <v>1</v>
      </c>
      <c r="D877" s="2">
        <v>0</v>
      </c>
      <c r="E877" s="2">
        <v>2</v>
      </c>
      <c r="F877" s="2">
        <v>22</v>
      </c>
      <c r="G877" s="2" t="b">
        <v>0</v>
      </c>
      <c r="H877" s="2">
        <v>2</v>
      </c>
      <c r="I877" s="2">
        <v>1</v>
      </c>
      <c r="J877" s="2">
        <v>0.12</v>
      </c>
      <c r="K877" s="2">
        <v>0.1061</v>
      </c>
      <c r="L877" s="2">
        <v>0.33</v>
      </c>
      <c r="M877" s="2">
        <v>0.35820000000000002</v>
      </c>
      <c r="N877" s="2">
        <v>0</v>
      </c>
      <c r="O877" s="2">
        <v>29</v>
      </c>
      <c r="P877" s="2">
        <v>29</v>
      </c>
      <c r="Q877" s="4">
        <f>SUBTOTAL(109,Table6[casual])</f>
        <v>4921</v>
      </c>
      <c r="R877" s="4">
        <f>SUBTOTAL(109,Table6[registered])</f>
        <v>53383</v>
      </c>
      <c r="S877" s="4">
        <f>SUBTOTAL(109,Table6[cnt])</f>
        <v>58304</v>
      </c>
    </row>
    <row r="878" spans="1:19">
      <c r="A878" s="2">
        <v>877</v>
      </c>
      <c r="B878" s="3">
        <v>40582</v>
      </c>
      <c r="C878" s="2">
        <v>1</v>
      </c>
      <c r="D878" s="2">
        <v>0</v>
      </c>
      <c r="E878" s="2">
        <v>2</v>
      </c>
      <c r="F878" s="2">
        <v>23</v>
      </c>
      <c r="G878" s="2" t="b">
        <v>0</v>
      </c>
      <c r="H878" s="2">
        <v>2</v>
      </c>
      <c r="I878" s="2">
        <v>1</v>
      </c>
      <c r="J878" s="2">
        <v>0.12</v>
      </c>
      <c r="K878" s="2">
        <v>0.1061</v>
      </c>
      <c r="L878" s="2">
        <v>0.33</v>
      </c>
      <c r="M878" s="2">
        <v>0.32840000000000003</v>
      </c>
      <c r="N878" s="2">
        <v>3</v>
      </c>
      <c r="O878" s="2">
        <v>9</v>
      </c>
      <c r="P878" s="2">
        <v>12</v>
      </c>
      <c r="Q878" s="4">
        <f>SUBTOTAL(109,Table6[casual])</f>
        <v>4921</v>
      </c>
      <c r="R878" s="4">
        <f>SUBTOTAL(109,Table6[registered])</f>
        <v>53383</v>
      </c>
      <c r="S878" s="4">
        <f>SUBTOTAL(109,Table6[cnt])</f>
        <v>58304</v>
      </c>
    </row>
    <row r="879" spans="1:19">
      <c r="A879" s="2">
        <v>878</v>
      </c>
      <c r="B879" s="3">
        <v>40583</v>
      </c>
      <c r="C879" s="2">
        <v>1</v>
      </c>
      <c r="D879" s="2">
        <v>0</v>
      </c>
      <c r="E879" s="2">
        <v>2</v>
      </c>
      <c r="F879" s="2">
        <v>0</v>
      </c>
      <c r="G879" s="2" t="b">
        <v>0</v>
      </c>
      <c r="H879" s="2">
        <v>3</v>
      </c>
      <c r="I879" s="2">
        <v>1</v>
      </c>
      <c r="J879" s="2">
        <v>0.1</v>
      </c>
      <c r="K879" s="2">
        <v>7.5800000000000006E-2</v>
      </c>
      <c r="L879" s="2">
        <v>0.36</v>
      </c>
      <c r="M879" s="2">
        <v>0.35820000000000002</v>
      </c>
      <c r="N879" s="2">
        <v>0</v>
      </c>
      <c r="O879" s="2">
        <v>17</v>
      </c>
      <c r="P879" s="2">
        <v>17</v>
      </c>
      <c r="Q879" s="4">
        <f>SUBTOTAL(109,Table6[casual])</f>
        <v>4921</v>
      </c>
      <c r="R879" s="4">
        <f>SUBTOTAL(109,Table6[registered])</f>
        <v>53383</v>
      </c>
      <c r="S879" s="4">
        <f>SUBTOTAL(109,Table6[cnt])</f>
        <v>58304</v>
      </c>
    </row>
    <row r="880" spans="1:19">
      <c r="A880" s="2">
        <v>879</v>
      </c>
      <c r="B880" s="3">
        <v>40583</v>
      </c>
      <c r="C880" s="2">
        <v>1</v>
      </c>
      <c r="D880" s="2">
        <v>0</v>
      </c>
      <c r="E880" s="2">
        <v>2</v>
      </c>
      <c r="F880" s="2">
        <v>1</v>
      </c>
      <c r="G880" s="2" t="b">
        <v>0</v>
      </c>
      <c r="H880" s="2">
        <v>3</v>
      </c>
      <c r="I880" s="2">
        <v>1</v>
      </c>
      <c r="J880" s="2">
        <v>0.1</v>
      </c>
      <c r="K880" s="2">
        <v>0.1061</v>
      </c>
      <c r="L880" s="2">
        <v>0.36</v>
      </c>
      <c r="M880" s="2">
        <v>0.22389999999999999</v>
      </c>
      <c r="N880" s="2">
        <v>0</v>
      </c>
      <c r="O880" s="2">
        <v>7</v>
      </c>
      <c r="P880" s="2">
        <v>7</v>
      </c>
      <c r="Q880" s="4">
        <f>SUBTOTAL(109,Table6[casual])</f>
        <v>4921</v>
      </c>
      <c r="R880" s="4">
        <f>SUBTOTAL(109,Table6[registered])</f>
        <v>53383</v>
      </c>
      <c r="S880" s="4">
        <f>SUBTOTAL(109,Table6[cnt])</f>
        <v>58304</v>
      </c>
    </row>
    <row r="881" spans="1:19">
      <c r="A881" s="2">
        <v>880</v>
      </c>
      <c r="B881" s="3">
        <v>40583</v>
      </c>
      <c r="C881" s="2">
        <v>1</v>
      </c>
      <c r="D881" s="2">
        <v>0</v>
      </c>
      <c r="E881" s="2">
        <v>2</v>
      </c>
      <c r="F881" s="2">
        <v>2</v>
      </c>
      <c r="G881" s="2" t="b">
        <v>0</v>
      </c>
      <c r="H881" s="2">
        <v>3</v>
      </c>
      <c r="I881" s="2">
        <v>1</v>
      </c>
      <c r="J881" s="2">
        <v>0.08</v>
      </c>
      <c r="K881" s="2">
        <v>7.5800000000000006E-2</v>
      </c>
      <c r="L881" s="2">
        <v>0.38</v>
      </c>
      <c r="M881" s="2">
        <v>0.28360000000000002</v>
      </c>
      <c r="N881" s="2">
        <v>1</v>
      </c>
      <c r="O881" s="2">
        <v>2</v>
      </c>
      <c r="P881" s="2">
        <v>3</v>
      </c>
      <c r="Q881" s="4">
        <f>SUBTOTAL(109,Table6[casual])</f>
        <v>4921</v>
      </c>
      <c r="R881" s="4">
        <f>SUBTOTAL(109,Table6[registered])</f>
        <v>53383</v>
      </c>
      <c r="S881" s="4">
        <f>SUBTOTAL(109,Table6[cnt])</f>
        <v>58304</v>
      </c>
    </row>
    <row r="882" spans="1:19">
      <c r="A882" s="2">
        <v>881</v>
      </c>
      <c r="B882" s="3">
        <v>40583</v>
      </c>
      <c r="C882" s="2">
        <v>1</v>
      </c>
      <c r="D882" s="2">
        <v>0</v>
      </c>
      <c r="E882" s="2">
        <v>2</v>
      </c>
      <c r="F882" s="2">
        <v>3</v>
      </c>
      <c r="G882" s="2" t="b">
        <v>0</v>
      </c>
      <c r="H882" s="2">
        <v>3</v>
      </c>
      <c r="I882" s="2">
        <v>1</v>
      </c>
      <c r="J882" s="2">
        <v>0.06</v>
      </c>
      <c r="K882" s="2">
        <v>7.5800000000000006E-2</v>
      </c>
      <c r="L882" s="2">
        <v>0.45</v>
      </c>
      <c r="M882" s="2">
        <v>0.1343</v>
      </c>
      <c r="N882" s="2">
        <v>0</v>
      </c>
      <c r="O882" s="2">
        <v>2</v>
      </c>
      <c r="P882" s="2">
        <v>2</v>
      </c>
      <c r="Q882" s="4">
        <f>SUBTOTAL(109,Table6[casual])</f>
        <v>4921</v>
      </c>
      <c r="R882" s="4">
        <f>SUBTOTAL(109,Table6[registered])</f>
        <v>53383</v>
      </c>
      <c r="S882" s="4">
        <f>SUBTOTAL(109,Table6[cnt])</f>
        <v>58304</v>
      </c>
    </row>
    <row r="883" spans="1:19">
      <c r="A883" s="2">
        <v>882</v>
      </c>
      <c r="B883" s="3">
        <v>40583</v>
      </c>
      <c r="C883" s="2">
        <v>1</v>
      </c>
      <c r="D883" s="2">
        <v>0</v>
      </c>
      <c r="E883" s="2">
        <v>2</v>
      </c>
      <c r="F883" s="2">
        <v>5</v>
      </c>
      <c r="G883" s="2" t="b">
        <v>0</v>
      </c>
      <c r="H883" s="2">
        <v>3</v>
      </c>
      <c r="I883" s="2">
        <v>1</v>
      </c>
      <c r="J883" s="2">
        <v>0.06</v>
      </c>
      <c r="K883" s="2">
        <v>0.1061</v>
      </c>
      <c r="L883" s="2">
        <v>0.45</v>
      </c>
      <c r="M883" s="2">
        <v>0.1045</v>
      </c>
      <c r="N883" s="2">
        <v>0</v>
      </c>
      <c r="O883" s="2">
        <v>7</v>
      </c>
      <c r="P883" s="2">
        <v>7</v>
      </c>
      <c r="Q883" s="4">
        <f>SUBTOTAL(109,Table6[casual])</f>
        <v>4921</v>
      </c>
      <c r="R883" s="4">
        <f>SUBTOTAL(109,Table6[registered])</f>
        <v>53383</v>
      </c>
      <c r="S883" s="4">
        <f>SUBTOTAL(109,Table6[cnt])</f>
        <v>58304</v>
      </c>
    </row>
    <row r="884" spans="1:19">
      <c r="A884" s="2">
        <v>883</v>
      </c>
      <c r="B884" s="3">
        <v>40583</v>
      </c>
      <c r="C884" s="2">
        <v>1</v>
      </c>
      <c r="D884" s="2">
        <v>0</v>
      </c>
      <c r="E884" s="2">
        <v>2</v>
      </c>
      <c r="F884" s="2">
        <v>6</v>
      </c>
      <c r="G884" s="2" t="b">
        <v>0</v>
      </c>
      <c r="H884" s="2">
        <v>3</v>
      </c>
      <c r="I884" s="2">
        <v>1</v>
      </c>
      <c r="J884" s="2">
        <v>0.06</v>
      </c>
      <c r="K884" s="2">
        <v>0.1515</v>
      </c>
      <c r="L884" s="2">
        <v>0.45</v>
      </c>
      <c r="M884" s="2">
        <v>0</v>
      </c>
      <c r="N884" s="2">
        <v>0</v>
      </c>
      <c r="O884" s="2">
        <v>43</v>
      </c>
      <c r="P884" s="2">
        <v>43</v>
      </c>
      <c r="Q884" s="4">
        <f>SUBTOTAL(109,Table6[casual])</f>
        <v>4921</v>
      </c>
      <c r="R884" s="4">
        <f>SUBTOTAL(109,Table6[registered])</f>
        <v>53383</v>
      </c>
      <c r="S884" s="4">
        <f>SUBTOTAL(109,Table6[cnt])</f>
        <v>58304</v>
      </c>
    </row>
    <row r="885" spans="1:19">
      <c r="A885" s="2">
        <v>884</v>
      </c>
      <c r="B885" s="3">
        <v>40583</v>
      </c>
      <c r="C885" s="2">
        <v>1</v>
      </c>
      <c r="D885" s="2">
        <v>0</v>
      </c>
      <c r="E885" s="2">
        <v>2</v>
      </c>
      <c r="F885" s="2">
        <v>7</v>
      </c>
      <c r="G885" s="2" t="b">
        <v>0</v>
      </c>
      <c r="H885" s="2">
        <v>3</v>
      </c>
      <c r="I885" s="2">
        <v>1</v>
      </c>
      <c r="J885" s="2">
        <v>0.06</v>
      </c>
      <c r="K885" s="2">
        <v>0.1061</v>
      </c>
      <c r="L885" s="2">
        <v>0.49</v>
      </c>
      <c r="M885" s="2">
        <v>0.1045</v>
      </c>
      <c r="N885" s="2">
        <v>4</v>
      </c>
      <c r="O885" s="2">
        <v>95</v>
      </c>
      <c r="P885" s="2">
        <v>99</v>
      </c>
      <c r="Q885" s="4">
        <f>SUBTOTAL(109,Table6[casual])</f>
        <v>4921</v>
      </c>
      <c r="R885" s="4">
        <f>SUBTOTAL(109,Table6[registered])</f>
        <v>53383</v>
      </c>
      <c r="S885" s="4">
        <f>SUBTOTAL(109,Table6[cnt])</f>
        <v>58304</v>
      </c>
    </row>
    <row r="886" spans="1:19">
      <c r="A886" s="2">
        <v>885</v>
      </c>
      <c r="B886" s="3">
        <v>40583</v>
      </c>
      <c r="C886" s="2">
        <v>1</v>
      </c>
      <c r="D886" s="2">
        <v>0</v>
      </c>
      <c r="E886" s="2">
        <v>2</v>
      </c>
      <c r="F886" s="2">
        <v>8</v>
      </c>
      <c r="G886" s="2" t="b">
        <v>0</v>
      </c>
      <c r="H886" s="2">
        <v>3</v>
      </c>
      <c r="I886" s="2">
        <v>1</v>
      </c>
      <c r="J886" s="2">
        <v>0.1</v>
      </c>
      <c r="K886" s="2">
        <v>0.13639999999999999</v>
      </c>
      <c r="L886" s="2">
        <v>0.42</v>
      </c>
      <c r="M886" s="2">
        <v>0</v>
      </c>
      <c r="N886" s="2">
        <v>1</v>
      </c>
      <c r="O886" s="2">
        <v>198</v>
      </c>
      <c r="P886" s="2">
        <v>199</v>
      </c>
      <c r="Q886" s="4">
        <f>SUBTOTAL(109,Table6[casual])</f>
        <v>4921</v>
      </c>
      <c r="R886" s="4">
        <f>SUBTOTAL(109,Table6[registered])</f>
        <v>53383</v>
      </c>
      <c r="S886" s="4">
        <f>SUBTOTAL(109,Table6[cnt])</f>
        <v>58304</v>
      </c>
    </row>
    <row r="887" spans="1:19">
      <c r="A887" s="2">
        <v>886</v>
      </c>
      <c r="B887" s="3">
        <v>40583</v>
      </c>
      <c r="C887" s="2">
        <v>1</v>
      </c>
      <c r="D887" s="2">
        <v>0</v>
      </c>
      <c r="E887" s="2">
        <v>2</v>
      </c>
      <c r="F887" s="2">
        <v>9</v>
      </c>
      <c r="G887" s="2" t="b">
        <v>0</v>
      </c>
      <c r="H887" s="2">
        <v>3</v>
      </c>
      <c r="I887" s="2">
        <v>1</v>
      </c>
      <c r="J887" s="2">
        <v>0.12</v>
      </c>
      <c r="K887" s="2">
        <v>0.13639999999999999</v>
      </c>
      <c r="L887" s="2">
        <v>0.39</v>
      </c>
      <c r="M887" s="2">
        <v>0.16420000000000001</v>
      </c>
      <c r="N887" s="2">
        <v>4</v>
      </c>
      <c r="O887" s="2">
        <v>119</v>
      </c>
      <c r="P887" s="2">
        <v>123</v>
      </c>
      <c r="Q887" s="4">
        <f>SUBTOTAL(109,Table6[casual])</f>
        <v>4921</v>
      </c>
      <c r="R887" s="4">
        <f>SUBTOTAL(109,Table6[registered])</f>
        <v>53383</v>
      </c>
      <c r="S887" s="4">
        <f>SUBTOTAL(109,Table6[cnt])</f>
        <v>58304</v>
      </c>
    </row>
    <row r="888" spans="1:19">
      <c r="A888" s="2">
        <v>887</v>
      </c>
      <c r="B888" s="3">
        <v>40583</v>
      </c>
      <c r="C888" s="2">
        <v>1</v>
      </c>
      <c r="D888" s="2">
        <v>0</v>
      </c>
      <c r="E888" s="2">
        <v>2</v>
      </c>
      <c r="F888" s="2">
        <v>10</v>
      </c>
      <c r="G888" s="2" t="b">
        <v>0</v>
      </c>
      <c r="H888" s="2">
        <v>3</v>
      </c>
      <c r="I888" s="2">
        <v>1</v>
      </c>
      <c r="J888" s="2">
        <v>0.14000000000000001</v>
      </c>
      <c r="K888" s="2">
        <v>0.18179999999999999</v>
      </c>
      <c r="L888" s="2">
        <v>0.36</v>
      </c>
      <c r="M888" s="2">
        <v>0</v>
      </c>
      <c r="N888" s="2">
        <v>8</v>
      </c>
      <c r="O888" s="2">
        <v>51</v>
      </c>
      <c r="P888" s="2">
        <v>59</v>
      </c>
      <c r="Q888" s="4">
        <f>SUBTOTAL(109,Table6[casual])</f>
        <v>4921</v>
      </c>
      <c r="R888" s="4">
        <f>SUBTOTAL(109,Table6[registered])</f>
        <v>53383</v>
      </c>
      <c r="S888" s="4">
        <f>SUBTOTAL(109,Table6[cnt])</f>
        <v>58304</v>
      </c>
    </row>
    <row r="889" spans="1:19">
      <c r="A889" s="2">
        <v>888</v>
      </c>
      <c r="B889" s="3">
        <v>40583</v>
      </c>
      <c r="C889" s="2">
        <v>1</v>
      </c>
      <c r="D889" s="2">
        <v>0</v>
      </c>
      <c r="E889" s="2">
        <v>2</v>
      </c>
      <c r="F889" s="2">
        <v>11</v>
      </c>
      <c r="G889" s="2" t="b">
        <v>0</v>
      </c>
      <c r="H889" s="2">
        <v>3</v>
      </c>
      <c r="I889" s="2">
        <v>2</v>
      </c>
      <c r="J889" s="2">
        <v>0.14000000000000001</v>
      </c>
      <c r="K889" s="2">
        <v>0.1515</v>
      </c>
      <c r="L889" s="2">
        <v>0.43</v>
      </c>
      <c r="M889" s="2">
        <v>0.16420000000000001</v>
      </c>
      <c r="N889" s="2">
        <v>1</v>
      </c>
      <c r="O889" s="2">
        <v>40</v>
      </c>
      <c r="P889" s="2">
        <v>41</v>
      </c>
      <c r="Q889" s="4">
        <f>SUBTOTAL(109,Table6[casual])</f>
        <v>4921</v>
      </c>
      <c r="R889" s="4">
        <f>SUBTOTAL(109,Table6[registered])</f>
        <v>53383</v>
      </c>
      <c r="S889" s="4">
        <f>SUBTOTAL(109,Table6[cnt])</f>
        <v>58304</v>
      </c>
    </row>
    <row r="890" spans="1:19">
      <c r="A890" s="2">
        <v>889</v>
      </c>
      <c r="B890" s="3">
        <v>40583</v>
      </c>
      <c r="C890" s="2">
        <v>1</v>
      </c>
      <c r="D890" s="2">
        <v>0</v>
      </c>
      <c r="E890" s="2">
        <v>2</v>
      </c>
      <c r="F890" s="2">
        <v>12</v>
      </c>
      <c r="G890" s="2" t="b">
        <v>0</v>
      </c>
      <c r="H890" s="2">
        <v>3</v>
      </c>
      <c r="I890" s="2">
        <v>2</v>
      </c>
      <c r="J890" s="2">
        <v>0.18</v>
      </c>
      <c r="K890" s="2">
        <v>0.18179999999999999</v>
      </c>
      <c r="L890" s="2">
        <v>0.4</v>
      </c>
      <c r="M890" s="2">
        <v>0.22389999999999999</v>
      </c>
      <c r="N890" s="2">
        <v>4</v>
      </c>
      <c r="O890" s="2">
        <v>57</v>
      </c>
      <c r="P890" s="2">
        <v>61</v>
      </c>
      <c r="Q890" s="4">
        <f>SUBTOTAL(109,Table6[casual])</f>
        <v>4921</v>
      </c>
      <c r="R890" s="4">
        <f>SUBTOTAL(109,Table6[registered])</f>
        <v>53383</v>
      </c>
      <c r="S890" s="4">
        <f>SUBTOTAL(109,Table6[cnt])</f>
        <v>58304</v>
      </c>
    </row>
    <row r="891" spans="1:19">
      <c r="A891" s="2">
        <v>890</v>
      </c>
      <c r="B891" s="3">
        <v>40583</v>
      </c>
      <c r="C891" s="2">
        <v>1</v>
      </c>
      <c r="D891" s="2">
        <v>0</v>
      </c>
      <c r="E891" s="2">
        <v>2</v>
      </c>
      <c r="F891" s="2">
        <v>13</v>
      </c>
      <c r="G891" s="2" t="b">
        <v>0</v>
      </c>
      <c r="H891" s="2">
        <v>3</v>
      </c>
      <c r="I891" s="2">
        <v>1</v>
      </c>
      <c r="J891" s="2">
        <v>0.18</v>
      </c>
      <c r="K891" s="2">
        <v>0.16669999999999999</v>
      </c>
      <c r="L891" s="2">
        <v>0.4</v>
      </c>
      <c r="M891" s="2">
        <v>0.25369999999999998</v>
      </c>
      <c r="N891" s="2">
        <v>2</v>
      </c>
      <c r="O891" s="2">
        <v>67</v>
      </c>
      <c r="P891" s="2">
        <v>69</v>
      </c>
      <c r="Q891" s="4">
        <f>SUBTOTAL(109,Table6[casual])</f>
        <v>4921</v>
      </c>
      <c r="R891" s="4">
        <f>SUBTOTAL(109,Table6[registered])</f>
        <v>53383</v>
      </c>
      <c r="S891" s="4">
        <f>SUBTOTAL(109,Table6[cnt])</f>
        <v>58304</v>
      </c>
    </row>
    <row r="892" spans="1:19">
      <c r="A892" s="2">
        <v>891</v>
      </c>
      <c r="B892" s="3">
        <v>40583</v>
      </c>
      <c r="C892" s="2">
        <v>1</v>
      </c>
      <c r="D892" s="2">
        <v>0</v>
      </c>
      <c r="E892" s="2">
        <v>2</v>
      </c>
      <c r="F892" s="2">
        <v>14</v>
      </c>
      <c r="G892" s="2" t="b">
        <v>0</v>
      </c>
      <c r="H892" s="2">
        <v>3</v>
      </c>
      <c r="I892" s="2">
        <v>1</v>
      </c>
      <c r="J892" s="2">
        <v>0.2</v>
      </c>
      <c r="K892" s="2">
        <v>0.18179999999999999</v>
      </c>
      <c r="L892" s="2">
        <v>0.34</v>
      </c>
      <c r="M892" s="2">
        <v>0.29849999999999999</v>
      </c>
      <c r="N892" s="2">
        <v>2</v>
      </c>
      <c r="O892" s="2">
        <v>56</v>
      </c>
      <c r="P892" s="2">
        <v>58</v>
      </c>
      <c r="Q892" s="4">
        <f>SUBTOTAL(109,Table6[casual])</f>
        <v>4921</v>
      </c>
      <c r="R892" s="4">
        <f>SUBTOTAL(109,Table6[registered])</f>
        <v>53383</v>
      </c>
      <c r="S892" s="4">
        <f>SUBTOTAL(109,Table6[cnt])</f>
        <v>58304</v>
      </c>
    </row>
    <row r="893" spans="1:19">
      <c r="A893" s="2">
        <v>892</v>
      </c>
      <c r="B893" s="3">
        <v>40583</v>
      </c>
      <c r="C893" s="2">
        <v>1</v>
      </c>
      <c r="D893" s="2">
        <v>0</v>
      </c>
      <c r="E893" s="2">
        <v>2</v>
      </c>
      <c r="F893" s="2">
        <v>15</v>
      </c>
      <c r="G893" s="2" t="b">
        <v>0</v>
      </c>
      <c r="H893" s="2">
        <v>3</v>
      </c>
      <c r="I893" s="2">
        <v>2</v>
      </c>
      <c r="J893" s="2">
        <v>0.2</v>
      </c>
      <c r="K893" s="2">
        <v>0.18179999999999999</v>
      </c>
      <c r="L893" s="2">
        <v>0.34</v>
      </c>
      <c r="M893" s="2">
        <v>0.28360000000000002</v>
      </c>
      <c r="N893" s="2">
        <v>3</v>
      </c>
      <c r="O893" s="2">
        <v>61</v>
      </c>
      <c r="P893" s="2">
        <v>64</v>
      </c>
      <c r="Q893" s="4">
        <f>SUBTOTAL(109,Table6[casual])</f>
        <v>4921</v>
      </c>
      <c r="R893" s="4">
        <f>SUBTOTAL(109,Table6[registered])</f>
        <v>53383</v>
      </c>
      <c r="S893" s="4">
        <f>SUBTOTAL(109,Table6[cnt])</f>
        <v>58304</v>
      </c>
    </row>
    <row r="894" spans="1:19">
      <c r="A894" s="2">
        <v>893</v>
      </c>
      <c r="B894" s="3">
        <v>40583</v>
      </c>
      <c r="C894" s="2">
        <v>1</v>
      </c>
      <c r="D894" s="2">
        <v>0</v>
      </c>
      <c r="E894" s="2">
        <v>2</v>
      </c>
      <c r="F894" s="2">
        <v>16</v>
      </c>
      <c r="G894" s="2" t="b">
        <v>0</v>
      </c>
      <c r="H894" s="2">
        <v>3</v>
      </c>
      <c r="I894" s="2">
        <v>2</v>
      </c>
      <c r="J894" s="2">
        <v>0.2</v>
      </c>
      <c r="K894" s="2">
        <v>0.19700000000000001</v>
      </c>
      <c r="L894" s="2">
        <v>0.37</v>
      </c>
      <c r="M894" s="2">
        <v>0.25369999999999998</v>
      </c>
      <c r="N894" s="2">
        <v>7</v>
      </c>
      <c r="O894" s="2">
        <v>72</v>
      </c>
      <c r="P894" s="2">
        <v>79</v>
      </c>
      <c r="Q894" s="4">
        <f>SUBTOTAL(109,Table6[casual])</f>
        <v>4921</v>
      </c>
      <c r="R894" s="4">
        <f>SUBTOTAL(109,Table6[registered])</f>
        <v>53383</v>
      </c>
      <c r="S894" s="4">
        <f>SUBTOTAL(109,Table6[cnt])</f>
        <v>58304</v>
      </c>
    </row>
    <row r="895" spans="1:19">
      <c r="A895" s="2">
        <v>894</v>
      </c>
      <c r="B895" s="3">
        <v>40583</v>
      </c>
      <c r="C895" s="2">
        <v>1</v>
      </c>
      <c r="D895" s="2">
        <v>0</v>
      </c>
      <c r="E895" s="2">
        <v>2</v>
      </c>
      <c r="F895" s="2">
        <v>17</v>
      </c>
      <c r="G895" s="2" t="b">
        <v>0</v>
      </c>
      <c r="H895" s="2">
        <v>3</v>
      </c>
      <c r="I895" s="2">
        <v>2</v>
      </c>
      <c r="J895" s="2">
        <v>0.2</v>
      </c>
      <c r="K895" s="2">
        <v>0.19700000000000001</v>
      </c>
      <c r="L895" s="2">
        <v>0.34</v>
      </c>
      <c r="M895" s="2">
        <v>0.25369999999999998</v>
      </c>
      <c r="N895" s="2">
        <v>9</v>
      </c>
      <c r="O895" s="2">
        <v>157</v>
      </c>
      <c r="P895" s="2">
        <v>166</v>
      </c>
      <c r="Q895" s="4">
        <f>SUBTOTAL(109,Table6[casual])</f>
        <v>4921</v>
      </c>
      <c r="R895" s="4">
        <f>SUBTOTAL(109,Table6[registered])</f>
        <v>53383</v>
      </c>
      <c r="S895" s="4">
        <f>SUBTOTAL(109,Table6[cnt])</f>
        <v>58304</v>
      </c>
    </row>
    <row r="896" spans="1:19">
      <c r="A896" s="2">
        <v>895</v>
      </c>
      <c r="B896" s="3">
        <v>40583</v>
      </c>
      <c r="C896" s="2">
        <v>1</v>
      </c>
      <c r="D896" s="2">
        <v>0</v>
      </c>
      <c r="E896" s="2">
        <v>2</v>
      </c>
      <c r="F896" s="2">
        <v>18</v>
      </c>
      <c r="G896" s="2" t="b">
        <v>0</v>
      </c>
      <c r="H896" s="2">
        <v>3</v>
      </c>
      <c r="I896" s="2">
        <v>2</v>
      </c>
      <c r="J896" s="2">
        <v>0.18</v>
      </c>
      <c r="K896" s="2">
        <v>0.16669999999999999</v>
      </c>
      <c r="L896" s="2">
        <v>0.47</v>
      </c>
      <c r="M896" s="2">
        <v>0.29849999999999999</v>
      </c>
      <c r="N896" s="2">
        <v>2</v>
      </c>
      <c r="O896" s="2">
        <v>168</v>
      </c>
      <c r="P896" s="2">
        <v>170</v>
      </c>
      <c r="Q896" s="4">
        <f>SUBTOTAL(109,Table6[casual])</f>
        <v>4921</v>
      </c>
      <c r="R896" s="4">
        <f>SUBTOTAL(109,Table6[registered])</f>
        <v>53383</v>
      </c>
      <c r="S896" s="4">
        <f>SUBTOTAL(109,Table6[cnt])</f>
        <v>58304</v>
      </c>
    </row>
    <row r="897" spans="1:19">
      <c r="A897" s="2">
        <v>896</v>
      </c>
      <c r="B897" s="3">
        <v>40583</v>
      </c>
      <c r="C897" s="2">
        <v>1</v>
      </c>
      <c r="D897" s="2">
        <v>0</v>
      </c>
      <c r="E897" s="2">
        <v>2</v>
      </c>
      <c r="F897" s="2">
        <v>19</v>
      </c>
      <c r="G897" s="2" t="b">
        <v>0</v>
      </c>
      <c r="H897" s="2">
        <v>3</v>
      </c>
      <c r="I897" s="2">
        <v>3</v>
      </c>
      <c r="J897" s="2">
        <v>0.14000000000000001</v>
      </c>
      <c r="K897" s="2">
        <v>0.1212</v>
      </c>
      <c r="L897" s="2">
        <v>0.86</v>
      </c>
      <c r="M897" s="2">
        <v>0.25369999999999998</v>
      </c>
      <c r="N897" s="2">
        <v>1</v>
      </c>
      <c r="O897" s="2">
        <v>87</v>
      </c>
      <c r="P897" s="2">
        <v>88</v>
      </c>
      <c r="Q897" s="4">
        <f>SUBTOTAL(109,Table6[casual])</f>
        <v>4921</v>
      </c>
      <c r="R897" s="4">
        <f>SUBTOTAL(109,Table6[registered])</f>
        <v>53383</v>
      </c>
      <c r="S897" s="4">
        <f>SUBTOTAL(109,Table6[cnt])</f>
        <v>58304</v>
      </c>
    </row>
    <row r="898" spans="1:19">
      <c r="A898" s="2">
        <v>897</v>
      </c>
      <c r="B898" s="3">
        <v>40583</v>
      </c>
      <c r="C898" s="2">
        <v>1</v>
      </c>
      <c r="D898" s="2">
        <v>0</v>
      </c>
      <c r="E898" s="2">
        <v>2</v>
      </c>
      <c r="F898" s="2">
        <v>20</v>
      </c>
      <c r="G898" s="2" t="b">
        <v>0</v>
      </c>
      <c r="H898" s="2">
        <v>3</v>
      </c>
      <c r="I898" s="2">
        <v>3</v>
      </c>
      <c r="J898" s="2">
        <v>0.14000000000000001</v>
      </c>
      <c r="K898" s="2">
        <v>0.1515</v>
      </c>
      <c r="L898" s="2">
        <v>0.86</v>
      </c>
      <c r="M898" s="2">
        <v>0.16420000000000001</v>
      </c>
      <c r="N898" s="2">
        <v>0</v>
      </c>
      <c r="O898" s="2">
        <v>84</v>
      </c>
      <c r="P898" s="2">
        <v>84</v>
      </c>
      <c r="Q898" s="4">
        <f>SUBTOTAL(109,Table6[casual])</f>
        <v>4921</v>
      </c>
      <c r="R898" s="4">
        <f>SUBTOTAL(109,Table6[registered])</f>
        <v>53383</v>
      </c>
      <c r="S898" s="4">
        <f>SUBTOTAL(109,Table6[cnt])</f>
        <v>58304</v>
      </c>
    </row>
    <row r="899" spans="1:19">
      <c r="A899" s="2">
        <v>898</v>
      </c>
      <c r="B899" s="3">
        <v>40583</v>
      </c>
      <c r="C899" s="2">
        <v>1</v>
      </c>
      <c r="D899" s="2">
        <v>0</v>
      </c>
      <c r="E899" s="2">
        <v>2</v>
      </c>
      <c r="F899" s="2">
        <v>21</v>
      </c>
      <c r="G899" s="2" t="b">
        <v>0</v>
      </c>
      <c r="H899" s="2">
        <v>3</v>
      </c>
      <c r="I899" s="2">
        <v>2</v>
      </c>
      <c r="J899" s="2">
        <v>0.14000000000000001</v>
      </c>
      <c r="K899" s="2">
        <v>0.1515</v>
      </c>
      <c r="L899" s="2">
        <v>0.86</v>
      </c>
      <c r="M899" s="2">
        <v>0.16420000000000001</v>
      </c>
      <c r="N899" s="2">
        <v>0</v>
      </c>
      <c r="O899" s="2">
        <v>83</v>
      </c>
      <c r="P899" s="2">
        <v>83</v>
      </c>
      <c r="Q899" s="4">
        <f>SUBTOTAL(109,Table6[casual])</f>
        <v>4921</v>
      </c>
      <c r="R899" s="4">
        <f>SUBTOTAL(109,Table6[registered])</f>
        <v>53383</v>
      </c>
      <c r="S899" s="4">
        <f>SUBTOTAL(109,Table6[cnt])</f>
        <v>58304</v>
      </c>
    </row>
    <row r="900" spans="1:19">
      <c r="A900" s="2">
        <v>899</v>
      </c>
      <c r="B900" s="3">
        <v>40583</v>
      </c>
      <c r="C900" s="2">
        <v>1</v>
      </c>
      <c r="D900" s="2">
        <v>0</v>
      </c>
      <c r="E900" s="2">
        <v>2</v>
      </c>
      <c r="F900" s="2">
        <v>22</v>
      </c>
      <c r="G900" s="2" t="b">
        <v>0</v>
      </c>
      <c r="H900" s="2">
        <v>3</v>
      </c>
      <c r="I900" s="2">
        <v>3</v>
      </c>
      <c r="J900" s="2">
        <v>0.16</v>
      </c>
      <c r="K900" s="2">
        <v>0.16669999999999999</v>
      </c>
      <c r="L900" s="2">
        <v>0.8</v>
      </c>
      <c r="M900" s="2">
        <v>0.16420000000000001</v>
      </c>
      <c r="N900" s="2">
        <v>4</v>
      </c>
      <c r="O900" s="2">
        <v>42</v>
      </c>
      <c r="P900" s="2">
        <v>46</v>
      </c>
      <c r="Q900" s="4">
        <f>SUBTOTAL(109,Table6[casual])</f>
        <v>4921</v>
      </c>
      <c r="R900" s="4">
        <f>SUBTOTAL(109,Table6[registered])</f>
        <v>53383</v>
      </c>
      <c r="S900" s="4">
        <f>SUBTOTAL(109,Table6[cnt])</f>
        <v>58304</v>
      </c>
    </row>
    <row r="901" spans="1:19">
      <c r="A901" s="2">
        <v>900</v>
      </c>
      <c r="B901" s="3">
        <v>40583</v>
      </c>
      <c r="C901" s="2">
        <v>1</v>
      </c>
      <c r="D901" s="2">
        <v>0</v>
      </c>
      <c r="E901" s="2">
        <v>2</v>
      </c>
      <c r="F901" s="2">
        <v>23</v>
      </c>
      <c r="G901" s="2" t="b">
        <v>0</v>
      </c>
      <c r="H901" s="2">
        <v>3</v>
      </c>
      <c r="I901" s="2">
        <v>3</v>
      </c>
      <c r="J901" s="2">
        <v>0.16</v>
      </c>
      <c r="K901" s="2">
        <v>0.1515</v>
      </c>
      <c r="L901" s="2">
        <v>0.8</v>
      </c>
      <c r="M901" s="2">
        <v>0.19400000000000001</v>
      </c>
      <c r="N901" s="2">
        <v>0</v>
      </c>
      <c r="O901" s="2">
        <v>37</v>
      </c>
      <c r="P901" s="2">
        <v>37</v>
      </c>
      <c r="Q901" s="4">
        <f>SUBTOTAL(109,Table6[casual])</f>
        <v>4921</v>
      </c>
      <c r="R901" s="4">
        <f>SUBTOTAL(109,Table6[registered])</f>
        <v>53383</v>
      </c>
      <c r="S901" s="4">
        <f>SUBTOTAL(109,Table6[cnt])</f>
        <v>58304</v>
      </c>
    </row>
    <row r="902" spans="1:19">
      <c r="A902" s="2">
        <v>901</v>
      </c>
      <c r="B902" s="3">
        <v>40584</v>
      </c>
      <c r="C902" s="2">
        <v>1</v>
      </c>
      <c r="D902" s="2">
        <v>0</v>
      </c>
      <c r="E902" s="2">
        <v>2</v>
      </c>
      <c r="F902" s="2">
        <v>0</v>
      </c>
      <c r="G902" s="2" t="b">
        <v>0</v>
      </c>
      <c r="H902" s="2">
        <v>4</v>
      </c>
      <c r="I902" s="2">
        <v>3</v>
      </c>
      <c r="J902" s="2">
        <v>0.14000000000000001</v>
      </c>
      <c r="K902" s="2">
        <v>0.13639999999999999</v>
      </c>
      <c r="L902" s="2">
        <v>0.86</v>
      </c>
      <c r="M902" s="2">
        <v>0.19400000000000001</v>
      </c>
      <c r="N902" s="2">
        <v>0</v>
      </c>
      <c r="O902" s="2">
        <v>16</v>
      </c>
      <c r="P902" s="2">
        <v>16</v>
      </c>
      <c r="Q902" s="4">
        <f>SUBTOTAL(109,Table6[casual])</f>
        <v>4921</v>
      </c>
      <c r="R902" s="4">
        <f>SUBTOTAL(109,Table6[registered])</f>
        <v>53383</v>
      </c>
      <c r="S902" s="4">
        <f>SUBTOTAL(109,Table6[cnt])</f>
        <v>58304</v>
      </c>
    </row>
    <row r="903" spans="1:19">
      <c r="A903" s="2">
        <v>902</v>
      </c>
      <c r="B903" s="3">
        <v>40584</v>
      </c>
      <c r="C903" s="2">
        <v>1</v>
      </c>
      <c r="D903" s="2">
        <v>0</v>
      </c>
      <c r="E903" s="2">
        <v>2</v>
      </c>
      <c r="F903" s="2">
        <v>1</v>
      </c>
      <c r="G903" s="2" t="b">
        <v>0</v>
      </c>
      <c r="H903" s="2">
        <v>4</v>
      </c>
      <c r="I903" s="2">
        <v>3</v>
      </c>
      <c r="J903" s="2">
        <v>0.14000000000000001</v>
      </c>
      <c r="K903" s="2">
        <v>0.1515</v>
      </c>
      <c r="L903" s="2">
        <v>0.8</v>
      </c>
      <c r="M903" s="2">
        <v>0.1343</v>
      </c>
      <c r="N903" s="2">
        <v>0</v>
      </c>
      <c r="O903" s="2">
        <v>7</v>
      </c>
      <c r="P903" s="2">
        <v>7</v>
      </c>
      <c r="Q903" s="4">
        <f>SUBTOTAL(109,Table6[casual])</f>
        <v>4921</v>
      </c>
      <c r="R903" s="4">
        <f>SUBTOTAL(109,Table6[registered])</f>
        <v>53383</v>
      </c>
      <c r="S903" s="4">
        <f>SUBTOTAL(109,Table6[cnt])</f>
        <v>58304</v>
      </c>
    </row>
    <row r="904" spans="1:19">
      <c r="A904" s="2">
        <v>903</v>
      </c>
      <c r="B904" s="3">
        <v>40584</v>
      </c>
      <c r="C904" s="2">
        <v>1</v>
      </c>
      <c r="D904" s="2">
        <v>0</v>
      </c>
      <c r="E904" s="2">
        <v>2</v>
      </c>
      <c r="F904" s="2">
        <v>2</v>
      </c>
      <c r="G904" s="2" t="b">
        <v>0</v>
      </c>
      <c r="H904" s="2">
        <v>4</v>
      </c>
      <c r="I904" s="2">
        <v>3</v>
      </c>
      <c r="J904" s="2">
        <v>0.14000000000000001</v>
      </c>
      <c r="K904" s="2">
        <v>0.1515</v>
      </c>
      <c r="L904" s="2">
        <v>0.8</v>
      </c>
      <c r="M904" s="2">
        <v>0.1343</v>
      </c>
      <c r="N904" s="2">
        <v>0</v>
      </c>
      <c r="O904" s="2">
        <v>3</v>
      </c>
      <c r="P904" s="2">
        <v>3</v>
      </c>
      <c r="Q904" s="4">
        <f>SUBTOTAL(109,Table6[casual])</f>
        <v>4921</v>
      </c>
      <c r="R904" s="4">
        <f>SUBTOTAL(109,Table6[registered])</f>
        <v>53383</v>
      </c>
      <c r="S904" s="4">
        <f>SUBTOTAL(109,Table6[cnt])</f>
        <v>58304</v>
      </c>
    </row>
    <row r="905" spans="1:19">
      <c r="A905" s="2">
        <v>904</v>
      </c>
      <c r="B905" s="3">
        <v>40584</v>
      </c>
      <c r="C905" s="2">
        <v>1</v>
      </c>
      <c r="D905" s="2">
        <v>0</v>
      </c>
      <c r="E905" s="2">
        <v>2</v>
      </c>
      <c r="F905" s="2">
        <v>4</v>
      </c>
      <c r="G905" s="2" t="b">
        <v>0</v>
      </c>
      <c r="H905" s="2">
        <v>4</v>
      </c>
      <c r="I905" s="2">
        <v>2</v>
      </c>
      <c r="J905" s="2">
        <v>0.14000000000000001</v>
      </c>
      <c r="K905" s="2">
        <v>0.13639999999999999</v>
      </c>
      <c r="L905" s="2">
        <v>0.59</v>
      </c>
      <c r="M905" s="2">
        <v>0.22389999999999999</v>
      </c>
      <c r="N905" s="2">
        <v>0</v>
      </c>
      <c r="O905" s="2">
        <v>1</v>
      </c>
      <c r="P905" s="2">
        <v>1</v>
      </c>
      <c r="Q905" s="4">
        <f>SUBTOTAL(109,Table6[casual])</f>
        <v>4921</v>
      </c>
      <c r="R905" s="4">
        <f>SUBTOTAL(109,Table6[registered])</f>
        <v>53383</v>
      </c>
      <c r="S905" s="4">
        <f>SUBTOTAL(109,Table6[cnt])</f>
        <v>58304</v>
      </c>
    </row>
    <row r="906" spans="1:19">
      <c r="A906" s="2">
        <v>905</v>
      </c>
      <c r="B906" s="3">
        <v>40584</v>
      </c>
      <c r="C906" s="2">
        <v>1</v>
      </c>
      <c r="D906" s="2">
        <v>0</v>
      </c>
      <c r="E906" s="2">
        <v>2</v>
      </c>
      <c r="F906" s="2">
        <v>5</v>
      </c>
      <c r="G906" s="2" t="b">
        <v>0</v>
      </c>
      <c r="H906" s="2">
        <v>4</v>
      </c>
      <c r="I906" s="2">
        <v>2</v>
      </c>
      <c r="J906" s="2">
        <v>0.12</v>
      </c>
      <c r="K906" s="2">
        <v>0.1212</v>
      </c>
      <c r="L906" s="2">
        <v>0.5</v>
      </c>
      <c r="M906" s="2">
        <v>0.22389999999999999</v>
      </c>
      <c r="N906" s="2">
        <v>0</v>
      </c>
      <c r="O906" s="2">
        <v>6</v>
      </c>
      <c r="P906" s="2">
        <v>6</v>
      </c>
      <c r="Q906" s="4">
        <f>SUBTOTAL(109,Table6[casual])</f>
        <v>4921</v>
      </c>
      <c r="R906" s="4">
        <f>SUBTOTAL(109,Table6[registered])</f>
        <v>53383</v>
      </c>
      <c r="S906" s="4">
        <f>SUBTOTAL(109,Table6[cnt])</f>
        <v>58304</v>
      </c>
    </row>
    <row r="907" spans="1:19">
      <c r="A907" s="2">
        <v>906</v>
      </c>
      <c r="B907" s="3">
        <v>40584</v>
      </c>
      <c r="C907" s="2">
        <v>1</v>
      </c>
      <c r="D907" s="2">
        <v>0</v>
      </c>
      <c r="E907" s="2">
        <v>2</v>
      </c>
      <c r="F907" s="2">
        <v>6</v>
      </c>
      <c r="G907" s="2" t="b">
        <v>0</v>
      </c>
      <c r="H907" s="2">
        <v>4</v>
      </c>
      <c r="I907" s="2">
        <v>2</v>
      </c>
      <c r="J907" s="2">
        <v>0.12</v>
      </c>
      <c r="K907" s="2">
        <v>0.1212</v>
      </c>
      <c r="L907" s="2">
        <v>0.54</v>
      </c>
      <c r="M907" s="2">
        <v>0.28360000000000002</v>
      </c>
      <c r="N907" s="2">
        <v>0</v>
      </c>
      <c r="O907" s="2">
        <v>26</v>
      </c>
      <c r="P907" s="2">
        <v>26</v>
      </c>
      <c r="Q907" s="4">
        <f>SUBTOTAL(109,Table6[casual])</f>
        <v>4921</v>
      </c>
      <c r="R907" s="4">
        <f>SUBTOTAL(109,Table6[registered])</f>
        <v>53383</v>
      </c>
      <c r="S907" s="4">
        <f>SUBTOTAL(109,Table6[cnt])</f>
        <v>58304</v>
      </c>
    </row>
    <row r="908" spans="1:19">
      <c r="A908" s="2">
        <v>907</v>
      </c>
      <c r="B908" s="3">
        <v>40584</v>
      </c>
      <c r="C908" s="2">
        <v>1</v>
      </c>
      <c r="D908" s="2">
        <v>0</v>
      </c>
      <c r="E908" s="2">
        <v>2</v>
      </c>
      <c r="F908" s="2">
        <v>7</v>
      </c>
      <c r="G908" s="2" t="b">
        <v>0</v>
      </c>
      <c r="H908" s="2">
        <v>4</v>
      </c>
      <c r="I908" s="2">
        <v>1</v>
      </c>
      <c r="J908" s="2">
        <v>0.1</v>
      </c>
      <c r="K908" s="2">
        <v>7.5800000000000006E-2</v>
      </c>
      <c r="L908" s="2">
        <v>0.5</v>
      </c>
      <c r="M908" s="2">
        <v>0.41789999999999999</v>
      </c>
      <c r="N908" s="2">
        <v>0</v>
      </c>
      <c r="O908" s="2">
        <v>99</v>
      </c>
      <c r="P908" s="2">
        <v>99</v>
      </c>
      <c r="Q908" s="4">
        <f>SUBTOTAL(109,Table6[casual])</f>
        <v>4921</v>
      </c>
      <c r="R908" s="4">
        <f>SUBTOTAL(109,Table6[registered])</f>
        <v>53383</v>
      </c>
      <c r="S908" s="4">
        <f>SUBTOTAL(109,Table6[cnt])</f>
        <v>58304</v>
      </c>
    </row>
    <row r="909" spans="1:19">
      <c r="A909" s="2">
        <v>908</v>
      </c>
      <c r="B909" s="3">
        <v>40584</v>
      </c>
      <c r="C909" s="2">
        <v>1</v>
      </c>
      <c r="D909" s="2">
        <v>0</v>
      </c>
      <c r="E909" s="2">
        <v>2</v>
      </c>
      <c r="F909" s="2">
        <v>8</v>
      </c>
      <c r="G909" s="2" t="b">
        <v>0</v>
      </c>
      <c r="H909" s="2">
        <v>4</v>
      </c>
      <c r="I909" s="2">
        <v>1</v>
      </c>
      <c r="J909" s="2">
        <v>0.1</v>
      </c>
      <c r="K909" s="2">
        <v>7.5800000000000006E-2</v>
      </c>
      <c r="L909" s="2">
        <v>0.49</v>
      </c>
      <c r="M909" s="2">
        <v>0.32840000000000003</v>
      </c>
      <c r="N909" s="2">
        <v>5</v>
      </c>
      <c r="O909" s="2">
        <v>173</v>
      </c>
      <c r="P909" s="2">
        <v>178</v>
      </c>
      <c r="Q909" s="4">
        <f>SUBTOTAL(109,Table6[casual])</f>
        <v>4921</v>
      </c>
      <c r="R909" s="4">
        <f>SUBTOTAL(109,Table6[registered])</f>
        <v>53383</v>
      </c>
      <c r="S909" s="4">
        <f>SUBTOTAL(109,Table6[cnt])</f>
        <v>58304</v>
      </c>
    </row>
    <row r="910" spans="1:19">
      <c r="A910" s="2">
        <v>909</v>
      </c>
      <c r="B910" s="3">
        <v>40584</v>
      </c>
      <c r="C910" s="2">
        <v>1</v>
      </c>
      <c r="D910" s="2">
        <v>0</v>
      </c>
      <c r="E910" s="2">
        <v>2</v>
      </c>
      <c r="F910" s="2">
        <v>9</v>
      </c>
      <c r="G910" s="2" t="b">
        <v>0</v>
      </c>
      <c r="H910" s="2">
        <v>4</v>
      </c>
      <c r="I910" s="2">
        <v>1</v>
      </c>
      <c r="J910" s="2">
        <v>0.12</v>
      </c>
      <c r="K910" s="2">
        <v>0.1061</v>
      </c>
      <c r="L910" s="2">
        <v>0.42</v>
      </c>
      <c r="M910" s="2">
        <v>0.35820000000000002</v>
      </c>
      <c r="N910" s="2">
        <v>1</v>
      </c>
      <c r="O910" s="2">
        <v>121</v>
      </c>
      <c r="P910" s="2">
        <v>122</v>
      </c>
      <c r="Q910" s="4">
        <f>SUBTOTAL(109,Table6[casual])</f>
        <v>4921</v>
      </c>
      <c r="R910" s="4">
        <f>SUBTOTAL(109,Table6[registered])</f>
        <v>53383</v>
      </c>
      <c r="S910" s="4">
        <f>SUBTOTAL(109,Table6[cnt])</f>
        <v>58304</v>
      </c>
    </row>
    <row r="911" spans="1:19">
      <c r="A911" s="2">
        <v>910</v>
      </c>
      <c r="B911" s="3">
        <v>40584</v>
      </c>
      <c r="C911" s="2">
        <v>1</v>
      </c>
      <c r="D911" s="2">
        <v>0</v>
      </c>
      <c r="E911" s="2">
        <v>2</v>
      </c>
      <c r="F911" s="2">
        <v>10</v>
      </c>
      <c r="G911" s="2" t="b">
        <v>0</v>
      </c>
      <c r="H911" s="2">
        <v>4</v>
      </c>
      <c r="I911" s="2">
        <v>1</v>
      </c>
      <c r="J911" s="2">
        <v>0.12</v>
      </c>
      <c r="K911" s="2">
        <v>0.1061</v>
      </c>
      <c r="L911" s="2">
        <v>0.42</v>
      </c>
      <c r="M911" s="2">
        <v>0.29849999999999999</v>
      </c>
      <c r="N911" s="2">
        <v>1</v>
      </c>
      <c r="O911" s="2">
        <v>34</v>
      </c>
      <c r="P911" s="2">
        <v>35</v>
      </c>
      <c r="Q911" s="4">
        <f>SUBTOTAL(109,Table6[casual])</f>
        <v>4921</v>
      </c>
      <c r="R911" s="4">
        <f>SUBTOTAL(109,Table6[registered])</f>
        <v>53383</v>
      </c>
      <c r="S911" s="4">
        <f>SUBTOTAL(109,Table6[cnt])</f>
        <v>58304</v>
      </c>
    </row>
    <row r="912" spans="1:19">
      <c r="A912" s="2">
        <v>911</v>
      </c>
      <c r="B912" s="3">
        <v>40584</v>
      </c>
      <c r="C912" s="2">
        <v>1</v>
      </c>
      <c r="D912" s="2">
        <v>0</v>
      </c>
      <c r="E912" s="2">
        <v>2</v>
      </c>
      <c r="F912" s="2">
        <v>11</v>
      </c>
      <c r="G912" s="2" t="b">
        <v>0</v>
      </c>
      <c r="H912" s="2">
        <v>4</v>
      </c>
      <c r="I912" s="2">
        <v>1</v>
      </c>
      <c r="J912" s="2">
        <v>0.14000000000000001</v>
      </c>
      <c r="K912" s="2">
        <v>0.1212</v>
      </c>
      <c r="L912" s="2">
        <v>0.39</v>
      </c>
      <c r="M912" s="2">
        <v>0.35820000000000002</v>
      </c>
      <c r="N912" s="2">
        <v>1</v>
      </c>
      <c r="O912" s="2">
        <v>44</v>
      </c>
      <c r="P912" s="2">
        <v>45</v>
      </c>
      <c r="Q912" s="4">
        <f>SUBTOTAL(109,Table6[casual])</f>
        <v>4921</v>
      </c>
      <c r="R912" s="4">
        <f>SUBTOTAL(109,Table6[registered])</f>
        <v>53383</v>
      </c>
      <c r="S912" s="4">
        <f>SUBTOTAL(109,Table6[cnt])</f>
        <v>58304</v>
      </c>
    </row>
    <row r="913" spans="1:19">
      <c r="A913" s="2">
        <v>912</v>
      </c>
      <c r="B913" s="3">
        <v>40584</v>
      </c>
      <c r="C913" s="2">
        <v>1</v>
      </c>
      <c r="D913" s="2">
        <v>0</v>
      </c>
      <c r="E913" s="2">
        <v>2</v>
      </c>
      <c r="F913" s="2">
        <v>12</v>
      </c>
      <c r="G913" s="2" t="b">
        <v>0</v>
      </c>
      <c r="H913" s="2">
        <v>4</v>
      </c>
      <c r="I913" s="2">
        <v>1</v>
      </c>
      <c r="J913" s="2">
        <v>0.16</v>
      </c>
      <c r="K913" s="2">
        <v>0.13639999999999999</v>
      </c>
      <c r="L913" s="2">
        <v>0.34</v>
      </c>
      <c r="M913" s="2">
        <v>0.3881</v>
      </c>
      <c r="N913" s="2">
        <v>4</v>
      </c>
      <c r="O913" s="2">
        <v>65</v>
      </c>
      <c r="P913" s="2">
        <v>69</v>
      </c>
      <c r="Q913" s="4">
        <f>SUBTOTAL(109,Table6[casual])</f>
        <v>4921</v>
      </c>
      <c r="R913" s="4">
        <f>SUBTOTAL(109,Table6[registered])</f>
        <v>53383</v>
      </c>
      <c r="S913" s="4">
        <f>SUBTOTAL(109,Table6[cnt])</f>
        <v>58304</v>
      </c>
    </row>
    <row r="914" spans="1:19">
      <c r="A914" s="2">
        <v>913</v>
      </c>
      <c r="B914" s="3">
        <v>40584</v>
      </c>
      <c r="C914" s="2">
        <v>1</v>
      </c>
      <c r="D914" s="2">
        <v>0</v>
      </c>
      <c r="E914" s="2">
        <v>2</v>
      </c>
      <c r="F914" s="2">
        <v>13</v>
      </c>
      <c r="G914" s="2" t="b">
        <v>0</v>
      </c>
      <c r="H914" s="2">
        <v>4</v>
      </c>
      <c r="I914" s="2">
        <v>1</v>
      </c>
      <c r="J914" s="2">
        <v>0.18</v>
      </c>
      <c r="K914" s="2">
        <v>0.16669999999999999</v>
      </c>
      <c r="L914" s="2">
        <v>0.28999999999999998</v>
      </c>
      <c r="M914" s="2">
        <v>0.29849999999999999</v>
      </c>
      <c r="N914" s="2">
        <v>3</v>
      </c>
      <c r="O914" s="2">
        <v>59</v>
      </c>
      <c r="P914" s="2">
        <v>62</v>
      </c>
      <c r="Q914" s="4">
        <f>SUBTOTAL(109,Table6[casual])</f>
        <v>4921</v>
      </c>
      <c r="R914" s="4">
        <f>SUBTOTAL(109,Table6[registered])</f>
        <v>53383</v>
      </c>
      <c r="S914" s="4">
        <f>SUBTOTAL(109,Table6[cnt])</f>
        <v>58304</v>
      </c>
    </row>
    <row r="915" spans="1:19">
      <c r="A915" s="2">
        <v>914</v>
      </c>
      <c r="B915" s="3">
        <v>40584</v>
      </c>
      <c r="C915" s="2">
        <v>1</v>
      </c>
      <c r="D915" s="2">
        <v>0</v>
      </c>
      <c r="E915" s="2">
        <v>2</v>
      </c>
      <c r="F915" s="2">
        <v>14</v>
      </c>
      <c r="G915" s="2" t="b">
        <v>0</v>
      </c>
      <c r="H915" s="2">
        <v>4</v>
      </c>
      <c r="I915" s="2">
        <v>1</v>
      </c>
      <c r="J915" s="2">
        <v>0.2</v>
      </c>
      <c r="K915" s="2">
        <v>0.18179999999999999</v>
      </c>
      <c r="L915" s="2">
        <v>0.27</v>
      </c>
      <c r="M915" s="2">
        <v>0.28360000000000002</v>
      </c>
      <c r="N915" s="2">
        <v>6</v>
      </c>
      <c r="O915" s="2">
        <v>42</v>
      </c>
      <c r="P915" s="2">
        <v>48</v>
      </c>
      <c r="Q915" s="4">
        <f>SUBTOTAL(109,Table6[casual])</f>
        <v>4921</v>
      </c>
      <c r="R915" s="4">
        <f>SUBTOTAL(109,Table6[registered])</f>
        <v>53383</v>
      </c>
      <c r="S915" s="4">
        <f>SUBTOTAL(109,Table6[cnt])</f>
        <v>58304</v>
      </c>
    </row>
    <row r="916" spans="1:19">
      <c r="A916" s="2">
        <v>915</v>
      </c>
      <c r="B916" s="3">
        <v>40584</v>
      </c>
      <c r="C916" s="2">
        <v>1</v>
      </c>
      <c r="D916" s="2">
        <v>0</v>
      </c>
      <c r="E916" s="2">
        <v>2</v>
      </c>
      <c r="F916" s="2">
        <v>15</v>
      </c>
      <c r="G916" s="2" t="b">
        <v>0</v>
      </c>
      <c r="H916" s="2">
        <v>4</v>
      </c>
      <c r="I916" s="2">
        <v>1</v>
      </c>
      <c r="J916" s="2">
        <v>0.2</v>
      </c>
      <c r="K916" s="2">
        <v>0.19700000000000001</v>
      </c>
      <c r="L916" s="2">
        <v>0.25</v>
      </c>
      <c r="M916" s="2">
        <v>0.25369999999999998</v>
      </c>
      <c r="N916" s="2">
        <v>0</v>
      </c>
      <c r="O916" s="2">
        <v>50</v>
      </c>
      <c r="P916" s="2">
        <v>50</v>
      </c>
      <c r="Q916" s="4">
        <f>SUBTOTAL(109,Table6[casual])</f>
        <v>4921</v>
      </c>
      <c r="R916" s="4">
        <f>SUBTOTAL(109,Table6[registered])</f>
        <v>53383</v>
      </c>
      <c r="S916" s="4">
        <f>SUBTOTAL(109,Table6[cnt])</f>
        <v>58304</v>
      </c>
    </row>
    <row r="917" spans="1:19">
      <c r="A917" s="2">
        <v>916</v>
      </c>
      <c r="B917" s="3">
        <v>40584</v>
      </c>
      <c r="C917" s="2">
        <v>1</v>
      </c>
      <c r="D917" s="2">
        <v>0</v>
      </c>
      <c r="E917" s="2">
        <v>2</v>
      </c>
      <c r="F917" s="2">
        <v>16</v>
      </c>
      <c r="G917" s="2" t="b">
        <v>0</v>
      </c>
      <c r="H917" s="2">
        <v>4</v>
      </c>
      <c r="I917" s="2">
        <v>1</v>
      </c>
      <c r="J917" s="2">
        <v>0.2</v>
      </c>
      <c r="K917" s="2">
        <v>0.18179999999999999</v>
      </c>
      <c r="L917" s="2">
        <v>0.27</v>
      </c>
      <c r="M917" s="2">
        <v>0.29849999999999999</v>
      </c>
      <c r="N917" s="2">
        <v>4</v>
      </c>
      <c r="O917" s="2">
        <v>76</v>
      </c>
      <c r="P917" s="2">
        <v>80</v>
      </c>
      <c r="Q917" s="4">
        <f>SUBTOTAL(109,Table6[casual])</f>
        <v>4921</v>
      </c>
      <c r="R917" s="4">
        <f>SUBTOTAL(109,Table6[registered])</f>
        <v>53383</v>
      </c>
      <c r="S917" s="4">
        <f>SUBTOTAL(109,Table6[cnt])</f>
        <v>58304</v>
      </c>
    </row>
    <row r="918" spans="1:19">
      <c r="A918" s="2">
        <v>917</v>
      </c>
      <c r="B918" s="3">
        <v>40584</v>
      </c>
      <c r="C918" s="2">
        <v>1</v>
      </c>
      <c r="D918" s="2">
        <v>0</v>
      </c>
      <c r="E918" s="2">
        <v>2</v>
      </c>
      <c r="F918" s="2">
        <v>17</v>
      </c>
      <c r="G918" s="2" t="b">
        <v>0</v>
      </c>
      <c r="H918" s="2">
        <v>4</v>
      </c>
      <c r="I918" s="2">
        <v>1</v>
      </c>
      <c r="J918" s="2">
        <v>0.18</v>
      </c>
      <c r="K918" s="2">
        <v>0.18179999999999999</v>
      </c>
      <c r="L918" s="2">
        <v>0.26</v>
      </c>
      <c r="M918" s="2">
        <v>0.19400000000000001</v>
      </c>
      <c r="N918" s="2">
        <v>6</v>
      </c>
      <c r="O918" s="2">
        <v>159</v>
      </c>
      <c r="P918" s="2">
        <v>165</v>
      </c>
      <c r="Q918" s="4">
        <f>SUBTOTAL(109,Table6[casual])</f>
        <v>4921</v>
      </c>
      <c r="R918" s="4">
        <f>SUBTOTAL(109,Table6[registered])</f>
        <v>53383</v>
      </c>
      <c r="S918" s="4">
        <f>SUBTOTAL(109,Table6[cnt])</f>
        <v>58304</v>
      </c>
    </row>
    <row r="919" spans="1:19">
      <c r="A919" s="2">
        <v>918</v>
      </c>
      <c r="B919" s="3">
        <v>40584</v>
      </c>
      <c r="C919" s="2">
        <v>1</v>
      </c>
      <c r="D919" s="2">
        <v>0</v>
      </c>
      <c r="E919" s="2">
        <v>2</v>
      </c>
      <c r="F919" s="2">
        <v>18</v>
      </c>
      <c r="G919" s="2" t="b">
        <v>0</v>
      </c>
      <c r="H919" s="2">
        <v>4</v>
      </c>
      <c r="I919" s="2">
        <v>1</v>
      </c>
      <c r="J919" s="2">
        <v>0.16</v>
      </c>
      <c r="K919" s="2">
        <v>0.18179999999999999</v>
      </c>
      <c r="L919" s="2">
        <v>0.28000000000000003</v>
      </c>
      <c r="M919" s="2">
        <v>0.1343</v>
      </c>
      <c r="N919" s="2">
        <v>3</v>
      </c>
      <c r="O919" s="2">
        <v>157</v>
      </c>
      <c r="P919" s="2">
        <v>160</v>
      </c>
      <c r="Q919" s="4">
        <f>SUBTOTAL(109,Table6[casual])</f>
        <v>4921</v>
      </c>
      <c r="R919" s="4">
        <f>SUBTOTAL(109,Table6[registered])</f>
        <v>53383</v>
      </c>
      <c r="S919" s="4">
        <f>SUBTOTAL(109,Table6[cnt])</f>
        <v>58304</v>
      </c>
    </row>
    <row r="920" spans="1:19">
      <c r="A920" s="2">
        <v>919</v>
      </c>
      <c r="B920" s="3">
        <v>40584</v>
      </c>
      <c r="C920" s="2">
        <v>1</v>
      </c>
      <c r="D920" s="2">
        <v>0</v>
      </c>
      <c r="E920" s="2">
        <v>2</v>
      </c>
      <c r="F920" s="2">
        <v>19</v>
      </c>
      <c r="G920" s="2" t="b">
        <v>0</v>
      </c>
      <c r="H920" s="2">
        <v>4</v>
      </c>
      <c r="I920" s="2">
        <v>1</v>
      </c>
      <c r="J920" s="2">
        <v>0.14000000000000001</v>
      </c>
      <c r="K920" s="2">
        <v>0.16669999999999999</v>
      </c>
      <c r="L920" s="2">
        <v>0.28000000000000003</v>
      </c>
      <c r="M920" s="2">
        <v>0.1045</v>
      </c>
      <c r="N920" s="2">
        <v>2</v>
      </c>
      <c r="O920" s="2">
        <v>110</v>
      </c>
      <c r="P920" s="2">
        <v>112</v>
      </c>
      <c r="Q920" s="4">
        <f>SUBTOTAL(109,Table6[casual])</f>
        <v>4921</v>
      </c>
      <c r="R920" s="4">
        <f>SUBTOTAL(109,Table6[registered])</f>
        <v>53383</v>
      </c>
      <c r="S920" s="4">
        <f>SUBTOTAL(109,Table6[cnt])</f>
        <v>58304</v>
      </c>
    </row>
    <row r="921" spans="1:19">
      <c r="A921" s="2">
        <v>920</v>
      </c>
      <c r="B921" s="3">
        <v>40584</v>
      </c>
      <c r="C921" s="2">
        <v>1</v>
      </c>
      <c r="D921" s="2">
        <v>0</v>
      </c>
      <c r="E921" s="2">
        <v>2</v>
      </c>
      <c r="F921" s="2">
        <v>20</v>
      </c>
      <c r="G921" s="2" t="b">
        <v>0</v>
      </c>
      <c r="H921" s="2">
        <v>4</v>
      </c>
      <c r="I921" s="2">
        <v>1</v>
      </c>
      <c r="J921" s="2">
        <v>0.14000000000000001</v>
      </c>
      <c r="K921" s="2">
        <v>0.18179999999999999</v>
      </c>
      <c r="L921" s="2">
        <v>0.31</v>
      </c>
      <c r="M921" s="2">
        <v>8.9599999999999999E-2</v>
      </c>
      <c r="N921" s="2">
        <v>4</v>
      </c>
      <c r="O921" s="2">
        <v>93</v>
      </c>
      <c r="P921" s="2">
        <v>97</v>
      </c>
      <c r="Q921" s="4">
        <f>SUBTOTAL(109,Table6[casual])</f>
        <v>4921</v>
      </c>
      <c r="R921" s="4">
        <f>SUBTOTAL(109,Table6[registered])</f>
        <v>53383</v>
      </c>
      <c r="S921" s="4">
        <f>SUBTOTAL(109,Table6[cnt])</f>
        <v>58304</v>
      </c>
    </row>
    <row r="922" spans="1:19">
      <c r="A922" s="2">
        <v>921</v>
      </c>
      <c r="B922" s="3">
        <v>40584</v>
      </c>
      <c r="C922" s="2">
        <v>1</v>
      </c>
      <c r="D922" s="2">
        <v>0</v>
      </c>
      <c r="E922" s="2">
        <v>2</v>
      </c>
      <c r="F922" s="2">
        <v>21</v>
      </c>
      <c r="G922" s="2" t="b">
        <v>0</v>
      </c>
      <c r="H922" s="2">
        <v>4</v>
      </c>
      <c r="I922" s="2">
        <v>1</v>
      </c>
      <c r="J922" s="2">
        <v>0.14000000000000001</v>
      </c>
      <c r="K922" s="2">
        <v>0.21210000000000001</v>
      </c>
      <c r="L922" s="2">
        <v>0.39</v>
      </c>
      <c r="M922" s="2">
        <v>0</v>
      </c>
      <c r="N922" s="2">
        <v>2</v>
      </c>
      <c r="O922" s="2">
        <v>70</v>
      </c>
      <c r="P922" s="2">
        <v>72</v>
      </c>
      <c r="Q922" s="4">
        <f>SUBTOTAL(109,Table6[casual])</f>
        <v>4921</v>
      </c>
      <c r="R922" s="4">
        <f>SUBTOTAL(109,Table6[registered])</f>
        <v>53383</v>
      </c>
      <c r="S922" s="4">
        <f>SUBTOTAL(109,Table6[cnt])</f>
        <v>58304</v>
      </c>
    </row>
    <row r="923" spans="1:19">
      <c r="A923" s="2">
        <v>922</v>
      </c>
      <c r="B923" s="3">
        <v>40584</v>
      </c>
      <c r="C923" s="2">
        <v>1</v>
      </c>
      <c r="D923" s="2">
        <v>0</v>
      </c>
      <c r="E923" s="2">
        <v>2</v>
      </c>
      <c r="F923" s="2">
        <v>22</v>
      </c>
      <c r="G923" s="2" t="b">
        <v>0</v>
      </c>
      <c r="H923" s="2">
        <v>4</v>
      </c>
      <c r="I923" s="2">
        <v>1</v>
      </c>
      <c r="J923" s="2">
        <v>0.12</v>
      </c>
      <c r="K923" s="2">
        <v>0.19700000000000001</v>
      </c>
      <c r="L923" s="2">
        <v>0.39</v>
      </c>
      <c r="M923" s="2">
        <v>0</v>
      </c>
      <c r="N923" s="2">
        <v>4</v>
      </c>
      <c r="O923" s="2">
        <v>47</v>
      </c>
      <c r="P923" s="2">
        <v>51</v>
      </c>
      <c r="Q923" s="4">
        <f>SUBTOTAL(109,Table6[casual])</f>
        <v>4921</v>
      </c>
      <c r="R923" s="4">
        <f>SUBTOTAL(109,Table6[registered])</f>
        <v>53383</v>
      </c>
      <c r="S923" s="4">
        <f>SUBTOTAL(109,Table6[cnt])</f>
        <v>58304</v>
      </c>
    </row>
    <row r="924" spans="1:19">
      <c r="A924" s="2">
        <v>923</v>
      </c>
      <c r="B924" s="3">
        <v>40584</v>
      </c>
      <c r="C924" s="2">
        <v>1</v>
      </c>
      <c r="D924" s="2">
        <v>0</v>
      </c>
      <c r="E924" s="2">
        <v>2</v>
      </c>
      <c r="F924" s="2">
        <v>23</v>
      </c>
      <c r="G924" s="2" t="b">
        <v>0</v>
      </c>
      <c r="H924" s="2">
        <v>4</v>
      </c>
      <c r="I924" s="2">
        <v>1</v>
      </c>
      <c r="J924" s="2">
        <v>0.12</v>
      </c>
      <c r="K924" s="2">
        <v>0.1515</v>
      </c>
      <c r="L924" s="2">
        <v>0.42</v>
      </c>
      <c r="M924" s="2">
        <v>0.1045</v>
      </c>
      <c r="N924" s="2">
        <v>1</v>
      </c>
      <c r="O924" s="2">
        <v>33</v>
      </c>
      <c r="P924" s="2">
        <v>34</v>
      </c>
      <c r="Q924" s="4">
        <f>SUBTOTAL(109,Table6[casual])</f>
        <v>4921</v>
      </c>
      <c r="R924" s="4">
        <f>SUBTOTAL(109,Table6[registered])</f>
        <v>53383</v>
      </c>
      <c r="S924" s="4">
        <f>SUBTOTAL(109,Table6[cnt])</f>
        <v>58304</v>
      </c>
    </row>
    <row r="925" spans="1:19">
      <c r="A925" s="2">
        <v>924</v>
      </c>
      <c r="B925" s="3">
        <v>40585</v>
      </c>
      <c r="C925" s="2">
        <v>1</v>
      </c>
      <c r="D925" s="2">
        <v>0</v>
      </c>
      <c r="E925" s="2">
        <v>2</v>
      </c>
      <c r="F925" s="2">
        <v>0</v>
      </c>
      <c r="G925" s="2" t="b">
        <v>0</v>
      </c>
      <c r="H925" s="2">
        <v>5</v>
      </c>
      <c r="I925" s="2">
        <v>1</v>
      </c>
      <c r="J925" s="2">
        <v>0.1</v>
      </c>
      <c r="K925" s="2">
        <v>0.13639999999999999</v>
      </c>
      <c r="L925" s="2">
        <v>0.49</v>
      </c>
      <c r="M925" s="2">
        <v>0.1045</v>
      </c>
      <c r="N925" s="2">
        <v>2</v>
      </c>
      <c r="O925" s="2">
        <v>12</v>
      </c>
      <c r="P925" s="2">
        <v>14</v>
      </c>
      <c r="Q925" s="4">
        <f>SUBTOTAL(109,Table6[casual])</f>
        <v>4921</v>
      </c>
      <c r="R925" s="4">
        <f>SUBTOTAL(109,Table6[registered])</f>
        <v>53383</v>
      </c>
      <c r="S925" s="4">
        <f>SUBTOTAL(109,Table6[cnt])</f>
        <v>58304</v>
      </c>
    </row>
    <row r="926" spans="1:19">
      <c r="A926" s="2">
        <v>925</v>
      </c>
      <c r="B926" s="3">
        <v>40585</v>
      </c>
      <c r="C926" s="2">
        <v>1</v>
      </c>
      <c r="D926" s="2">
        <v>0</v>
      </c>
      <c r="E926" s="2">
        <v>2</v>
      </c>
      <c r="F926" s="2">
        <v>1</v>
      </c>
      <c r="G926" s="2" t="b">
        <v>0</v>
      </c>
      <c r="H926" s="2">
        <v>5</v>
      </c>
      <c r="I926" s="2">
        <v>1</v>
      </c>
      <c r="J926" s="2">
        <v>0.1</v>
      </c>
      <c r="K926" s="2">
        <v>0.13639999999999999</v>
      </c>
      <c r="L926" s="2">
        <v>0.54</v>
      </c>
      <c r="M926" s="2">
        <v>8.9599999999999999E-2</v>
      </c>
      <c r="N926" s="2">
        <v>1</v>
      </c>
      <c r="O926" s="2">
        <v>6</v>
      </c>
      <c r="P926" s="2">
        <v>7</v>
      </c>
      <c r="Q926" s="4">
        <f>SUBTOTAL(109,Table6[casual])</f>
        <v>4921</v>
      </c>
      <c r="R926" s="4">
        <f>SUBTOTAL(109,Table6[registered])</f>
        <v>53383</v>
      </c>
      <c r="S926" s="4">
        <f>SUBTOTAL(109,Table6[cnt])</f>
        <v>58304</v>
      </c>
    </row>
    <row r="927" spans="1:19">
      <c r="A927" s="2">
        <v>926</v>
      </c>
      <c r="B927" s="3">
        <v>40585</v>
      </c>
      <c r="C927" s="2">
        <v>1</v>
      </c>
      <c r="D927" s="2">
        <v>0</v>
      </c>
      <c r="E927" s="2">
        <v>2</v>
      </c>
      <c r="F927" s="2">
        <v>2</v>
      </c>
      <c r="G927" s="2" t="b">
        <v>0</v>
      </c>
      <c r="H927" s="2">
        <v>5</v>
      </c>
      <c r="I927" s="2">
        <v>1</v>
      </c>
      <c r="J927" s="2">
        <v>0.1</v>
      </c>
      <c r="K927" s="2">
        <v>0.13639999999999999</v>
      </c>
      <c r="L927" s="2">
        <v>0.54</v>
      </c>
      <c r="M927" s="2">
        <v>8.9599999999999999E-2</v>
      </c>
      <c r="N927" s="2">
        <v>0</v>
      </c>
      <c r="O927" s="2">
        <v>3</v>
      </c>
      <c r="P927" s="2">
        <v>3</v>
      </c>
      <c r="Q927" s="4">
        <f>SUBTOTAL(109,Table6[casual])</f>
        <v>4921</v>
      </c>
      <c r="R927" s="4">
        <f>SUBTOTAL(109,Table6[registered])</f>
        <v>53383</v>
      </c>
      <c r="S927" s="4">
        <f>SUBTOTAL(109,Table6[cnt])</f>
        <v>58304</v>
      </c>
    </row>
    <row r="928" spans="1:19">
      <c r="A928" s="2">
        <v>927</v>
      </c>
      <c r="B928" s="3">
        <v>40585</v>
      </c>
      <c r="C928" s="2">
        <v>1</v>
      </c>
      <c r="D928" s="2">
        <v>0</v>
      </c>
      <c r="E928" s="2">
        <v>2</v>
      </c>
      <c r="F928" s="2">
        <v>5</v>
      </c>
      <c r="G928" s="2" t="b">
        <v>0</v>
      </c>
      <c r="H928" s="2">
        <v>5</v>
      </c>
      <c r="I928" s="2">
        <v>1</v>
      </c>
      <c r="J928" s="2">
        <v>0.08</v>
      </c>
      <c r="K928" s="2">
        <v>0.1212</v>
      </c>
      <c r="L928" s="2">
        <v>0.63</v>
      </c>
      <c r="M928" s="2">
        <v>8.9599999999999999E-2</v>
      </c>
      <c r="N928" s="2">
        <v>0</v>
      </c>
      <c r="O928" s="2">
        <v>4</v>
      </c>
      <c r="P928" s="2">
        <v>4</v>
      </c>
      <c r="Q928" s="4">
        <f>SUBTOTAL(109,Table6[casual])</f>
        <v>4921</v>
      </c>
      <c r="R928" s="4">
        <f>SUBTOTAL(109,Table6[registered])</f>
        <v>53383</v>
      </c>
      <c r="S928" s="4">
        <f>SUBTOTAL(109,Table6[cnt])</f>
        <v>58304</v>
      </c>
    </row>
    <row r="929" spans="1:19">
      <c r="A929" s="2">
        <v>928</v>
      </c>
      <c r="B929" s="3">
        <v>40585</v>
      </c>
      <c r="C929" s="2">
        <v>1</v>
      </c>
      <c r="D929" s="2">
        <v>0</v>
      </c>
      <c r="E929" s="2">
        <v>2</v>
      </c>
      <c r="F929" s="2">
        <v>6</v>
      </c>
      <c r="G929" s="2" t="b">
        <v>0</v>
      </c>
      <c r="H929" s="2">
        <v>5</v>
      </c>
      <c r="I929" s="2">
        <v>1</v>
      </c>
      <c r="J929" s="2">
        <v>0.1</v>
      </c>
      <c r="K929" s="2">
        <v>0.18179999999999999</v>
      </c>
      <c r="L929" s="2">
        <v>0.68</v>
      </c>
      <c r="M929" s="2">
        <v>0</v>
      </c>
      <c r="N929" s="2">
        <v>1</v>
      </c>
      <c r="O929" s="2">
        <v>23</v>
      </c>
      <c r="P929" s="2">
        <v>24</v>
      </c>
      <c r="Q929" s="4">
        <f>SUBTOTAL(109,Table6[casual])</f>
        <v>4921</v>
      </c>
      <c r="R929" s="4">
        <f>SUBTOTAL(109,Table6[registered])</f>
        <v>53383</v>
      </c>
      <c r="S929" s="4">
        <f>SUBTOTAL(109,Table6[cnt])</f>
        <v>58304</v>
      </c>
    </row>
    <row r="930" spans="1:19">
      <c r="A930" s="2">
        <v>929</v>
      </c>
      <c r="B930" s="3">
        <v>40585</v>
      </c>
      <c r="C930" s="2">
        <v>1</v>
      </c>
      <c r="D930" s="2">
        <v>0</v>
      </c>
      <c r="E930" s="2">
        <v>2</v>
      </c>
      <c r="F930" s="2">
        <v>7</v>
      </c>
      <c r="G930" s="2" t="b">
        <v>0</v>
      </c>
      <c r="H930" s="2">
        <v>5</v>
      </c>
      <c r="I930" s="2">
        <v>1</v>
      </c>
      <c r="J930" s="2">
        <v>0.08</v>
      </c>
      <c r="K930" s="2">
        <v>0.16669999999999999</v>
      </c>
      <c r="L930" s="2">
        <v>0.73</v>
      </c>
      <c r="M930" s="2">
        <v>0</v>
      </c>
      <c r="N930" s="2">
        <v>1</v>
      </c>
      <c r="O930" s="2">
        <v>73</v>
      </c>
      <c r="P930" s="2">
        <v>74</v>
      </c>
      <c r="Q930" s="4">
        <f>SUBTOTAL(109,Table6[casual])</f>
        <v>4921</v>
      </c>
      <c r="R930" s="4">
        <f>SUBTOTAL(109,Table6[registered])</f>
        <v>53383</v>
      </c>
      <c r="S930" s="4">
        <f>SUBTOTAL(109,Table6[cnt])</f>
        <v>58304</v>
      </c>
    </row>
    <row r="931" spans="1:19">
      <c r="A931" s="2">
        <v>930</v>
      </c>
      <c r="B931" s="3">
        <v>40585</v>
      </c>
      <c r="C931" s="2">
        <v>1</v>
      </c>
      <c r="D931" s="2">
        <v>0</v>
      </c>
      <c r="E931" s="2">
        <v>2</v>
      </c>
      <c r="F931" s="2">
        <v>8</v>
      </c>
      <c r="G931" s="2" t="b">
        <v>0</v>
      </c>
      <c r="H931" s="2">
        <v>5</v>
      </c>
      <c r="I931" s="2">
        <v>1</v>
      </c>
      <c r="J931" s="2">
        <v>0.1</v>
      </c>
      <c r="K931" s="2">
        <v>0.1212</v>
      </c>
      <c r="L931" s="2">
        <v>0.74</v>
      </c>
      <c r="M931" s="2">
        <v>0.16420000000000001</v>
      </c>
      <c r="N931" s="2">
        <v>4</v>
      </c>
      <c r="O931" s="2">
        <v>212</v>
      </c>
      <c r="P931" s="2">
        <v>216</v>
      </c>
      <c r="Q931" s="4">
        <f>SUBTOTAL(109,Table6[casual])</f>
        <v>4921</v>
      </c>
      <c r="R931" s="4">
        <f>SUBTOTAL(109,Table6[registered])</f>
        <v>53383</v>
      </c>
      <c r="S931" s="4">
        <f>SUBTOTAL(109,Table6[cnt])</f>
        <v>58304</v>
      </c>
    </row>
    <row r="932" spans="1:19">
      <c r="A932" s="2">
        <v>931</v>
      </c>
      <c r="B932" s="3">
        <v>40585</v>
      </c>
      <c r="C932" s="2">
        <v>1</v>
      </c>
      <c r="D932" s="2">
        <v>0</v>
      </c>
      <c r="E932" s="2">
        <v>2</v>
      </c>
      <c r="F932" s="2">
        <v>9</v>
      </c>
      <c r="G932" s="2" t="b">
        <v>0</v>
      </c>
      <c r="H932" s="2">
        <v>5</v>
      </c>
      <c r="I932" s="2">
        <v>1</v>
      </c>
      <c r="J932" s="2">
        <v>0.12</v>
      </c>
      <c r="K932" s="2">
        <v>0.1212</v>
      </c>
      <c r="L932" s="2">
        <v>0.74</v>
      </c>
      <c r="M932" s="2">
        <v>0.22389999999999999</v>
      </c>
      <c r="N932" s="2">
        <v>8</v>
      </c>
      <c r="O932" s="2">
        <v>132</v>
      </c>
      <c r="P932" s="2">
        <v>140</v>
      </c>
      <c r="Q932" s="4">
        <f>SUBTOTAL(109,Table6[casual])</f>
        <v>4921</v>
      </c>
      <c r="R932" s="4">
        <f>SUBTOTAL(109,Table6[registered])</f>
        <v>53383</v>
      </c>
      <c r="S932" s="4">
        <f>SUBTOTAL(109,Table6[cnt])</f>
        <v>58304</v>
      </c>
    </row>
    <row r="933" spans="1:19">
      <c r="A933" s="2">
        <v>932</v>
      </c>
      <c r="B933" s="3">
        <v>40585</v>
      </c>
      <c r="C933" s="2">
        <v>1</v>
      </c>
      <c r="D933" s="2">
        <v>0</v>
      </c>
      <c r="E933" s="2">
        <v>2</v>
      </c>
      <c r="F933" s="2">
        <v>10</v>
      </c>
      <c r="G933" s="2" t="b">
        <v>0</v>
      </c>
      <c r="H933" s="2">
        <v>5</v>
      </c>
      <c r="I933" s="2">
        <v>1</v>
      </c>
      <c r="J933" s="2">
        <v>0.14000000000000001</v>
      </c>
      <c r="K933" s="2">
        <v>0.13639999999999999</v>
      </c>
      <c r="L933" s="2">
        <v>0.69</v>
      </c>
      <c r="M933" s="2">
        <v>0.19400000000000001</v>
      </c>
      <c r="N933" s="2">
        <v>5</v>
      </c>
      <c r="O933" s="2">
        <v>39</v>
      </c>
      <c r="P933" s="2">
        <v>44</v>
      </c>
      <c r="Q933" s="4">
        <f>SUBTOTAL(109,Table6[casual])</f>
        <v>4921</v>
      </c>
      <c r="R933" s="4">
        <f>SUBTOTAL(109,Table6[registered])</f>
        <v>53383</v>
      </c>
      <c r="S933" s="4">
        <f>SUBTOTAL(109,Table6[cnt])</f>
        <v>58304</v>
      </c>
    </row>
    <row r="934" spans="1:19">
      <c r="A934" s="2">
        <v>933</v>
      </c>
      <c r="B934" s="3">
        <v>40585</v>
      </c>
      <c r="C934" s="2">
        <v>1</v>
      </c>
      <c r="D934" s="2">
        <v>0</v>
      </c>
      <c r="E934" s="2">
        <v>2</v>
      </c>
      <c r="F934" s="2">
        <v>11</v>
      </c>
      <c r="G934" s="2" t="b">
        <v>0</v>
      </c>
      <c r="H934" s="2">
        <v>5</v>
      </c>
      <c r="I934" s="2">
        <v>1</v>
      </c>
      <c r="J934" s="2">
        <v>0.22</v>
      </c>
      <c r="K934" s="2">
        <v>0.2273</v>
      </c>
      <c r="L934" s="2">
        <v>0.47</v>
      </c>
      <c r="M934" s="2">
        <v>0.1343</v>
      </c>
      <c r="N934" s="2">
        <v>12</v>
      </c>
      <c r="O934" s="2">
        <v>52</v>
      </c>
      <c r="P934" s="2">
        <v>64</v>
      </c>
      <c r="Q934" s="4">
        <f>SUBTOTAL(109,Table6[casual])</f>
        <v>4921</v>
      </c>
      <c r="R934" s="4">
        <f>SUBTOTAL(109,Table6[registered])</f>
        <v>53383</v>
      </c>
      <c r="S934" s="4">
        <f>SUBTOTAL(109,Table6[cnt])</f>
        <v>58304</v>
      </c>
    </row>
    <row r="935" spans="1:19">
      <c r="A935" s="2">
        <v>934</v>
      </c>
      <c r="B935" s="3">
        <v>40585</v>
      </c>
      <c r="C935" s="2">
        <v>1</v>
      </c>
      <c r="D935" s="2">
        <v>0</v>
      </c>
      <c r="E935" s="2">
        <v>2</v>
      </c>
      <c r="F935" s="2">
        <v>12</v>
      </c>
      <c r="G935" s="2" t="b">
        <v>0</v>
      </c>
      <c r="H935" s="2">
        <v>5</v>
      </c>
      <c r="I935" s="2">
        <v>1</v>
      </c>
      <c r="J935" s="2">
        <v>0.22</v>
      </c>
      <c r="K935" s="2">
        <v>0.2273</v>
      </c>
      <c r="L935" s="2">
        <v>0.47</v>
      </c>
      <c r="M935" s="2">
        <v>0.1343</v>
      </c>
      <c r="N935" s="2">
        <v>7</v>
      </c>
      <c r="O935" s="2">
        <v>64</v>
      </c>
      <c r="P935" s="2">
        <v>71</v>
      </c>
      <c r="Q935" s="4">
        <f>SUBTOTAL(109,Table6[casual])</f>
        <v>4921</v>
      </c>
      <c r="R935" s="4">
        <f>SUBTOTAL(109,Table6[registered])</f>
        <v>53383</v>
      </c>
      <c r="S935" s="4">
        <f>SUBTOTAL(109,Table6[cnt])</f>
        <v>58304</v>
      </c>
    </row>
    <row r="936" spans="1:19">
      <c r="A936" s="2">
        <v>935</v>
      </c>
      <c r="B936" s="3">
        <v>40585</v>
      </c>
      <c r="C936" s="2">
        <v>1</v>
      </c>
      <c r="D936" s="2">
        <v>0</v>
      </c>
      <c r="E936" s="2">
        <v>2</v>
      </c>
      <c r="F936" s="2">
        <v>13</v>
      </c>
      <c r="G936" s="2" t="b">
        <v>0</v>
      </c>
      <c r="H936" s="2">
        <v>5</v>
      </c>
      <c r="I936" s="2">
        <v>1</v>
      </c>
      <c r="J936" s="2">
        <v>0.24</v>
      </c>
      <c r="K936" s="2">
        <v>0.2273</v>
      </c>
      <c r="L936" s="2">
        <v>0.35</v>
      </c>
      <c r="M936" s="2">
        <v>0.19400000000000001</v>
      </c>
      <c r="N936" s="2">
        <v>21</v>
      </c>
      <c r="O936" s="2">
        <v>89</v>
      </c>
      <c r="P936" s="2">
        <v>110</v>
      </c>
      <c r="Q936" s="4">
        <f>SUBTOTAL(109,Table6[casual])</f>
        <v>4921</v>
      </c>
      <c r="R936" s="4">
        <f>SUBTOTAL(109,Table6[registered])</f>
        <v>53383</v>
      </c>
      <c r="S936" s="4">
        <f>SUBTOTAL(109,Table6[cnt])</f>
        <v>58304</v>
      </c>
    </row>
    <row r="937" spans="1:19">
      <c r="A937" s="2">
        <v>936</v>
      </c>
      <c r="B937" s="3">
        <v>40585</v>
      </c>
      <c r="C937" s="2">
        <v>1</v>
      </c>
      <c r="D937" s="2">
        <v>0</v>
      </c>
      <c r="E937" s="2">
        <v>2</v>
      </c>
      <c r="F937" s="2">
        <v>14</v>
      </c>
      <c r="G937" s="2" t="b">
        <v>0</v>
      </c>
      <c r="H937" s="2">
        <v>5</v>
      </c>
      <c r="I937" s="2">
        <v>1</v>
      </c>
      <c r="J937" s="2">
        <v>0.3</v>
      </c>
      <c r="K937" s="2">
        <v>0.28789999999999999</v>
      </c>
      <c r="L937" s="2">
        <v>0.26</v>
      </c>
      <c r="M937" s="2">
        <v>0.25369999999999998</v>
      </c>
      <c r="N937" s="2">
        <v>17</v>
      </c>
      <c r="O937" s="2">
        <v>67</v>
      </c>
      <c r="P937" s="2">
        <v>84</v>
      </c>
      <c r="Q937" s="4">
        <f>SUBTOTAL(109,Table6[casual])</f>
        <v>4921</v>
      </c>
      <c r="R937" s="4">
        <f>SUBTOTAL(109,Table6[registered])</f>
        <v>53383</v>
      </c>
      <c r="S937" s="4">
        <f>SUBTOTAL(109,Table6[cnt])</f>
        <v>58304</v>
      </c>
    </row>
    <row r="938" spans="1:19">
      <c r="A938" s="2">
        <v>937</v>
      </c>
      <c r="B938" s="3">
        <v>40585</v>
      </c>
      <c r="C938" s="2">
        <v>1</v>
      </c>
      <c r="D938" s="2">
        <v>0</v>
      </c>
      <c r="E938" s="2">
        <v>2</v>
      </c>
      <c r="F938" s="2">
        <v>15</v>
      </c>
      <c r="G938" s="2" t="b">
        <v>0</v>
      </c>
      <c r="H938" s="2">
        <v>5</v>
      </c>
      <c r="I938" s="2">
        <v>1</v>
      </c>
      <c r="J938" s="2">
        <v>0.32</v>
      </c>
      <c r="K938" s="2">
        <v>0.31819999999999998</v>
      </c>
      <c r="L938" s="2">
        <v>0.21</v>
      </c>
      <c r="M938" s="2">
        <v>0.16420000000000001</v>
      </c>
      <c r="N938" s="2">
        <v>12</v>
      </c>
      <c r="O938" s="2">
        <v>62</v>
      </c>
      <c r="P938" s="2">
        <v>74</v>
      </c>
      <c r="Q938" s="4">
        <f>SUBTOTAL(109,Table6[casual])</f>
        <v>4921</v>
      </c>
      <c r="R938" s="4">
        <f>SUBTOTAL(109,Table6[registered])</f>
        <v>53383</v>
      </c>
      <c r="S938" s="4">
        <f>SUBTOTAL(109,Table6[cnt])</f>
        <v>58304</v>
      </c>
    </row>
    <row r="939" spans="1:19">
      <c r="A939" s="2">
        <v>938</v>
      </c>
      <c r="B939" s="3">
        <v>40585</v>
      </c>
      <c r="C939" s="2">
        <v>1</v>
      </c>
      <c r="D939" s="2">
        <v>0</v>
      </c>
      <c r="E939" s="2">
        <v>2</v>
      </c>
      <c r="F939" s="2">
        <v>16</v>
      </c>
      <c r="G939" s="2" t="b">
        <v>0</v>
      </c>
      <c r="H939" s="2">
        <v>5</v>
      </c>
      <c r="I939" s="2">
        <v>1</v>
      </c>
      <c r="J939" s="2">
        <v>0.3</v>
      </c>
      <c r="K939" s="2">
        <v>0.28789999999999999</v>
      </c>
      <c r="L939" s="2">
        <v>0.28000000000000003</v>
      </c>
      <c r="M939" s="2">
        <v>0.19400000000000001</v>
      </c>
      <c r="N939" s="2">
        <v>14</v>
      </c>
      <c r="O939" s="2">
        <v>111</v>
      </c>
      <c r="P939" s="2">
        <v>125</v>
      </c>
      <c r="Q939" s="4">
        <f>SUBTOTAL(109,Table6[casual])</f>
        <v>4921</v>
      </c>
      <c r="R939" s="4">
        <f>SUBTOTAL(109,Table6[registered])</f>
        <v>53383</v>
      </c>
      <c r="S939" s="4">
        <f>SUBTOTAL(109,Table6[cnt])</f>
        <v>58304</v>
      </c>
    </row>
    <row r="940" spans="1:19">
      <c r="A940" s="2">
        <v>939</v>
      </c>
      <c r="B940" s="3">
        <v>40585</v>
      </c>
      <c r="C940" s="2">
        <v>1</v>
      </c>
      <c r="D940" s="2">
        <v>0</v>
      </c>
      <c r="E940" s="2">
        <v>2</v>
      </c>
      <c r="F940" s="2">
        <v>17</v>
      </c>
      <c r="G940" s="2" t="b">
        <v>0</v>
      </c>
      <c r="H940" s="2">
        <v>5</v>
      </c>
      <c r="I940" s="2">
        <v>1</v>
      </c>
      <c r="J940" s="2">
        <v>0.3</v>
      </c>
      <c r="K940" s="2">
        <v>0.33329999999999999</v>
      </c>
      <c r="L940" s="2">
        <v>0.24</v>
      </c>
      <c r="M940" s="2">
        <v>0</v>
      </c>
      <c r="N940" s="2">
        <v>18</v>
      </c>
      <c r="O940" s="2">
        <v>193</v>
      </c>
      <c r="P940" s="2">
        <v>211</v>
      </c>
      <c r="Q940" s="4">
        <f>SUBTOTAL(109,Table6[casual])</f>
        <v>4921</v>
      </c>
      <c r="R940" s="4">
        <f>SUBTOTAL(109,Table6[registered])</f>
        <v>53383</v>
      </c>
      <c r="S940" s="4">
        <f>SUBTOTAL(109,Table6[cnt])</f>
        <v>58304</v>
      </c>
    </row>
    <row r="941" spans="1:19">
      <c r="A941" s="2">
        <v>940</v>
      </c>
      <c r="B941" s="3">
        <v>40585</v>
      </c>
      <c r="C941" s="2">
        <v>1</v>
      </c>
      <c r="D941" s="2">
        <v>0</v>
      </c>
      <c r="E941" s="2">
        <v>2</v>
      </c>
      <c r="F941" s="2">
        <v>18</v>
      </c>
      <c r="G941" s="2" t="b">
        <v>0</v>
      </c>
      <c r="H941" s="2">
        <v>5</v>
      </c>
      <c r="I941" s="2">
        <v>1</v>
      </c>
      <c r="J941" s="2">
        <v>0.28000000000000003</v>
      </c>
      <c r="K941" s="2">
        <v>0.31819999999999998</v>
      </c>
      <c r="L941" s="2">
        <v>0.28000000000000003</v>
      </c>
      <c r="M941" s="2">
        <v>0</v>
      </c>
      <c r="N941" s="2">
        <v>9</v>
      </c>
      <c r="O941" s="2">
        <v>165</v>
      </c>
      <c r="P941" s="2">
        <v>174</v>
      </c>
      <c r="Q941" s="4">
        <f>SUBTOTAL(109,Table6[casual])</f>
        <v>4921</v>
      </c>
      <c r="R941" s="4">
        <f>SUBTOTAL(109,Table6[registered])</f>
        <v>53383</v>
      </c>
      <c r="S941" s="4">
        <f>SUBTOTAL(109,Table6[cnt])</f>
        <v>58304</v>
      </c>
    </row>
    <row r="942" spans="1:19">
      <c r="A942" s="2">
        <v>941</v>
      </c>
      <c r="B942" s="3">
        <v>40585</v>
      </c>
      <c r="C942" s="2">
        <v>1</v>
      </c>
      <c r="D942" s="2">
        <v>0</v>
      </c>
      <c r="E942" s="2">
        <v>2</v>
      </c>
      <c r="F942" s="2">
        <v>19</v>
      </c>
      <c r="G942" s="2" t="b">
        <v>0</v>
      </c>
      <c r="H942" s="2">
        <v>5</v>
      </c>
      <c r="I942" s="2">
        <v>1</v>
      </c>
      <c r="J942" s="2">
        <v>0.26</v>
      </c>
      <c r="K942" s="2">
        <v>0.30299999999999999</v>
      </c>
      <c r="L942" s="2">
        <v>0.33</v>
      </c>
      <c r="M942" s="2">
        <v>0</v>
      </c>
      <c r="N942" s="2">
        <v>7</v>
      </c>
      <c r="O942" s="2">
        <v>94</v>
      </c>
      <c r="P942" s="2">
        <v>101</v>
      </c>
      <c r="Q942" s="4">
        <f>SUBTOTAL(109,Table6[casual])</f>
        <v>4921</v>
      </c>
      <c r="R942" s="4">
        <f>SUBTOTAL(109,Table6[registered])</f>
        <v>53383</v>
      </c>
      <c r="S942" s="4">
        <f>SUBTOTAL(109,Table6[cnt])</f>
        <v>58304</v>
      </c>
    </row>
    <row r="943" spans="1:19">
      <c r="A943" s="2">
        <v>942</v>
      </c>
      <c r="B943" s="3">
        <v>40585</v>
      </c>
      <c r="C943" s="2">
        <v>1</v>
      </c>
      <c r="D943" s="2">
        <v>0</v>
      </c>
      <c r="E943" s="2">
        <v>2</v>
      </c>
      <c r="F943" s="2">
        <v>20</v>
      </c>
      <c r="G943" s="2" t="b">
        <v>0</v>
      </c>
      <c r="H943" s="2">
        <v>5</v>
      </c>
      <c r="I943" s="2">
        <v>1</v>
      </c>
      <c r="J943" s="2">
        <v>0.22</v>
      </c>
      <c r="K943" s="2">
        <v>0.2273</v>
      </c>
      <c r="L943" s="2">
        <v>0.55000000000000004</v>
      </c>
      <c r="M943" s="2">
        <v>0.1343</v>
      </c>
      <c r="N943" s="2">
        <v>2</v>
      </c>
      <c r="O943" s="2">
        <v>61</v>
      </c>
      <c r="P943" s="2">
        <v>63</v>
      </c>
      <c r="Q943" s="4">
        <f>SUBTOTAL(109,Table6[casual])</f>
        <v>4921</v>
      </c>
      <c r="R943" s="4">
        <f>SUBTOTAL(109,Table6[registered])</f>
        <v>53383</v>
      </c>
      <c r="S943" s="4">
        <f>SUBTOTAL(109,Table6[cnt])</f>
        <v>58304</v>
      </c>
    </row>
    <row r="944" spans="1:19">
      <c r="A944" s="2">
        <v>943</v>
      </c>
      <c r="B944" s="3">
        <v>40585</v>
      </c>
      <c r="C944" s="2">
        <v>1</v>
      </c>
      <c r="D944" s="2">
        <v>0</v>
      </c>
      <c r="E944" s="2">
        <v>2</v>
      </c>
      <c r="F944" s="2">
        <v>21</v>
      </c>
      <c r="G944" s="2" t="b">
        <v>0</v>
      </c>
      <c r="H944" s="2">
        <v>5</v>
      </c>
      <c r="I944" s="2">
        <v>1</v>
      </c>
      <c r="J944" s="2">
        <v>0.2</v>
      </c>
      <c r="K944" s="2">
        <v>0.21210000000000001</v>
      </c>
      <c r="L944" s="2">
        <v>0.59</v>
      </c>
      <c r="M944" s="2">
        <v>0.1343</v>
      </c>
      <c r="N944" s="2">
        <v>1</v>
      </c>
      <c r="O944" s="2">
        <v>46</v>
      </c>
      <c r="P944" s="2">
        <v>47</v>
      </c>
      <c r="Q944" s="4">
        <f>SUBTOTAL(109,Table6[casual])</f>
        <v>4921</v>
      </c>
      <c r="R944" s="4">
        <f>SUBTOTAL(109,Table6[registered])</f>
        <v>53383</v>
      </c>
      <c r="S944" s="4">
        <f>SUBTOTAL(109,Table6[cnt])</f>
        <v>58304</v>
      </c>
    </row>
    <row r="945" spans="1:19">
      <c r="A945" s="2">
        <v>944</v>
      </c>
      <c r="B945" s="3">
        <v>40585</v>
      </c>
      <c r="C945" s="2">
        <v>1</v>
      </c>
      <c r="D945" s="2">
        <v>0</v>
      </c>
      <c r="E945" s="2">
        <v>2</v>
      </c>
      <c r="F945" s="2">
        <v>22</v>
      </c>
      <c r="G945" s="2" t="b">
        <v>0</v>
      </c>
      <c r="H945" s="2">
        <v>5</v>
      </c>
      <c r="I945" s="2">
        <v>1</v>
      </c>
      <c r="J945" s="2">
        <v>0.2</v>
      </c>
      <c r="K945" s="2">
        <v>0.2273</v>
      </c>
      <c r="L945" s="2">
        <v>0.64</v>
      </c>
      <c r="M945" s="2">
        <v>8.9599999999999999E-2</v>
      </c>
      <c r="N945" s="2">
        <v>2</v>
      </c>
      <c r="O945" s="2">
        <v>41</v>
      </c>
      <c r="P945" s="2">
        <v>43</v>
      </c>
      <c r="Q945" s="4">
        <f>SUBTOTAL(109,Table6[casual])</f>
        <v>4921</v>
      </c>
      <c r="R945" s="4">
        <f>SUBTOTAL(109,Table6[registered])</f>
        <v>53383</v>
      </c>
      <c r="S945" s="4">
        <f>SUBTOTAL(109,Table6[cnt])</f>
        <v>58304</v>
      </c>
    </row>
    <row r="946" spans="1:19">
      <c r="A946" s="2">
        <v>945</v>
      </c>
      <c r="B946" s="3">
        <v>40585</v>
      </c>
      <c r="C946" s="2">
        <v>1</v>
      </c>
      <c r="D946" s="2">
        <v>0</v>
      </c>
      <c r="E946" s="2">
        <v>2</v>
      </c>
      <c r="F946" s="2">
        <v>23</v>
      </c>
      <c r="G946" s="2" t="b">
        <v>0</v>
      </c>
      <c r="H946" s="2">
        <v>5</v>
      </c>
      <c r="I946" s="2">
        <v>1</v>
      </c>
      <c r="J946" s="2">
        <v>0.18</v>
      </c>
      <c r="K946" s="2">
        <v>0.2424</v>
      </c>
      <c r="L946" s="2">
        <v>0.69</v>
      </c>
      <c r="M946" s="2">
        <v>0</v>
      </c>
      <c r="N946" s="2">
        <v>5</v>
      </c>
      <c r="O946" s="2">
        <v>48</v>
      </c>
      <c r="P946" s="2">
        <v>53</v>
      </c>
      <c r="Q946" s="4">
        <f>SUBTOTAL(109,Table6[casual])</f>
        <v>4921</v>
      </c>
      <c r="R946" s="4">
        <f>SUBTOTAL(109,Table6[registered])</f>
        <v>53383</v>
      </c>
      <c r="S946" s="4">
        <f>SUBTOTAL(109,Table6[cnt])</f>
        <v>58304</v>
      </c>
    </row>
    <row r="947" spans="1:19">
      <c r="A947" s="2">
        <v>946</v>
      </c>
      <c r="B947" s="3">
        <v>40586</v>
      </c>
      <c r="C947" s="2">
        <v>1</v>
      </c>
      <c r="D947" s="2">
        <v>0</v>
      </c>
      <c r="E947" s="2">
        <v>2</v>
      </c>
      <c r="F947" s="2">
        <v>0</v>
      </c>
      <c r="G947" s="2" t="b">
        <v>0</v>
      </c>
      <c r="H947" s="2">
        <v>6</v>
      </c>
      <c r="I947" s="2">
        <v>1</v>
      </c>
      <c r="J947" s="2">
        <v>0.16</v>
      </c>
      <c r="K947" s="2">
        <v>0.19700000000000001</v>
      </c>
      <c r="L947" s="2">
        <v>0.69</v>
      </c>
      <c r="M947" s="2">
        <v>8.9599999999999999E-2</v>
      </c>
      <c r="N947" s="2">
        <v>3</v>
      </c>
      <c r="O947" s="2">
        <v>27</v>
      </c>
      <c r="P947" s="2">
        <v>30</v>
      </c>
      <c r="Q947" s="4">
        <f>SUBTOTAL(109,Table6[casual])</f>
        <v>4921</v>
      </c>
      <c r="R947" s="4">
        <f>SUBTOTAL(109,Table6[registered])</f>
        <v>53383</v>
      </c>
      <c r="S947" s="4">
        <f>SUBTOTAL(109,Table6[cnt])</f>
        <v>58304</v>
      </c>
    </row>
    <row r="948" spans="1:19">
      <c r="A948" s="2">
        <v>947</v>
      </c>
      <c r="B948" s="3">
        <v>40586</v>
      </c>
      <c r="C948" s="2">
        <v>1</v>
      </c>
      <c r="D948" s="2">
        <v>0</v>
      </c>
      <c r="E948" s="2">
        <v>2</v>
      </c>
      <c r="F948" s="2">
        <v>1</v>
      </c>
      <c r="G948" s="2" t="b">
        <v>0</v>
      </c>
      <c r="H948" s="2">
        <v>6</v>
      </c>
      <c r="I948" s="2">
        <v>1</v>
      </c>
      <c r="J948" s="2">
        <v>0.14000000000000001</v>
      </c>
      <c r="K948" s="2">
        <v>0.21210000000000001</v>
      </c>
      <c r="L948" s="2">
        <v>0.86</v>
      </c>
      <c r="M948" s="2">
        <v>0</v>
      </c>
      <c r="N948" s="2">
        <v>2</v>
      </c>
      <c r="O948" s="2">
        <v>22</v>
      </c>
      <c r="P948" s="2">
        <v>24</v>
      </c>
      <c r="Q948" s="4">
        <f>SUBTOTAL(109,Table6[casual])</f>
        <v>4921</v>
      </c>
      <c r="R948" s="4">
        <f>SUBTOTAL(109,Table6[registered])</f>
        <v>53383</v>
      </c>
      <c r="S948" s="4">
        <f>SUBTOTAL(109,Table6[cnt])</f>
        <v>58304</v>
      </c>
    </row>
    <row r="949" spans="1:19">
      <c r="A949" s="2">
        <v>948</v>
      </c>
      <c r="B949" s="3">
        <v>40586</v>
      </c>
      <c r="C949" s="2">
        <v>1</v>
      </c>
      <c r="D949" s="2">
        <v>0</v>
      </c>
      <c r="E949" s="2">
        <v>2</v>
      </c>
      <c r="F949" s="2">
        <v>2</v>
      </c>
      <c r="G949" s="2" t="b">
        <v>0</v>
      </c>
      <c r="H949" s="2">
        <v>6</v>
      </c>
      <c r="I949" s="2">
        <v>1</v>
      </c>
      <c r="J949" s="2">
        <v>0.14000000000000001</v>
      </c>
      <c r="K949" s="2">
        <v>0.21210000000000001</v>
      </c>
      <c r="L949" s="2">
        <v>0.8</v>
      </c>
      <c r="M949" s="2">
        <v>0</v>
      </c>
      <c r="N949" s="2">
        <v>2</v>
      </c>
      <c r="O949" s="2">
        <v>13</v>
      </c>
      <c r="P949" s="2">
        <v>15</v>
      </c>
      <c r="Q949" s="4">
        <f>SUBTOTAL(109,Table6[casual])</f>
        <v>4921</v>
      </c>
      <c r="R949" s="4">
        <f>SUBTOTAL(109,Table6[registered])</f>
        <v>53383</v>
      </c>
      <c r="S949" s="4">
        <f>SUBTOTAL(109,Table6[cnt])</f>
        <v>58304</v>
      </c>
    </row>
    <row r="950" spans="1:19">
      <c r="A950" s="2">
        <v>949</v>
      </c>
      <c r="B950" s="3">
        <v>40586</v>
      </c>
      <c r="C950" s="2">
        <v>1</v>
      </c>
      <c r="D950" s="2">
        <v>0</v>
      </c>
      <c r="E950" s="2">
        <v>2</v>
      </c>
      <c r="F950" s="2">
        <v>3</v>
      </c>
      <c r="G950" s="2" t="b">
        <v>0</v>
      </c>
      <c r="H950" s="2">
        <v>6</v>
      </c>
      <c r="I950" s="2">
        <v>1</v>
      </c>
      <c r="J950" s="2">
        <v>0.12</v>
      </c>
      <c r="K950" s="2">
        <v>0.19700000000000001</v>
      </c>
      <c r="L950" s="2">
        <v>0.8</v>
      </c>
      <c r="M950" s="2">
        <v>0</v>
      </c>
      <c r="N950" s="2">
        <v>3</v>
      </c>
      <c r="O950" s="2">
        <v>7</v>
      </c>
      <c r="P950" s="2">
        <v>10</v>
      </c>
      <c r="Q950" s="4">
        <f>SUBTOTAL(109,Table6[casual])</f>
        <v>4921</v>
      </c>
      <c r="R950" s="4">
        <f>SUBTOTAL(109,Table6[registered])</f>
        <v>53383</v>
      </c>
      <c r="S950" s="4">
        <f>SUBTOTAL(109,Table6[cnt])</f>
        <v>58304</v>
      </c>
    </row>
    <row r="951" spans="1:19">
      <c r="A951" s="2">
        <v>950</v>
      </c>
      <c r="B951" s="3">
        <v>40586</v>
      </c>
      <c r="C951" s="2">
        <v>1</v>
      </c>
      <c r="D951" s="2">
        <v>0</v>
      </c>
      <c r="E951" s="2">
        <v>2</v>
      </c>
      <c r="F951" s="2">
        <v>4</v>
      </c>
      <c r="G951" s="2" t="b">
        <v>0</v>
      </c>
      <c r="H951" s="2">
        <v>6</v>
      </c>
      <c r="I951" s="2">
        <v>1</v>
      </c>
      <c r="J951" s="2">
        <v>0.12</v>
      </c>
      <c r="K951" s="2">
        <v>0.16669999999999999</v>
      </c>
      <c r="L951" s="2">
        <v>0.74</v>
      </c>
      <c r="M951" s="2">
        <v>8.9599999999999999E-2</v>
      </c>
      <c r="N951" s="2">
        <v>0</v>
      </c>
      <c r="O951" s="2">
        <v>4</v>
      </c>
      <c r="P951" s="2">
        <v>4</v>
      </c>
      <c r="Q951" s="4">
        <f>SUBTOTAL(109,Table6[casual])</f>
        <v>4921</v>
      </c>
      <c r="R951" s="4">
        <f>SUBTOTAL(109,Table6[registered])</f>
        <v>53383</v>
      </c>
      <c r="S951" s="4">
        <f>SUBTOTAL(109,Table6[cnt])</f>
        <v>58304</v>
      </c>
    </row>
    <row r="952" spans="1:19">
      <c r="A952" s="2">
        <v>951</v>
      </c>
      <c r="B952" s="3">
        <v>40586</v>
      </c>
      <c r="C952" s="2">
        <v>1</v>
      </c>
      <c r="D952" s="2">
        <v>0</v>
      </c>
      <c r="E952" s="2">
        <v>2</v>
      </c>
      <c r="F952" s="2">
        <v>5</v>
      </c>
      <c r="G952" s="2" t="b">
        <v>0</v>
      </c>
      <c r="H952" s="2">
        <v>6</v>
      </c>
      <c r="I952" s="2">
        <v>1</v>
      </c>
      <c r="J952" s="2">
        <v>0.12</v>
      </c>
      <c r="K952" s="2">
        <v>0.16669999999999999</v>
      </c>
      <c r="L952" s="2">
        <v>0.74</v>
      </c>
      <c r="M952" s="2">
        <v>8.9599999999999999E-2</v>
      </c>
      <c r="N952" s="2">
        <v>0</v>
      </c>
      <c r="O952" s="2">
        <v>1</v>
      </c>
      <c r="P952" s="2">
        <v>1</v>
      </c>
      <c r="Q952" s="4">
        <f>SUBTOTAL(109,Table6[casual])</f>
        <v>4921</v>
      </c>
      <c r="R952" s="4">
        <f>SUBTOTAL(109,Table6[registered])</f>
        <v>53383</v>
      </c>
      <c r="S952" s="4">
        <f>SUBTOTAL(109,Table6[cnt])</f>
        <v>58304</v>
      </c>
    </row>
    <row r="953" spans="1:19">
      <c r="A953" s="2">
        <v>952</v>
      </c>
      <c r="B953" s="3">
        <v>40586</v>
      </c>
      <c r="C953" s="2">
        <v>1</v>
      </c>
      <c r="D953" s="2">
        <v>0</v>
      </c>
      <c r="E953" s="2">
        <v>2</v>
      </c>
      <c r="F953" s="2">
        <v>6</v>
      </c>
      <c r="G953" s="2" t="b">
        <v>0</v>
      </c>
      <c r="H953" s="2">
        <v>6</v>
      </c>
      <c r="I953" s="2">
        <v>1</v>
      </c>
      <c r="J953" s="2">
        <v>0.12</v>
      </c>
      <c r="K953" s="2">
        <v>0.13639999999999999</v>
      </c>
      <c r="L953" s="2">
        <v>0.93</v>
      </c>
      <c r="M953" s="2">
        <v>0.19400000000000001</v>
      </c>
      <c r="N953" s="2">
        <v>1</v>
      </c>
      <c r="O953" s="2">
        <v>1</v>
      </c>
      <c r="P953" s="2">
        <v>2</v>
      </c>
      <c r="Q953" s="4">
        <f>SUBTOTAL(109,Table6[casual])</f>
        <v>4921</v>
      </c>
      <c r="R953" s="4">
        <f>SUBTOTAL(109,Table6[registered])</f>
        <v>53383</v>
      </c>
      <c r="S953" s="4">
        <f>SUBTOTAL(109,Table6[cnt])</f>
        <v>58304</v>
      </c>
    </row>
    <row r="954" spans="1:19">
      <c r="A954" s="2">
        <v>953</v>
      </c>
      <c r="B954" s="3">
        <v>40586</v>
      </c>
      <c r="C954" s="2">
        <v>1</v>
      </c>
      <c r="D954" s="2">
        <v>0</v>
      </c>
      <c r="E954" s="2">
        <v>2</v>
      </c>
      <c r="F954" s="2">
        <v>7</v>
      </c>
      <c r="G954" s="2" t="b">
        <v>0</v>
      </c>
      <c r="H954" s="2">
        <v>6</v>
      </c>
      <c r="I954" s="2">
        <v>1</v>
      </c>
      <c r="J954" s="2">
        <v>0.12</v>
      </c>
      <c r="K954" s="2">
        <v>0.1515</v>
      </c>
      <c r="L954" s="2">
        <v>0.8</v>
      </c>
      <c r="M954" s="2">
        <v>0.1045</v>
      </c>
      <c r="N954" s="2">
        <v>2</v>
      </c>
      <c r="O954" s="2">
        <v>9</v>
      </c>
      <c r="P954" s="2">
        <v>11</v>
      </c>
      <c r="Q954" s="4">
        <f>SUBTOTAL(109,Table6[casual])</f>
        <v>4921</v>
      </c>
      <c r="R954" s="4">
        <f>SUBTOTAL(109,Table6[registered])</f>
        <v>53383</v>
      </c>
      <c r="S954" s="4">
        <f>SUBTOTAL(109,Table6[cnt])</f>
        <v>58304</v>
      </c>
    </row>
    <row r="955" spans="1:19">
      <c r="A955" s="2">
        <v>954</v>
      </c>
      <c r="B955" s="3">
        <v>40586</v>
      </c>
      <c r="C955" s="2">
        <v>1</v>
      </c>
      <c r="D955" s="2">
        <v>0</v>
      </c>
      <c r="E955" s="2">
        <v>2</v>
      </c>
      <c r="F955" s="2">
        <v>8</v>
      </c>
      <c r="G955" s="2" t="b">
        <v>0</v>
      </c>
      <c r="H955" s="2">
        <v>6</v>
      </c>
      <c r="I955" s="2">
        <v>1</v>
      </c>
      <c r="J955" s="2">
        <v>0.14000000000000001</v>
      </c>
      <c r="K955" s="2">
        <v>0.1515</v>
      </c>
      <c r="L955" s="2">
        <v>0.86</v>
      </c>
      <c r="M955" s="2">
        <v>0.1343</v>
      </c>
      <c r="N955" s="2">
        <v>2</v>
      </c>
      <c r="O955" s="2">
        <v>28</v>
      </c>
      <c r="P955" s="2">
        <v>30</v>
      </c>
      <c r="Q955" s="4">
        <f>SUBTOTAL(109,Table6[casual])</f>
        <v>4921</v>
      </c>
      <c r="R955" s="4">
        <f>SUBTOTAL(109,Table6[registered])</f>
        <v>53383</v>
      </c>
      <c r="S955" s="4">
        <f>SUBTOTAL(109,Table6[cnt])</f>
        <v>58304</v>
      </c>
    </row>
    <row r="956" spans="1:19">
      <c r="A956" s="2">
        <v>955</v>
      </c>
      <c r="B956" s="3">
        <v>40586</v>
      </c>
      <c r="C956" s="2">
        <v>1</v>
      </c>
      <c r="D956" s="2">
        <v>0</v>
      </c>
      <c r="E956" s="2">
        <v>2</v>
      </c>
      <c r="F956" s="2">
        <v>9</v>
      </c>
      <c r="G956" s="2" t="b">
        <v>0</v>
      </c>
      <c r="H956" s="2">
        <v>6</v>
      </c>
      <c r="I956" s="2">
        <v>1</v>
      </c>
      <c r="J956" s="2">
        <v>0.16</v>
      </c>
      <c r="K956" s="2">
        <v>0.18179999999999999</v>
      </c>
      <c r="L956" s="2">
        <v>0.64</v>
      </c>
      <c r="M956" s="2">
        <v>0.1343</v>
      </c>
      <c r="N956" s="2">
        <v>5</v>
      </c>
      <c r="O956" s="2">
        <v>38</v>
      </c>
      <c r="P956" s="2">
        <v>43</v>
      </c>
      <c r="Q956" s="4">
        <f>SUBTOTAL(109,Table6[casual])</f>
        <v>4921</v>
      </c>
      <c r="R956" s="4">
        <f>SUBTOTAL(109,Table6[registered])</f>
        <v>53383</v>
      </c>
      <c r="S956" s="4">
        <f>SUBTOTAL(109,Table6[cnt])</f>
        <v>58304</v>
      </c>
    </row>
    <row r="957" spans="1:19">
      <c r="A957" s="2">
        <v>956</v>
      </c>
      <c r="B957" s="3">
        <v>40586</v>
      </c>
      <c r="C957" s="2">
        <v>1</v>
      </c>
      <c r="D957" s="2">
        <v>0</v>
      </c>
      <c r="E957" s="2">
        <v>2</v>
      </c>
      <c r="F957" s="2">
        <v>10</v>
      </c>
      <c r="G957" s="2" t="b">
        <v>0</v>
      </c>
      <c r="H957" s="2">
        <v>6</v>
      </c>
      <c r="I957" s="2">
        <v>1</v>
      </c>
      <c r="J957" s="2">
        <v>0.22</v>
      </c>
      <c r="K957" s="2">
        <v>0.21210000000000001</v>
      </c>
      <c r="L957" s="2">
        <v>0.41</v>
      </c>
      <c r="M957" s="2">
        <v>0.25369999999999998</v>
      </c>
      <c r="N957" s="2">
        <v>13</v>
      </c>
      <c r="O957" s="2">
        <v>71</v>
      </c>
      <c r="P957" s="2">
        <v>84</v>
      </c>
      <c r="Q957" s="4">
        <f>SUBTOTAL(109,Table6[casual])</f>
        <v>4921</v>
      </c>
      <c r="R957" s="4">
        <f>SUBTOTAL(109,Table6[registered])</f>
        <v>53383</v>
      </c>
      <c r="S957" s="4">
        <f>SUBTOTAL(109,Table6[cnt])</f>
        <v>58304</v>
      </c>
    </row>
    <row r="958" spans="1:19">
      <c r="A958" s="2">
        <v>957</v>
      </c>
      <c r="B958" s="3">
        <v>40586</v>
      </c>
      <c r="C958" s="2">
        <v>1</v>
      </c>
      <c r="D958" s="2">
        <v>0</v>
      </c>
      <c r="E958" s="2">
        <v>2</v>
      </c>
      <c r="F958" s="2">
        <v>11</v>
      </c>
      <c r="G958" s="2" t="b">
        <v>0</v>
      </c>
      <c r="H958" s="2">
        <v>6</v>
      </c>
      <c r="I958" s="2">
        <v>1</v>
      </c>
      <c r="J958" s="2">
        <v>0.3</v>
      </c>
      <c r="K958" s="2">
        <v>0.2727</v>
      </c>
      <c r="L958" s="2">
        <v>0.28000000000000003</v>
      </c>
      <c r="M958" s="2">
        <v>0.32840000000000003</v>
      </c>
      <c r="N958" s="2">
        <v>30</v>
      </c>
      <c r="O958" s="2">
        <v>84</v>
      </c>
      <c r="P958" s="2">
        <v>114</v>
      </c>
      <c r="Q958" s="4">
        <f>SUBTOTAL(109,Table6[casual])</f>
        <v>4921</v>
      </c>
      <c r="R958" s="4">
        <f>SUBTOTAL(109,Table6[registered])</f>
        <v>53383</v>
      </c>
      <c r="S958" s="4">
        <f>SUBTOTAL(109,Table6[cnt])</f>
        <v>58304</v>
      </c>
    </row>
    <row r="959" spans="1:19">
      <c r="A959" s="2">
        <v>958</v>
      </c>
      <c r="B959" s="3">
        <v>40586</v>
      </c>
      <c r="C959" s="2">
        <v>1</v>
      </c>
      <c r="D959" s="2">
        <v>0</v>
      </c>
      <c r="E959" s="2">
        <v>2</v>
      </c>
      <c r="F959" s="2">
        <v>12</v>
      </c>
      <c r="G959" s="2" t="b">
        <v>0</v>
      </c>
      <c r="H959" s="2">
        <v>6</v>
      </c>
      <c r="I959" s="2">
        <v>1</v>
      </c>
      <c r="J959" s="2">
        <v>0.3</v>
      </c>
      <c r="K959" s="2">
        <v>0.2727</v>
      </c>
      <c r="L959" s="2">
        <v>0.39</v>
      </c>
      <c r="M959" s="2">
        <v>0.4627</v>
      </c>
      <c r="N959" s="2">
        <v>27</v>
      </c>
      <c r="O959" s="2">
        <v>93</v>
      </c>
      <c r="P959" s="2">
        <v>120</v>
      </c>
      <c r="Q959" s="4">
        <f>SUBTOTAL(109,Table6[casual])</f>
        <v>4921</v>
      </c>
      <c r="R959" s="4">
        <f>SUBTOTAL(109,Table6[registered])</f>
        <v>53383</v>
      </c>
      <c r="S959" s="4">
        <f>SUBTOTAL(109,Table6[cnt])</f>
        <v>58304</v>
      </c>
    </row>
    <row r="960" spans="1:19">
      <c r="A960" s="2">
        <v>959</v>
      </c>
      <c r="B960" s="3">
        <v>40586</v>
      </c>
      <c r="C960" s="2">
        <v>1</v>
      </c>
      <c r="D960" s="2">
        <v>0</v>
      </c>
      <c r="E960" s="2">
        <v>2</v>
      </c>
      <c r="F960" s="2">
        <v>13</v>
      </c>
      <c r="G960" s="2" t="b">
        <v>0</v>
      </c>
      <c r="H960" s="2">
        <v>6</v>
      </c>
      <c r="I960" s="2">
        <v>1</v>
      </c>
      <c r="J960" s="2">
        <v>0.3</v>
      </c>
      <c r="K960" s="2">
        <v>0.2727</v>
      </c>
      <c r="L960" s="2">
        <v>0.39</v>
      </c>
      <c r="M960" s="2">
        <v>0.41789999999999999</v>
      </c>
      <c r="N960" s="2">
        <v>32</v>
      </c>
      <c r="O960" s="2">
        <v>103</v>
      </c>
      <c r="P960" s="2">
        <v>135</v>
      </c>
      <c r="Q960" s="4">
        <f>SUBTOTAL(109,Table6[casual])</f>
        <v>4921</v>
      </c>
      <c r="R960" s="4">
        <f>SUBTOTAL(109,Table6[registered])</f>
        <v>53383</v>
      </c>
      <c r="S960" s="4">
        <f>SUBTOTAL(109,Table6[cnt])</f>
        <v>58304</v>
      </c>
    </row>
    <row r="961" spans="1:19">
      <c r="A961" s="2">
        <v>960</v>
      </c>
      <c r="B961" s="3">
        <v>40586</v>
      </c>
      <c r="C961" s="2">
        <v>1</v>
      </c>
      <c r="D961" s="2">
        <v>0</v>
      </c>
      <c r="E961" s="2">
        <v>2</v>
      </c>
      <c r="F961" s="2">
        <v>14</v>
      </c>
      <c r="G961" s="2" t="b">
        <v>0</v>
      </c>
      <c r="H961" s="2">
        <v>6</v>
      </c>
      <c r="I961" s="2">
        <v>1</v>
      </c>
      <c r="J961" s="2">
        <v>0.34</v>
      </c>
      <c r="K961" s="2">
        <v>0.31819999999999998</v>
      </c>
      <c r="L961" s="2">
        <v>0.31</v>
      </c>
      <c r="M961" s="2">
        <v>0.28360000000000002</v>
      </c>
      <c r="N961" s="2">
        <v>30</v>
      </c>
      <c r="O961" s="2">
        <v>90</v>
      </c>
      <c r="P961" s="2">
        <v>120</v>
      </c>
      <c r="Q961" s="4">
        <f>SUBTOTAL(109,Table6[casual])</f>
        <v>4921</v>
      </c>
      <c r="R961" s="4">
        <f>SUBTOTAL(109,Table6[registered])</f>
        <v>53383</v>
      </c>
      <c r="S961" s="4">
        <f>SUBTOTAL(109,Table6[cnt])</f>
        <v>58304</v>
      </c>
    </row>
    <row r="962" spans="1:19">
      <c r="A962" s="2">
        <v>961</v>
      </c>
      <c r="B962" s="3">
        <v>40586</v>
      </c>
      <c r="C962" s="2">
        <v>1</v>
      </c>
      <c r="D962" s="2">
        <v>0</v>
      </c>
      <c r="E962" s="2">
        <v>2</v>
      </c>
      <c r="F962" s="2">
        <v>15</v>
      </c>
      <c r="G962" s="2" t="b">
        <v>0</v>
      </c>
      <c r="H962" s="2">
        <v>6</v>
      </c>
      <c r="I962" s="2">
        <v>1</v>
      </c>
      <c r="J962" s="2">
        <v>0.34</v>
      </c>
      <c r="K962" s="2">
        <v>0.30299999999999999</v>
      </c>
      <c r="L962" s="2">
        <v>0.28999999999999998</v>
      </c>
      <c r="M962" s="2">
        <v>0.41789999999999999</v>
      </c>
      <c r="N962" s="2">
        <v>47</v>
      </c>
      <c r="O962" s="2">
        <v>127</v>
      </c>
      <c r="P962" s="2">
        <v>174</v>
      </c>
      <c r="Q962" s="4">
        <f>SUBTOTAL(109,Table6[casual])</f>
        <v>4921</v>
      </c>
      <c r="R962" s="4">
        <f>SUBTOTAL(109,Table6[registered])</f>
        <v>53383</v>
      </c>
      <c r="S962" s="4">
        <f>SUBTOTAL(109,Table6[cnt])</f>
        <v>58304</v>
      </c>
    </row>
    <row r="963" spans="1:19">
      <c r="A963" s="2">
        <v>962</v>
      </c>
      <c r="B963" s="3">
        <v>40586</v>
      </c>
      <c r="C963" s="2">
        <v>1</v>
      </c>
      <c r="D963" s="2">
        <v>0</v>
      </c>
      <c r="E963" s="2">
        <v>2</v>
      </c>
      <c r="F963" s="2">
        <v>16</v>
      </c>
      <c r="G963" s="2" t="b">
        <v>0</v>
      </c>
      <c r="H963" s="2">
        <v>6</v>
      </c>
      <c r="I963" s="2">
        <v>1</v>
      </c>
      <c r="J963" s="2">
        <v>0.34</v>
      </c>
      <c r="K963" s="2">
        <v>0.30299999999999999</v>
      </c>
      <c r="L963" s="2">
        <v>0.28999999999999998</v>
      </c>
      <c r="M963" s="2">
        <v>0.41789999999999999</v>
      </c>
      <c r="N963" s="2">
        <v>42</v>
      </c>
      <c r="O963" s="2">
        <v>103</v>
      </c>
      <c r="P963" s="2">
        <v>145</v>
      </c>
      <c r="Q963" s="4">
        <f>SUBTOTAL(109,Table6[casual])</f>
        <v>4921</v>
      </c>
      <c r="R963" s="4">
        <f>SUBTOTAL(109,Table6[registered])</f>
        <v>53383</v>
      </c>
      <c r="S963" s="4">
        <f>SUBTOTAL(109,Table6[cnt])</f>
        <v>58304</v>
      </c>
    </row>
    <row r="964" spans="1:19">
      <c r="A964" s="2">
        <v>963</v>
      </c>
      <c r="B964" s="3">
        <v>40586</v>
      </c>
      <c r="C964" s="2">
        <v>1</v>
      </c>
      <c r="D964" s="2">
        <v>0</v>
      </c>
      <c r="E964" s="2">
        <v>2</v>
      </c>
      <c r="F964" s="2">
        <v>17</v>
      </c>
      <c r="G964" s="2" t="b">
        <v>0</v>
      </c>
      <c r="H964" s="2">
        <v>6</v>
      </c>
      <c r="I964" s="2">
        <v>1</v>
      </c>
      <c r="J964" s="2">
        <v>0.32</v>
      </c>
      <c r="K964" s="2">
        <v>0.28789999999999999</v>
      </c>
      <c r="L964" s="2">
        <v>0.31</v>
      </c>
      <c r="M964" s="2">
        <v>0.52239999999999998</v>
      </c>
      <c r="N964" s="2">
        <v>24</v>
      </c>
      <c r="O964" s="2">
        <v>113</v>
      </c>
      <c r="P964" s="2">
        <v>137</v>
      </c>
      <c r="Q964" s="4">
        <f>SUBTOTAL(109,Table6[casual])</f>
        <v>4921</v>
      </c>
      <c r="R964" s="4">
        <f>SUBTOTAL(109,Table6[registered])</f>
        <v>53383</v>
      </c>
      <c r="S964" s="4">
        <f>SUBTOTAL(109,Table6[cnt])</f>
        <v>58304</v>
      </c>
    </row>
    <row r="965" spans="1:19">
      <c r="A965" s="2">
        <v>964</v>
      </c>
      <c r="B965" s="3">
        <v>40586</v>
      </c>
      <c r="C965" s="2">
        <v>1</v>
      </c>
      <c r="D965" s="2">
        <v>0</v>
      </c>
      <c r="E965" s="2">
        <v>2</v>
      </c>
      <c r="F965" s="2">
        <v>18</v>
      </c>
      <c r="G965" s="2" t="b">
        <v>0</v>
      </c>
      <c r="H965" s="2">
        <v>6</v>
      </c>
      <c r="I965" s="2">
        <v>1</v>
      </c>
      <c r="J965" s="2">
        <v>0.28000000000000003</v>
      </c>
      <c r="K965" s="2">
        <v>0.2576</v>
      </c>
      <c r="L965" s="2">
        <v>0.38</v>
      </c>
      <c r="M965" s="2">
        <v>0.32840000000000003</v>
      </c>
      <c r="N965" s="2">
        <v>4</v>
      </c>
      <c r="O965" s="2">
        <v>60</v>
      </c>
      <c r="P965" s="2">
        <v>64</v>
      </c>
      <c r="Q965" s="4">
        <f>SUBTOTAL(109,Table6[casual])</f>
        <v>4921</v>
      </c>
      <c r="R965" s="4">
        <f>SUBTOTAL(109,Table6[registered])</f>
        <v>53383</v>
      </c>
      <c r="S965" s="4">
        <f>SUBTOTAL(109,Table6[cnt])</f>
        <v>58304</v>
      </c>
    </row>
    <row r="966" spans="1:19">
      <c r="A966" s="2">
        <v>965</v>
      </c>
      <c r="B966" s="3">
        <v>40586</v>
      </c>
      <c r="C966" s="2">
        <v>1</v>
      </c>
      <c r="D966" s="2">
        <v>0</v>
      </c>
      <c r="E966" s="2">
        <v>2</v>
      </c>
      <c r="F966" s="2">
        <v>19</v>
      </c>
      <c r="G966" s="2" t="b">
        <v>0</v>
      </c>
      <c r="H966" s="2">
        <v>6</v>
      </c>
      <c r="I966" s="2">
        <v>1</v>
      </c>
      <c r="J966" s="2">
        <v>0.28000000000000003</v>
      </c>
      <c r="K966" s="2">
        <v>0.2727</v>
      </c>
      <c r="L966" s="2">
        <v>0.38</v>
      </c>
      <c r="M966" s="2">
        <v>0.16420000000000001</v>
      </c>
      <c r="N966" s="2">
        <v>2</v>
      </c>
      <c r="O966" s="2">
        <v>39</v>
      </c>
      <c r="P966" s="2">
        <v>41</v>
      </c>
      <c r="Q966" s="4">
        <f>SUBTOTAL(109,Table6[casual])</f>
        <v>4921</v>
      </c>
      <c r="R966" s="4">
        <f>SUBTOTAL(109,Table6[registered])</f>
        <v>53383</v>
      </c>
      <c r="S966" s="4">
        <f>SUBTOTAL(109,Table6[cnt])</f>
        <v>58304</v>
      </c>
    </row>
    <row r="967" spans="1:19">
      <c r="A967" s="2">
        <v>966</v>
      </c>
      <c r="B967" s="3">
        <v>40586</v>
      </c>
      <c r="C967" s="2">
        <v>1</v>
      </c>
      <c r="D967" s="2">
        <v>0</v>
      </c>
      <c r="E967" s="2">
        <v>2</v>
      </c>
      <c r="F967" s="2">
        <v>20</v>
      </c>
      <c r="G967" s="2" t="b">
        <v>0</v>
      </c>
      <c r="H967" s="2">
        <v>6</v>
      </c>
      <c r="I967" s="2">
        <v>1</v>
      </c>
      <c r="J967" s="2">
        <v>0.26</v>
      </c>
      <c r="K967" s="2">
        <v>0.2576</v>
      </c>
      <c r="L967" s="2">
        <v>0.41</v>
      </c>
      <c r="M967" s="2">
        <v>0.22389999999999999</v>
      </c>
      <c r="N967" s="2">
        <v>1</v>
      </c>
      <c r="O967" s="2">
        <v>39</v>
      </c>
      <c r="P967" s="2">
        <v>40</v>
      </c>
      <c r="Q967" s="4">
        <f>SUBTOTAL(109,Table6[casual])</f>
        <v>4921</v>
      </c>
      <c r="R967" s="4">
        <f>SUBTOTAL(109,Table6[registered])</f>
        <v>53383</v>
      </c>
      <c r="S967" s="4">
        <f>SUBTOTAL(109,Table6[cnt])</f>
        <v>58304</v>
      </c>
    </row>
    <row r="968" spans="1:19">
      <c r="A968" s="2">
        <v>967</v>
      </c>
      <c r="B968" s="3">
        <v>40586</v>
      </c>
      <c r="C968" s="2">
        <v>1</v>
      </c>
      <c r="D968" s="2">
        <v>0</v>
      </c>
      <c r="E968" s="2">
        <v>2</v>
      </c>
      <c r="F968" s="2">
        <v>21</v>
      </c>
      <c r="G968" s="2" t="b">
        <v>0</v>
      </c>
      <c r="H968" s="2">
        <v>6</v>
      </c>
      <c r="I968" s="2">
        <v>1</v>
      </c>
      <c r="J968" s="2">
        <v>0.26</v>
      </c>
      <c r="K968" s="2">
        <v>0.30299999999999999</v>
      </c>
      <c r="L968" s="2">
        <v>0.41</v>
      </c>
      <c r="M968" s="2">
        <v>0</v>
      </c>
      <c r="N968" s="2">
        <v>9</v>
      </c>
      <c r="O968" s="2">
        <v>42</v>
      </c>
      <c r="P968" s="2">
        <v>51</v>
      </c>
      <c r="Q968" s="4">
        <f>SUBTOTAL(109,Table6[casual])</f>
        <v>4921</v>
      </c>
      <c r="R968" s="4">
        <f>SUBTOTAL(109,Table6[registered])</f>
        <v>53383</v>
      </c>
      <c r="S968" s="4">
        <f>SUBTOTAL(109,Table6[cnt])</f>
        <v>58304</v>
      </c>
    </row>
    <row r="969" spans="1:19">
      <c r="A969" s="2">
        <v>968</v>
      </c>
      <c r="B969" s="3">
        <v>40586</v>
      </c>
      <c r="C969" s="2">
        <v>1</v>
      </c>
      <c r="D969" s="2">
        <v>0</v>
      </c>
      <c r="E969" s="2">
        <v>2</v>
      </c>
      <c r="F969" s="2">
        <v>22</v>
      </c>
      <c r="G969" s="2" t="b">
        <v>0</v>
      </c>
      <c r="H969" s="2">
        <v>6</v>
      </c>
      <c r="I969" s="2">
        <v>1</v>
      </c>
      <c r="J969" s="2">
        <v>0.24</v>
      </c>
      <c r="K969" s="2">
        <v>0.2576</v>
      </c>
      <c r="L969" s="2">
        <v>0.44</v>
      </c>
      <c r="M969" s="2">
        <v>8.9599999999999999E-2</v>
      </c>
      <c r="N969" s="2">
        <v>6</v>
      </c>
      <c r="O969" s="2">
        <v>39</v>
      </c>
      <c r="P969" s="2">
        <v>45</v>
      </c>
      <c r="Q969" s="4">
        <f>SUBTOTAL(109,Table6[casual])</f>
        <v>4921</v>
      </c>
      <c r="R969" s="4">
        <f>SUBTOTAL(109,Table6[registered])</f>
        <v>53383</v>
      </c>
      <c r="S969" s="4">
        <f>SUBTOTAL(109,Table6[cnt])</f>
        <v>58304</v>
      </c>
    </row>
    <row r="970" spans="1:19">
      <c r="A970" s="2">
        <v>969</v>
      </c>
      <c r="B970" s="3">
        <v>40586</v>
      </c>
      <c r="C970" s="2">
        <v>1</v>
      </c>
      <c r="D970" s="2">
        <v>0</v>
      </c>
      <c r="E970" s="2">
        <v>2</v>
      </c>
      <c r="F970" s="2">
        <v>23</v>
      </c>
      <c r="G970" s="2" t="b">
        <v>0</v>
      </c>
      <c r="H970" s="2">
        <v>6</v>
      </c>
      <c r="I970" s="2">
        <v>1</v>
      </c>
      <c r="J970" s="2">
        <v>0.22</v>
      </c>
      <c r="K970" s="2">
        <v>0.2273</v>
      </c>
      <c r="L970" s="2">
        <v>0.51</v>
      </c>
      <c r="M970" s="2">
        <v>0.1343</v>
      </c>
      <c r="N970" s="2">
        <v>1</v>
      </c>
      <c r="O970" s="2">
        <v>31</v>
      </c>
      <c r="P970" s="2">
        <v>32</v>
      </c>
      <c r="Q970" s="4">
        <f>SUBTOTAL(109,Table6[casual])</f>
        <v>4921</v>
      </c>
      <c r="R970" s="4">
        <f>SUBTOTAL(109,Table6[registered])</f>
        <v>53383</v>
      </c>
      <c r="S970" s="4">
        <f>SUBTOTAL(109,Table6[cnt])</f>
        <v>58304</v>
      </c>
    </row>
    <row r="971" spans="1:19">
      <c r="A971" s="2">
        <v>970</v>
      </c>
      <c r="B971" s="3">
        <v>40587</v>
      </c>
      <c r="C971" s="2">
        <v>1</v>
      </c>
      <c r="D971" s="2">
        <v>0</v>
      </c>
      <c r="E971" s="2">
        <v>2</v>
      </c>
      <c r="F971" s="2">
        <v>0</v>
      </c>
      <c r="G971" s="2" t="b">
        <v>0</v>
      </c>
      <c r="H971" s="2">
        <v>0</v>
      </c>
      <c r="I971" s="2">
        <v>1</v>
      </c>
      <c r="J971" s="2">
        <v>0.2</v>
      </c>
      <c r="K971" s="2">
        <v>0.2273</v>
      </c>
      <c r="L971" s="2">
        <v>0.64</v>
      </c>
      <c r="M971" s="2">
        <v>0.1045</v>
      </c>
      <c r="N971" s="2">
        <v>5</v>
      </c>
      <c r="O971" s="2">
        <v>34</v>
      </c>
      <c r="P971" s="2">
        <v>39</v>
      </c>
      <c r="Q971" s="4">
        <f>SUBTOTAL(109,Table6[casual])</f>
        <v>4921</v>
      </c>
      <c r="R971" s="4">
        <f>SUBTOTAL(109,Table6[registered])</f>
        <v>53383</v>
      </c>
      <c r="S971" s="4">
        <f>SUBTOTAL(109,Table6[cnt])</f>
        <v>58304</v>
      </c>
    </row>
    <row r="972" spans="1:19">
      <c r="A972" s="2">
        <v>971</v>
      </c>
      <c r="B972" s="3">
        <v>40587</v>
      </c>
      <c r="C972" s="2">
        <v>1</v>
      </c>
      <c r="D972" s="2">
        <v>0</v>
      </c>
      <c r="E972" s="2">
        <v>2</v>
      </c>
      <c r="F972" s="2">
        <v>1</v>
      </c>
      <c r="G972" s="2" t="b">
        <v>0</v>
      </c>
      <c r="H972" s="2">
        <v>0</v>
      </c>
      <c r="I972" s="2">
        <v>1</v>
      </c>
      <c r="J972" s="2">
        <v>0.2</v>
      </c>
      <c r="K972" s="2">
        <v>0.2273</v>
      </c>
      <c r="L972" s="2">
        <v>0.59</v>
      </c>
      <c r="M972" s="2">
        <v>8.9599999999999999E-2</v>
      </c>
      <c r="N972" s="2">
        <v>1</v>
      </c>
      <c r="O972" s="2">
        <v>23</v>
      </c>
      <c r="P972" s="2">
        <v>24</v>
      </c>
      <c r="Q972" s="4">
        <f>SUBTOTAL(109,Table6[casual])</f>
        <v>4921</v>
      </c>
      <c r="R972" s="4">
        <f>SUBTOTAL(109,Table6[registered])</f>
        <v>53383</v>
      </c>
      <c r="S972" s="4">
        <f>SUBTOTAL(109,Table6[cnt])</f>
        <v>58304</v>
      </c>
    </row>
    <row r="973" spans="1:19">
      <c r="A973" s="2">
        <v>972</v>
      </c>
      <c r="B973" s="3">
        <v>40587</v>
      </c>
      <c r="C973" s="2">
        <v>1</v>
      </c>
      <c r="D973" s="2">
        <v>0</v>
      </c>
      <c r="E973" s="2">
        <v>2</v>
      </c>
      <c r="F973" s="2">
        <v>2</v>
      </c>
      <c r="G973" s="2" t="b">
        <v>0</v>
      </c>
      <c r="H973" s="2">
        <v>0</v>
      </c>
      <c r="I973" s="2">
        <v>2</v>
      </c>
      <c r="J973" s="2">
        <v>0.2</v>
      </c>
      <c r="K973" s="2">
        <v>0.2273</v>
      </c>
      <c r="L973" s="2">
        <v>0.75</v>
      </c>
      <c r="M973" s="2">
        <v>8.9599999999999999E-2</v>
      </c>
      <c r="N973" s="2">
        <v>1</v>
      </c>
      <c r="O973" s="2">
        <v>19</v>
      </c>
      <c r="P973" s="2">
        <v>20</v>
      </c>
      <c r="Q973" s="4">
        <f>SUBTOTAL(109,Table6[casual])</f>
        <v>4921</v>
      </c>
      <c r="R973" s="4">
        <f>SUBTOTAL(109,Table6[registered])</f>
        <v>53383</v>
      </c>
      <c r="S973" s="4">
        <f>SUBTOTAL(109,Table6[cnt])</f>
        <v>58304</v>
      </c>
    </row>
    <row r="974" spans="1:19">
      <c r="A974" s="2">
        <v>973</v>
      </c>
      <c r="B974" s="3">
        <v>40587</v>
      </c>
      <c r="C974" s="2">
        <v>1</v>
      </c>
      <c r="D974" s="2">
        <v>0</v>
      </c>
      <c r="E974" s="2">
        <v>2</v>
      </c>
      <c r="F974" s="2">
        <v>3</v>
      </c>
      <c r="G974" s="2" t="b">
        <v>0</v>
      </c>
      <c r="H974" s="2">
        <v>0</v>
      </c>
      <c r="I974" s="2">
        <v>2</v>
      </c>
      <c r="J974" s="2">
        <v>0.2</v>
      </c>
      <c r="K974" s="2">
        <v>0.2273</v>
      </c>
      <c r="L974" s="2">
        <v>0.69</v>
      </c>
      <c r="M974" s="2">
        <v>0.1045</v>
      </c>
      <c r="N974" s="2">
        <v>4</v>
      </c>
      <c r="O974" s="2">
        <v>8</v>
      </c>
      <c r="P974" s="2">
        <v>12</v>
      </c>
      <c r="Q974" s="4">
        <f>SUBTOTAL(109,Table6[casual])</f>
        <v>4921</v>
      </c>
      <c r="R974" s="4">
        <f>SUBTOTAL(109,Table6[registered])</f>
        <v>53383</v>
      </c>
      <c r="S974" s="4">
        <f>SUBTOTAL(109,Table6[cnt])</f>
        <v>58304</v>
      </c>
    </row>
    <row r="975" spans="1:19">
      <c r="A975" s="2">
        <v>974</v>
      </c>
      <c r="B975" s="3">
        <v>40587</v>
      </c>
      <c r="C975" s="2">
        <v>1</v>
      </c>
      <c r="D975" s="2">
        <v>0</v>
      </c>
      <c r="E975" s="2">
        <v>2</v>
      </c>
      <c r="F975" s="2">
        <v>4</v>
      </c>
      <c r="G975" s="2" t="b">
        <v>0</v>
      </c>
      <c r="H975" s="2">
        <v>0</v>
      </c>
      <c r="I975" s="2">
        <v>2</v>
      </c>
      <c r="J975" s="2">
        <v>0.2</v>
      </c>
      <c r="K975" s="2">
        <v>0.21210000000000001</v>
      </c>
      <c r="L975" s="2">
        <v>0.69</v>
      </c>
      <c r="M975" s="2">
        <v>0.16420000000000001</v>
      </c>
      <c r="N975" s="2">
        <v>0</v>
      </c>
      <c r="O975" s="2">
        <v>2</v>
      </c>
      <c r="P975" s="2">
        <v>2</v>
      </c>
      <c r="Q975" s="4">
        <f>SUBTOTAL(109,Table6[casual])</f>
        <v>4921</v>
      </c>
      <c r="R975" s="4">
        <f>SUBTOTAL(109,Table6[registered])</f>
        <v>53383</v>
      </c>
      <c r="S975" s="4">
        <f>SUBTOTAL(109,Table6[cnt])</f>
        <v>58304</v>
      </c>
    </row>
    <row r="976" spans="1:19">
      <c r="A976" s="2">
        <v>975</v>
      </c>
      <c r="B976" s="3">
        <v>40587</v>
      </c>
      <c r="C976" s="2">
        <v>1</v>
      </c>
      <c r="D976" s="2">
        <v>0</v>
      </c>
      <c r="E976" s="2">
        <v>2</v>
      </c>
      <c r="F976" s="2">
        <v>6</v>
      </c>
      <c r="G976" s="2" t="b">
        <v>0</v>
      </c>
      <c r="H976" s="2">
        <v>0</v>
      </c>
      <c r="I976" s="2">
        <v>2</v>
      </c>
      <c r="J976" s="2">
        <v>0.2</v>
      </c>
      <c r="K976" s="2">
        <v>0.21210000000000001</v>
      </c>
      <c r="L976" s="2">
        <v>0.69</v>
      </c>
      <c r="M976" s="2">
        <v>0.1343</v>
      </c>
      <c r="N976" s="2">
        <v>2</v>
      </c>
      <c r="O976" s="2">
        <v>3</v>
      </c>
      <c r="P976" s="2">
        <v>5</v>
      </c>
      <c r="Q976" s="4">
        <f>SUBTOTAL(109,Table6[casual])</f>
        <v>4921</v>
      </c>
      <c r="R976" s="4">
        <f>SUBTOTAL(109,Table6[registered])</f>
        <v>53383</v>
      </c>
      <c r="S976" s="4">
        <f>SUBTOTAL(109,Table6[cnt])</f>
        <v>58304</v>
      </c>
    </row>
    <row r="977" spans="1:19">
      <c r="A977" s="2">
        <v>976</v>
      </c>
      <c r="B977" s="3">
        <v>40587</v>
      </c>
      <c r="C977" s="2">
        <v>1</v>
      </c>
      <c r="D977" s="2">
        <v>0</v>
      </c>
      <c r="E977" s="2">
        <v>2</v>
      </c>
      <c r="F977" s="2">
        <v>7</v>
      </c>
      <c r="G977" s="2" t="b">
        <v>0</v>
      </c>
      <c r="H977" s="2">
        <v>0</v>
      </c>
      <c r="I977" s="2">
        <v>2</v>
      </c>
      <c r="J977" s="2">
        <v>0.22</v>
      </c>
      <c r="K977" s="2">
        <v>0.2727</v>
      </c>
      <c r="L977" s="2">
        <v>0.55000000000000004</v>
      </c>
      <c r="M977" s="2">
        <v>0</v>
      </c>
      <c r="N977" s="2">
        <v>0</v>
      </c>
      <c r="O977" s="2">
        <v>3</v>
      </c>
      <c r="P977" s="2">
        <v>3</v>
      </c>
      <c r="Q977" s="4">
        <f>SUBTOTAL(109,Table6[casual])</f>
        <v>4921</v>
      </c>
      <c r="R977" s="4">
        <f>SUBTOTAL(109,Table6[registered])</f>
        <v>53383</v>
      </c>
      <c r="S977" s="4">
        <f>SUBTOTAL(109,Table6[cnt])</f>
        <v>58304</v>
      </c>
    </row>
    <row r="978" spans="1:19">
      <c r="A978" s="2">
        <v>977</v>
      </c>
      <c r="B978" s="3">
        <v>40587</v>
      </c>
      <c r="C978" s="2">
        <v>1</v>
      </c>
      <c r="D978" s="2">
        <v>0</v>
      </c>
      <c r="E978" s="2">
        <v>2</v>
      </c>
      <c r="F978" s="2">
        <v>8</v>
      </c>
      <c r="G978" s="2" t="b">
        <v>0</v>
      </c>
      <c r="H978" s="2">
        <v>0</v>
      </c>
      <c r="I978" s="2">
        <v>2</v>
      </c>
      <c r="J978" s="2">
        <v>0.22</v>
      </c>
      <c r="K978" s="2">
        <v>0.2273</v>
      </c>
      <c r="L978" s="2">
        <v>0.64</v>
      </c>
      <c r="M978" s="2">
        <v>0.19400000000000001</v>
      </c>
      <c r="N978" s="2">
        <v>1</v>
      </c>
      <c r="O978" s="2">
        <v>11</v>
      </c>
      <c r="P978" s="2">
        <v>12</v>
      </c>
      <c r="Q978" s="4">
        <f>SUBTOTAL(109,Table6[casual])</f>
        <v>4921</v>
      </c>
      <c r="R978" s="4">
        <f>SUBTOTAL(109,Table6[registered])</f>
        <v>53383</v>
      </c>
      <c r="S978" s="4">
        <f>SUBTOTAL(109,Table6[cnt])</f>
        <v>58304</v>
      </c>
    </row>
    <row r="979" spans="1:19">
      <c r="A979" s="2">
        <v>978</v>
      </c>
      <c r="B979" s="3">
        <v>40587</v>
      </c>
      <c r="C979" s="2">
        <v>1</v>
      </c>
      <c r="D979" s="2">
        <v>0</v>
      </c>
      <c r="E979" s="2">
        <v>2</v>
      </c>
      <c r="F979" s="2">
        <v>9</v>
      </c>
      <c r="G979" s="2" t="b">
        <v>0</v>
      </c>
      <c r="H979" s="2">
        <v>0</v>
      </c>
      <c r="I979" s="2">
        <v>2</v>
      </c>
      <c r="J979" s="2">
        <v>0.24</v>
      </c>
      <c r="K979" s="2">
        <v>0.2273</v>
      </c>
      <c r="L979" s="2">
        <v>0.6</v>
      </c>
      <c r="M979" s="2">
        <v>0.22389999999999999</v>
      </c>
      <c r="N979" s="2">
        <v>12</v>
      </c>
      <c r="O979" s="2">
        <v>35</v>
      </c>
      <c r="P979" s="2">
        <v>47</v>
      </c>
      <c r="Q979" s="4">
        <f>SUBTOTAL(109,Table6[casual])</f>
        <v>4921</v>
      </c>
      <c r="R979" s="4">
        <f>SUBTOTAL(109,Table6[registered])</f>
        <v>53383</v>
      </c>
      <c r="S979" s="4">
        <f>SUBTOTAL(109,Table6[cnt])</f>
        <v>58304</v>
      </c>
    </row>
    <row r="980" spans="1:19">
      <c r="A980" s="2">
        <v>979</v>
      </c>
      <c r="B980" s="3">
        <v>40587</v>
      </c>
      <c r="C980" s="2">
        <v>1</v>
      </c>
      <c r="D980" s="2">
        <v>0</v>
      </c>
      <c r="E980" s="2">
        <v>2</v>
      </c>
      <c r="F980" s="2">
        <v>10</v>
      </c>
      <c r="G980" s="2" t="b">
        <v>0</v>
      </c>
      <c r="H980" s="2">
        <v>0</v>
      </c>
      <c r="I980" s="2">
        <v>1</v>
      </c>
      <c r="J980" s="2">
        <v>0.3</v>
      </c>
      <c r="K980" s="2">
        <v>0.2727</v>
      </c>
      <c r="L980" s="2">
        <v>0.45</v>
      </c>
      <c r="M980" s="2">
        <v>0.32840000000000003</v>
      </c>
      <c r="N980" s="2">
        <v>19</v>
      </c>
      <c r="O980" s="2">
        <v>86</v>
      </c>
      <c r="P980" s="2">
        <v>105</v>
      </c>
      <c r="Q980" s="4">
        <f>SUBTOTAL(109,Table6[casual])</f>
        <v>4921</v>
      </c>
      <c r="R980" s="4">
        <f>SUBTOTAL(109,Table6[registered])</f>
        <v>53383</v>
      </c>
      <c r="S980" s="4">
        <f>SUBTOTAL(109,Table6[cnt])</f>
        <v>58304</v>
      </c>
    </row>
    <row r="981" spans="1:19">
      <c r="A981" s="2">
        <v>980</v>
      </c>
      <c r="B981" s="3">
        <v>40587</v>
      </c>
      <c r="C981" s="2">
        <v>1</v>
      </c>
      <c r="D981" s="2">
        <v>0</v>
      </c>
      <c r="E981" s="2">
        <v>2</v>
      </c>
      <c r="F981" s="2">
        <v>11</v>
      </c>
      <c r="G981" s="2" t="b">
        <v>0</v>
      </c>
      <c r="H981" s="2">
        <v>0</v>
      </c>
      <c r="I981" s="2">
        <v>1</v>
      </c>
      <c r="J981" s="2">
        <v>0.32</v>
      </c>
      <c r="K981" s="2">
        <v>0.28789999999999999</v>
      </c>
      <c r="L981" s="2">
        <v>0.39</v>
      </c>
      <c r="M981" s="2">
        <v>0.44779999999999998</v>
      </c>
      <c r="N981" s="2">
        <v>26</v>
      </c>
      <c r="O981" s="2">
        <v>86</v>
      </c>
      <c r="P981" s="2">
        <v>112</v>
      </c>
      <c r="Q981" s="4">
        <f>SUBTOTAL(109,Table6[casual])</f>
        <v>4921</v>
      </c>
      <c r="R981" s="4">
        <f>SUBTOTAL(109,Table6[registered])</f>
        <v>53383</v>
      </c>
      <c r="S981" s="4">
        <f>SUBTOTAL(109,Table6[cnt])</f>
        <v>58304</v>
      </c>
    </row>
    <row r="982" spans="1:19">
      <c r="A982" s="2">
        <v>981</v>
      </c>
      <c r="B982" s="3">
        <v>40587</v>
      </c>
      <c r="C982" s="2">
        <v>1</v>
      </c>
      <c r="D982" s="2">
        <v>0</v>
      </c>
      <c r="E982" s="2">
        <v>2</v>
      </c>
      <c r="F982" s="2">
        <v>12</v>
      </c>
      <c r="G982" s="2" t="b">
        <v>0</v>
      </c>
      <c r="H982" s="2">
        <v>0</v>
      </c>
      <c r="I982" s="2">
        <v>1</v>
      </c>
      <c r="J982" s="2">
        <v>0.36</v>
      </c>
      <c r="K982" s="2">
        <v>0.31819999999999998</v>
      </c>
      <c r="L982" s="2">
        <v>0.32</v>
      </c>
      <c r="M982" s="2">
        <v>0.4627</v>
      </c>
      <c r="N982" s="2">
        <v>58</v>
      </c>
      <c r="O982" s="2">
        <v>94</v>
      </c>
      <c r="P982" s="2">
        <v>152</v>
      </c>
      <c r="Q982" s="4">
        <f>SUBTOTAL(109,Table6[casual])</f>
        <v>4921</v>
      </c>
      <c r="R982" s="4">
        <f>SUBTOTAL(109,Table6[registered])</f>
        <v>53383</v>
      </c>
      <c r="S982" s="4">
        <f>SUBTOTAL(109,Table6[cnt])</f>
        <v>58304</v>
      </c>
    </row>
    <row r="983" spans="1:19">
      <c r="A983" s="2">
        <v>982</v>
      </c>
      <c r="B983" s="3">
        <v>40587</v>
      </c>
      <c r="C983" s="2">
        <v>1</v>
      </c>
      <c r="D983" s="2">
        <v>0</v>
      </c>
      <c r="E983" s="2">
        <v>2</v>
      </c>
      <c r="F983" s="2">
        <v>13</v>
      </c>
      <c r="G983" s="2" t="b">
        <v>0</v>
      </c>
      <c r="H983" s="2">
        <v>0</v>
      </c>
      <c r="I983" s="2">
        <v>1</v>
      </c>
      <c r="J983" s="2">
        <v>0.38</v>
      </c>
      <c r="K983" s="2">
        <v>0.39389999999999997</v>
      </c>
      <c r="L983" s="2">
        <v>0.28999999999999998</v>
      </c>
      <c r="M983" s="2">
        <v>0.35820000000000002</v>
      </c>
      <c r="N983" s="2">
        <v>62</v>
      </c>
      <c r="O983" s="2">
        <v>92</v>
      </c>
      <c r="P983" s="2">
        <v>154</v>
      </c>
      <c r="Q983" s="4">
        <f>SUBTOTAL(109,Table6[casual])</f>
        <v>4921</v>
      </c>
      <c r="R983" s="4">
        <f>SUBTOTAL(109,Table6[registered])</f>
        <v>53383</v>
      </c>
      <c r="S983" s="4">
        <f>SUBTOTAL(109,Table6[cnt])</f>
        <v>58304</v>
      </c>
    </row>
    <row r="984" spans="1:19">
      <c r="A984" s="2">
        <v>983</v>
      </c>
      <c r="B984" s="3">
        <v>40587</v>
      </c>
      <c r="C984" s="2">
        <v>1</v>
      </c>
      <c r="D984" s="2">
        <v>0</v>
      </c>
      <c r="E984" s="2">
        <v>2</v>
      </c>
      <c r="F984" s="2">
        <v>14</v>
      </c>
      <c r="G984" s="2" t="b">
        <v>0</v>
      </c>
      <c r="H984" s="2">
        <v>0</v>
      </c>
      <c r="I984" s="2">
        <v>2</v>
      </c>
      <c r="J984" s="2">
        <v>0.4</v>
      </c>
      <c r="K984" s="2">
        <v>0.40910000000000002</v>
      </c>
      <c r="L984" s="2">
        <v>0.3</v>
      </c>
      <c r="M984" s="2">
        <v>0.41789999999999999</v>
      </c>
      <c r="N984" s="2">
        <v>51</v>
      </c>
      <c r="O984" s="2">
        <v>110</v>
      </c>
      <c r="P984" s="2">
        <v>161</v>
      </c>
      <c r="Q984" s="4">
        <f>SUBTOTAL(109,Table6[casual])</f>
        <v>4921</v>
      </c>
      <c r="R984" s="4">
        <f>SUBTOTAL(109,Table6[registered])</f>
        <v>53383</v>
      </c>
      <c r="S984" s="4">
        <f>SUBTOTAL(109,Table6[cnt])</f>
        <v>58304</v>
      </c>
    </row>
    <row r="985" spans="1:19">
      <c r="A985" s="2">
        <v>984</v>
      </c>
      <c r="B985" s="3">
        <v>40587</v>
      </c>
      <c r="C985" s="2">
        <v>1</v>
      </c>
      <c r="D985" s="2">
        <v>0</v>
      </c>
      <c r="E985" s="2">
        <v>2</v>
      </c>
      <c r="F985" s="2">
        <v>15</v>
      </c>
      <c r="G985" s="2" t="b">
        <v>0</v>
      </c>
      <c r="H985" s="2">
        <v>0</v>
      </c>
      <c r="I985" s="2">
        <v>2</v>
      </c>
      <c r="J985" s="2">
        <v>0.4</v>
      </c>
      <c r="K985" s="2">
        <v>0.40910000000000002</v>
      </c>
      <c r="L985" s="2">
        <v>0.3</v>
      </c>
      <c r="M985" s="2">
        <v>0.29849999999999999</v>
      </c>
      <c r="N985" s="2">
        <v>40</v>
      </c>
      <c r="O985" s="2">
        <v>122</v>
      </c>
      <c r="P985" s="2">
        <v>162</v>
      </c>
      <c r="Q985" s="6">
        <f>SUBTOTAL(109,Table6[casual])</f>
        <v>4921</v>
      </c>
      <c r="R985" s="4">
        <f>SUBTOTAL(109,Table6[registered])</f>
        <v>53383</v>
      </c>
      <c r="S985" s="4">
        <f>SUBTOTAL(109,Table6[cnt])</f>
        <v>58304</v>
      </c>
    </row>
    <row r="986" spans="1:19">
      <c r="A986" s="2">
        <v>985</v>
      </c>
      <c r="B986" s="3">
        <v>40587</v>
      </c>
      <c r="C986" s="2">
        <v>1</v>
      </c>
      <c r="D986" s="2">
        <v>0</v>
      </c>
      <c r="E986" s="2">
        <v>2</v>
      </c>
      <c r="F986" s="2">
        <v>16</v>
      </c>
      <c r="G986" s="2" t="b">
        <v>0</v>
      </c>
      <c r="H986" s="2">
        <v>0</v>
      </c>
      <c r="I986" s="2">
        <v>2</v>
      </c>
      <c r="J986" s="2">
        <v>0.42</v>
      </c>
      <c r="K986" s="2">
        <v>0.42420000000000002</v>
      </c>
      <c r="L986" s="2">
        <v>0.28000000000000003</v>
      </c>
      <c r="M986" s="2">
        <v>0.32840000000000003</v>
      </c>
      <c r="N986" s="2">
        <v>28</v>
      </c>
      <c r="O986" s="2">
        <v>106</v>
      </c>
      <c r="P986" s="2">
        <v>134</v>
      </c>
      <c r="Q986" s="4">
        <f>SUBTOTAL(109,Table6[casual])</f>
        <v>4921</v>
      </c>
      <c r="R986" s="4">
        <f>SUBTOTAL(109,Table6[registered])</f>
        <v>53383</v>
      </c>
      <c r="S986" s="4">
        <f>SUBTOTAL(109,Table6[cnt])</f>
        <v>58304</v>
      </c>
    </row>
    <row r="987" spans="1:19">
      <c r="A987" s="2">
        <v>986</v>
      </c>
      <c r="B987" s="3">
        <v>40587</v>
      </c>
      <c r="C987" s="2">
        <v>1</v>
      </c>
      <c r="D987" s="2">
        <v>0</v>
      </c>
      <c r="E987" s="2">
        <v>2</v>
      </c>
      <c r="F987" s="2">
        <v>17</v>
      </c>
      <c r="G987" s="2" t="b">
        <v>0</v>
      </c>
      <c r="H987" s="2">
        <v>0</v>
      </c>
      <c r="I987" s="2">
        <v>1</v>
      </c>
      <c r="J987" s="2">
        <v>0.42</v>
      </c>
      <c r="K987" s="2">
        <v>0.42420000000000002</v>
      </c>
      <c r="L987" s="2">
        <v>0.28000000000000003</v>
      </c>
      <c r="M987" s="2">
        <v>0.32840000000000003</v>
      </c>
      <c r="N987" s="2">
        <v>30</v>
      </c>
      <c r="O987" s="2">
        <v>95</v>
      </c>
      <c r="P987" s="2">
        <v>125</v>
      </c>
      <c r="Q987" s="4">
        <f>SUBTOTAL(109,Table6[casual])</f>
        <v>4921</v>
      </c>
      <c r="R987" s="4">
        <f>SUBTOTAL(109,Table6[registered])</f>
        <v>53383</v>
      </c>
      <c r="S987" s="4">
        <f>SUBTOTAL(109,Table6[cnt])</f>
        <v>58304</v>
      </c>
    </row>
    <row r="988" spans="1:19">
      <c r="A988" s="2">
        <v>987</v>
      </c>
      <c r="B988" s="3">
        <v>40587</v>
      </c>
      <c r="C988" s="2">
        <v>1</v>
      </c>
      <c r="D988" s="2">
        <v>0</v>
      </c>
      <c r="E988" s="2">
        <v>2</v>
      </c>
      <c r="F988" s="2">
        <v>18</v>
      </c>
      <c r="G988" s="2" t="b">
        <v>0</v>
      </c>
      <c r="H988" s="2">
        <v>0</v>
      </c>
      <c r="I988" s="2">
        <v>1</v>
      </c>
      <c r="J988" s="2">
        <v>0.4</v>
      </c>
      <c r="K988" s="2">
        <v>0.40910000000000002</v>
      </c>
      <c r="L988" s="2">
        <v>0.32</v>
      </c>
      <c r="M988" s="2">
        <v>0.29849999999999999</v>
      </c>
      <c r="N988" s="2">
        <v>17</v>
      </c>
      <c r="O988" s="2">
        <v>78</v>
      </c>
      <c r="P988" s="2">
        <v>95</v>
      </c>
      <c r="Q988" s="4">
        <f>SUBTOTAL(109,Table6[casual])</f>
        <v>4921</v>
      </c>
      <c r="R988" s="4">
        <f>SUBTOTAL(109,Table6[registered])</f>
        <v>53383</v>
      </c>
      <c r="S988" s="4">
        <f>SUBTOTAL(109,Table6[cnt])</f>
        <v>58304</v>
      </c>
    </row>
    <row r="989" spans="1:19">
      <c r="A989" s="2">
        <v>988</v>
      </c>
      <c r="B989" s="3">
        <v>40587</v>
      </c>
      <c r="C989" s="2">
        <v>1</v>
      </c>
      <c r="D989" s="2">
        <v>0</v>
      </c>
      <c r="E989" s="2">
        <v>2</v>
      </c>
      <c r="F989" s="2">
        <v>19</v>
      </c>
      <c r="G989" s="2" t="b">
        <v>0</v>
      </c>
      <c r="H989" s="2">
        <v>0</v>
      </c>
      <c r="I989" s="2">
        <v>1</v>
      </c>
      <c r="J989" s="2">
        <v>0.4</v>
      </c>
      <c r="K989" s="2">
        <v>0.40910000000000002</v>
      </c>
      <c r="L989" s="2">
        <v>0.35</v>
      </c>
      <c r="M989" s="2">
        <v>0.28360000000000002</v>
      </c>
      <c r="N989" s="2">
        <v>11</v>
      </c>
      <c r="O989" s="2">
        <v>50</v>
      </c>
      <c r="P989" s="2">
        <v>61</v>
      </c>
      <c r="Q989" s="4">
        <f>SUBTOTAL(109,Table6[casual])</f>
        <v>4921</v>
      </c>
      <c r="R989" s="4">
        <f>SUBTOTAL(109,Table6[registered])</f>
        <v>53383</v>
      </c>
      <c r="S989" s="4">
        <f>SUBTOTAL(109,Table6[cnt])</f>
        <v>58304</v>
      </c>
    </row>
    <row r="990" spans="1:19">
      <c r="A990" s="2">
        <v>989</v>
      </c>
      <c r="B990" s="3">
        <v>40587</v>
      </c>
      <c r="C990" s="2">
        <v>1</v>
      </c>
      <c r="D990" s="2">
        <v>0</v>
      </c>
      <c r="E990" s="2">
        <v>2</v>
      </c>
      <c r="F990" s="2">
        <v>20</v>
      </c>
      <c r="G990" s="2" t="b">
        <v>0</v>
      </c>
      <c r="H990" s="2">
        <v>0</v>
      </c>
      <c r="I990" s="2">
        <v>1</v>
      </c>
      <c r="J990" s="2">
        <v>0.4</v>
      </c>
      <c r="K990" s="2">
        <v>0.40910000000000002</v>
      </c>
      <c r="L990" s="2">
        <v>0.35</v>
      </c>
      <c r="M990" s="2">
        <v>0.32840000000000003</v>
      </c>
      <c r="N990" s="2">
        <v>15</v>
      </c>
      <c r="O990" s="2">
        <v>32</v>
      </c>
      <c r="P990" s="2">
        <v>47</v>
      </c>
      <c r="Q990" s="4">
        <f>SUBTOTAL(109,Table6[casual])</f>
        <v>4921</v>
      </c>
      <c r="R990" s="4">
        <f>SUBTOTAL(109,Table6[registered])</f>
        <v>53383</v>
      </c>
      <c r="S990" s="4">
        <f>SUBTOTAL(109,Table6[cnt])</f>
        <v>58304</v>
      </c>
    </row>
    <row r="991" spans="1:19">
      <c r="A991" s="2">
        <v>990</v>
      </c>
      <c r="B991" s="3">
        <v>40587</v>
      </c>
      <c r="C991" s="2">
        <v>1</v>
      </c>
      <c r="D991" s="2">
        <v>0</v>
      </c>
      <c r="E991" s="2">
        <v>2</v>
      </c>
      <c r="F991" s="2">
        <v>21</v>
      </c>
      <c r="G991" s="2" t="b">
        <v>0</v>
      </c>
      <c r="H991" s="2">
        <v>0</v>
      </c>
      <c r="I991" s="2">
        <v>1</v>
      </c>
      <c r="J991" s="2">
        <v>0.4</v>
      </c>
      <c r="K991" s="2">
        <v>0.40910000000000002</v>
      </c>
      <c r="L991" s="2">
        <v>0.35</v>
      </c>
      <c r="M991" s="2">
        <v>0.35820000000000002</v>
      </c>
      <c r="N991" s="2">
        <v>6</v>
      </c>
      <c r="O991" s="2">
        <v>45</v>
      </c>
      <c r="P991" s="2">
        <v>51</v>
      </c>
      <c r="Q991" s="4">
        <f>SUBTOTAL(109,Table6[casual])</f>
        <v>4921</v>
      </c>
      <c r="R991" s="4">
        <f>SUBTOTAL(109,Table6[registered])</f>
        <v>53383</v>
      </c>
      <c r="S991" s="4">
        <f>SUBTOTAL(109,Table6[cnt])</f>
        <v>58304</v>
      </c>
    </row>
    <row r="992" spans="1:19">
      <c r="A992" s="2">
        <v>991</v>
      </c>
      <c r="B992" s="3">
        <v>40587</v>
      </c>
      <c r="C992" s="2">
        <v>1</v>
      </c>
      <c r="D992" s="2">
        <v>0</v>
      </c>
      <c r="E992" s="2">
        <v>2</v>
      </c>
      <c r="F992" s="2">
        <v>22</v>
      </c>
      <c r="G992" s="2" t="b">
        <v>0</v>
      </c>
      <c r="H992" s="2">
        <v>0</v>
      </c>
      <c r="I992" s="2">
        <v>1</v>
      </c>
      <c r="J992" s="2">
        <v>0.4</v>
      </c>
      <c r="K992" s="2">
        <v>0.40910000000000002</v>
      </c>
      <c r="L992" s="2">
        <v>0.35</v>
      </c>
      <c r="M992" s="2">
        <v>0.29849999999999999</v>
      </c>
      <c r="N992" s="2">
        <v>5</v>
      </c>
      <c r="O992" s="2">
        <v>31</v>
      </c>
      <c r="P992" s="2">
        <v>36</v>
      </c>
      <c r="Q992" s="4">
        <f>SUBTOTAL(109,Table6[casual])</f>
        <v>4921</v>
      </c>
      <c r="R992" s="4">
        <f>SUBTOTAL(109,Table6[registered])</f>
        <v>53383</v>
      </c>
      <c r="S992" s="4">
        <f>SUBTOTAL(109,Table6[cnt])</f>
        <v>58304</v>
      </c>
    </row>
    <row r="993" spans="1:23">
      <c r="A993" s="2">
        <v>992</v>
      </c>
      <c r="B993" s="3">
        <v>40587</v>
      </c>
      <c r="C993" s="2">
        <v>1</v>
      </c>
      <c r="D993" s="2">
        <v>0</v>
      </c>
      <c r="E993" s="2">
        <v>2</v>
      </c>
      <c r="F993" s="2">
        <v>23</v>
      </c>
      <c r="G993" s="2" t="b">
        <v>0</v>
      </c>
      <c r="H993" s="2">
        <v>0</v>
      </c>
      <c r="I993" s="2">
        <v>1</v>
      </c>
      <c r="J993" s="2">
        <v>0.4</v>
      </c>
      <c r="K993" s="2">
        <v>0.40910000000000002</v>
      </c>
      <c r="L993" s="2">
        <v>0.35</v>
      </c>
      <c r="M993" s="2">
        <v>0.35820000000000002</v>
      </c>
      <c r="N993" s="2">
        <v>3</v>
      </c>
      <c r="O993" s="2">
        <v>27</v>
      </c>
      <c r="P993" s="2">
        <v>30</v>
      </c>
      <c r="Q993" s="4">
        <f>SUBTOTAL(109,Table6[casual])</f>
        <v>4921</v>
      </c>
      <c r="R993" s="4">
        <f>SUBTOTAL(109,Table6[registered])</f>
        <v>53383</v>
      </c>
      <c r="S993" s="4">
        <f>SUBTOTAL(109,Table6[cnt])</f>
        <v>58304</v>
      </c>
    </row>
    <row r="994" spans="1:23" ht="15" thickBot="1">
      <c r="A994" s="2">
        <v>993</v>
      </c>
      <c r="B994" s="3">
        <v>40588</v>
      </c>
      <c r="C994" s="2">
        <v>1</v>
      </c>
      <c r="D994" s="2">
        <v>0</v>
      </c>
      <c r="E994" s="2">
        <v>2</v>
      </c>
      <c r="F994" s="2">
        <v>0</v>
      </c>
      <c r="G994" s="2" t="b">
        <v>0</v>
      </c>
      <c r="H994" s="2">
        <v>1</v>
      </c>
      <c r="I994" s="2">
        <v>1</v>
      </c>
      <c r="J994" s="2">
        <v>0.38</v>
      </c>
      <c r="K994" s="2">
        <v>0.39389999999999997</v>
      </c>
      <c r="L994" s="2">
        <v>0.37</v>
      </c>
      <c r="M994" s="2">
        <v>0.35820000000000002</v>
      </c>
      <c r="N994" s="2">
        <v>3</v>
      </c>
      <c r="O994" s="2">
        <v>8</v>
      </c>
      <c r="P994" s="2">
        <v>11</v>
      </c>
      <c r="Q994" s="4">
        <f>SUBTOTAL(109,Table6[casual])</f>
        <v>4921</v>
      </c>
      <c r="R994" s="4">
        <f>SUBTOTAL(109,Table6[registered])</f>
        <v>53383</v>
      </c>
      <c r="S994" s="4">
        <f>SUBTOTAL(109,Table6[cnt])</f>
        <v>58304</v>
      </c>
      <c r="U994" s="47" t="s">
        <v>209</v>
      </c>
      <c r="V994" t="s">
        <v>151</v>
      </c>
      <c r="W994" t="s">
        <v>210</v>
      </c>
    </row>
    <row r="995" spans="1:23" ht="15.6" thickTop="1" thickBot="1">
      <c r="A995" s="2">
        <v>994</v>
      </c>
      <c r="B995" s="3">
        <v>40588</v>
      </c>
      <c r="C995" s="2">
        <v>1</v>
      </c>
      <c r="D995" s="2">
        <v>0</v>
      </c>
      <c r="E995" s="2">
        <v>2</v>
      </c>
      <c r="F995" s="2">
        <v>1</v>
      </c>
      <c r="G995" s="2" t="b">
        <v>0</v>
      </c>
      <c r="H995" s="2">
        <v>1</v>
      </c>
      <c r="I995" s="2">
        <v>1</v>
      </c>
      <c r="J995" s="2">
        <v>0.38</v>
      </c>
      <c r="K995" s="2">
        <v>0.39389999999999997</v>
      </c>
      <c r="L995" s="2">
        <v>0.37</v>
      </c>
      <c r="M995" s="2">
        <v>0.35820000000000002</v>
      </c>
      <c r="N995" s="2">
        <v>1</v>
      </c>
      <c r="O995" s="2">
        <v>6</v>
      </c>
      <c r="P995" s="2">
        <v>7</v>
      </c>
      <c r="Q995" s="4">
        <f>SUBTOTAL(109,Table6[casual])</f>
        <v>4921</v>
      </c>
      <c r="R995" s="4">
        <f>SUBTOTAL(109,Table6[registered])</f>
        <v>53383</v>
      </c>
      <c r="S995" s="4">
        <f>SUBTOTAL(109,Table6[cnt])</f>
        <v>58304</v>
      </c>
      <c r="U995" s="48" t="s">
        <v>105</v>
      </c>
      <c r="V995" s="49">
        <f>SUBTOTAL(109,Table1[CNT])</f>
        <v>58304</v>
      </c>
      <c r="W995" s="48">
        <v>58.304000000000002</v>
      </c>
    </row>
    <row r="996" spans="1:23" ht="15" thickTop="1">
      <c r="A996" s="2">
        <v>995</v>
      </c>
      <c r="B996" s="3">
        <v>40588</v>
      </c>
      <c r="C996" s="2">
        <v>1</v>
      </c>
      <c r="D996" s="2">
        <v>0</v>
      </c>
      <c r="E996" s="2">
        <v>2</v>
      </c>
      <c r="F996" s="2">
        <v>2</v>
      </c>
      <c r="G996" s="2" t="b">
        <v>0</v>
      </c>
      <c r="H996" s="2">
        <v>1</v>
      </c>
      <c r="I996" s="2">
        <v>1</v>
      </c>
      <c r="J996" s="2">
        <v>0.36</v>
      </c>
      <c r="K996" s="2">
        <v>0.33329999999999999</v>
      </c>
      <c r="L996" s="2">
        <v>0.4</v>
      </c>
      <c r="M996" s="2">
        <v>0.29849999999999999</v>
      </c>
      <c r="N996" s="2">
        <v>0</v>
      </c>
      <c r="O996" s="2">
        <v>2</v>
      </c>
      <c r="P996" s="2">
        <v>2</v>
      </c>
      <c r="Q996" s="4">
        <f>SUBTOTAL(109,Table6[casual])</f>
        <v>4921</v>
      </c>
      <c r="R996" s="4">
        <f>SUBTOTAL(109,Table6[registered])</f>
        <v>53383</v>
      </c>
      <c r="S996" s="4">
        <f>SUBTOTAL(109,Table6[cnt])</f>
        <v>58304</v>
      </c>
      <c r="U996" s="48" t="s">
        <v>208</v>
      </c>
      <c r="V996" s="50">
        <f>SUBTOTAL(109,Table6[casual])</f>
        <v>4921</v>
      </c>
      <c r="W996" s="48">
        <v>4.9210000000000003</v>
      </c>
    </row>
    <row r="997" spans="1:23">
      <c r="A997" s="2">
        <v>996</v>
      </c>
      <c r="B997" s="3">
        <v>40588</v>
      </c>
      <c r="C997" s="2">
        <v>1</v>
      </c>
      <c r="D997" s="2">
        <v>0</v>
      </c>
      <c r="E997" s="2">
        <v>2</v>
      </c>
      <c r="F997" s="2">
        <v>3</v>
      </c>
      <c r="G997" s="2" t="b">
        <v>0</v>
      </c>
      <c r="H997" s="2">
        <v>1</v>
      </c>
      <c r="I997" s="2">
        <v>1</v>
      </c>
      <c r="J997" s="2">
        <v>0.34</v>
      </c>
      <c r="K997" s="2">
        <v>0.31819999999999998</v>
      </c>
      <c r="L997" s="2">
        <v>0.46</v>
      </c>
      <c r="M997" s="2">
        <v>0.22389999999999999</v>
      </c>
      <c r="N997" s="2">
        <v>1</v>
      </c>
      <c r="O997" s="2">
        <v>1</v>
      </c>
      <c r="P997" s="2">
        <v>2</v>
      </c>
      <c r="Q997" s="4">
        <f>SUBTOTAL(109,Table6[casual])</f>
        <v>4921</v>
      </c>
      <c r="R997" s="4">
        <f>SUBTOTAL(109,Table6[registered])</f>
        <v>53383</v>
      </c>
      <c r="S997" s="4">
        <f>SUBTOTAL(109,Table6[cnt])</f>
        <v>58304</v>
      </c>
      <c r="U997" s="48" t="s">
        <v>211</v>
      </c>
      <c r="V997" s="51">
        <f>SUBTOTAL(109,Table6[registered])</f>
        <v>53383</v>
      </c>
      <c r="W997" s="48">
        <v>53.383000000000003</v>
      </c>
    </row>
    <row r="998" spans="1:23">
      <c r="A998" s="2">
        <v>997</v>
      </c>
      <c r="B998" s="3">
        <v>40588</v>
      </c>
      <c r="C998" s="2">
        <v>1</v>
      </c>
      <c r="D998" s="2">
        <v>0</v>
      </c>
      <c r="E998" s="2">
        <v>2</v>
      </c>
      <c r="F998" s="2">
        <v>4</v>
      </c>
      <c r="G998" s="2" t="b">
        <v>0</v>
      </c>
      <c r="H998" s="2">
        <v>1</v>
      </c>
      <c r="I998" s="2">
        <v>1</v>
      </c>
      <c r="J998" s="2">
        <v>0.32</v>
      </c>
      <c r="K998" s="2">
        <v>0.30299999999999999</v>
      </c>
      <c r="L998" s="2">
        <v>0.53</v>
      </c>
      <c r="M998" s="2">
        <v>0.28360000000000002</v>
      </c>
      <c r="N998" s="2">
        <v>0</v>
      </c>
      <c r="O998" s="2">
        <v>2</v>
      </c>
      <c r="P998" s="2">
        <v>2</v>
      </c>
      <c r="Q998" s="4">
        <f>SUBTOTAL(109,Table6[casual])</f>
        <v>4921</v>
      </c>
      <c r="R998" s="4">
        <f>SUBTOTAL(109,Table6[registered])</f>
        <v>53383</v>
      </c>
      <c r="S998" s="4">
        <f>SUBTOTAL(109,Table6[cnt])</f>
        <v>58304</v>
      </c>
      <c r="U998" s="48"/>
    </row>
    <row r="999" spans="1:23">
      <c r="A999" s="2">
        <v>998</v>
      </c>
      <c r="B999" s="3">
        <v>40588</v>
      </c>
      <c r="C999" s="2">
        <v>1</v>
      </c>
      <c r="D999" s="2">
        <v>0</v>
      </c>
      <c r="E999" s="2">
        <v>2</v>
      </c>
      <c r="F999" s="2">
        <v>5</v>
      </c>
      <c r="G999" s="2" t="b">
        <v>0</v>
      </c>
      <c r="H999" s="2">
        <v>1</v>
      </c>
      <c r="I999" s="2">
        <v>1</v>
      </c>
      <c r="J999" s="2">
        <v>0.32</v>
      </c>
      <c r="K999" s="2">
        <v>0.30299999999999999</v>
      </c>
      <c r="L999" s="2">
        <v>0.53</v>
      </c>
      <c r="M999" s="2">
        <v>0.28360000000000002</v>
      </c>
      <c r="N999" s="2">
        <v>0</v>
      </c>
      <c r="O999" s="2">
        <v>3</v>
      </c>
      <c r="P999" s="2">
        <v>3</v>
      </c>
      <c r="Q999" s="4">
        <f>SUBTOTAL(109,Table6[casual])</f>
        <v>4921</v>
      </c>
      <c r="R999" s="4">
        <f>SUBTOTAL(109,Table6[registered])</f>
        <v>53383</v>
      </c>
      <c r="S999" s="4">
        <f>SUBTOTAL(109,Table6[cnt])</f>
        <v>58304</v>
      </c>
    </row>
    <row r="1000" spans="1:23">
      <c r="A1000" s="2">
        <v>999</v>
      </c>
      <c r="B1000" s="3">
        <v>40588</v>
      </c>
      <c r="C1000" s="2">
        <v>1</v>
      </c>
      <c r="D1000" s="2">
        <v>0</v>
      </c>
      <c r="E1000" s="2">
        <v>2</v>
      </c>
      <c r="F1000" s="2">
        <v>6</v>
      </c>
      <c r="G1000" s="2" t="b">
        <v>0</v>
      </c>
      <c r="H1000" s="2">
        <v>1</v>
      </c>
      <c r="I1000" s="2">
        <v>1</v>
      </c>
      <c r="J1000" s="2">
        <v>0.34</v>
      </c>
      <c r="K1000" s="2">
        <v>0.30299999999999999</v>
      </c>
      <c r="L1000" s="2">
        <v>0.46</v>
      </c>
      <c r="M1000" s="2">
        <v>0.29849999999999999</v>
      </c>
      <c r="N1000" s="2">
        <v>1</v>
      </c>
      <c r="O1000" s="2">
        <v>25</v>
      </c>
      <c r="P1000" s="2">
        <v>26</v>
      </c>
      <c r="Q1000" s="4">
        <f>SUBTOTAL(109,Table6[casual])</f>
        <v>4921</v>
      </c>
      <c r="R1000" s="4">
        <f>SUBTOTAL(109,Table6[registered])</f>
        <v>53383</v>
      </c>
      <c r="S1000" s="4">
        <f>SUBTOTAL(109,Table6[cnt])</f>
        <v>58304</v>
      </c>
      <c r="U1000" s="48"/>
    </row>
    <row r="1001" spans="1:23">
      <c r="A1001" s="2">
        <v>1000</v>
      </c>
      <c r="B1001" s="3">
        <v>40588</v>
      </c>
      <c r="C1001" s="2">
        <v>1</v>
      </c>
      <c r="D1001" s="2">
        <v>0</v>
      </c>
      <c r="E1001" s="2">
        <v>2</v>
      </c>
      <c r="F1001" s="2">
        <v>7</v>
      </c>
      <c r="G1001" s="2" t="b">
        <v>0</v>
      </c>
      <c r="H1001" s="2">
        <v>1</v>
      </c>
      <c r="I1001" s="2">
        <v>1</v>
      </c>
      <c r="J1001" s="2">
        <v>0.34</v>
      </c>
      <c r="K1001" s="2">
        <v>0.30299999999999999</v>
      </c>
      <c r="L1001" s="2">
        <v>0.46</v>
      </c>
      <c r="M1001" s="2">
        <v>0.29849999999999999</v>
      </c>
      <c r="N1001" s="2">
        <v>2</v>
      </c>
      <c r="O1001" s="2">
        <v>96</v>
      </c>
      <c r="P1001" s="2">
        <v>98</v>
      </c>
      <c r="Q1001" s="4">
        <f>SUBTOTAL(109,Table6[casual])</f>
        <v>4921</v>
      </c>
      <c r="R1001" s="4">
        <f>SUBTOTAL(109,Table6[registered])</f>
        <v>53383</v>
      </c>
      <c r="S1001" s="4">
        <f>SUBTOTAL(109,Table6[cnt])</f>
        <v>58304</v>
      </c>
    </row>
    <row r="1002" spans="1:23">
      <c r="A1002" s="6"/>
      <c r="B1002" s="7"/>
      <c r="C1002" s="6"/>
      <c r="D1002" s="6"/>
      <c r="E1002" s="6"/>
      <c r="F1002" s="6"/>
      <c r="G1002" s="6"/>
      <c r="H1002" s="6"/>
      <c r="I1002" s="6" t="s">
        <v>203</v>
      </c>
      <c r="J1002" s="6">
        <f>SUBTOTAL(109,Table6[temp])</f>
        <v>205.89999999999961</v>
      </c>
      <c r="K1002" s="6">
        <f>SUBTOTAL(109,Table6[atemp])</f>
        <v>209.62630000000055</v>
      </c>
      <c r="L1002" s="6">
        <f>SUBTOTAL(109,Table6[hum])</f>
        <v>582.48000000000036</v>
      </c>
      <c r="M1002" s="6">
        <f>SUBTOTAL(109,Table6[windspeed])</f>
        <v>194.93129999999903</v>
      </c>
      <c r="N1002" s="6">
        <f>SUBTOTAL(109,Table6[casual])</f>
        <v>4921</v>
      </c>
      <c r="O1002" s="6">
        <f>SUBTOTAL(109,Table6[registered])</f>
        <v>53383</v>
      </c>
      <c r="P1002" s="6">
        <f>SUBTOTAL(109,Table6[cnt])</f>
        <v>58304</v>
      </c>
      <c r="Q1002" s="6"/>
      <c r="R1002" s="6"/>
      <c r="S1002" s="6"/>
    </row>
    <row r="1003" spans="1:23">
      <c r="I1003" t="s">
        <v>204</v>
      </c>
      <c r="J1003">
        <f t="shared" ref="J1003:P1003" si="0">AVERAGE(J2:J1001)</f>
        <v>0.20589999999999961</v>
      </c>
      <c r="K1003">
        <f t="shared" si="0"/>
        <v>0.21195783619818054</v>
      </c>
      <c r="L1003">
        <f t="shared" si="0"/>
        <v>0.58248000000000033</v>
      </c>
      <c r="M1003">
        <f t="shared" si="0"/>
        <v>0.19493129999999903</v>
      </c>
      <c r="N1003">
        <f t="shared" si="0"/>
        <v>4.9210000000000003</v>
      </c>
      <c r="O1003">
        <f t="shared" si="0"/>
        <v>53.383000000000003</v>
      </c>
      <c r="P1003">
        <f t="shared" si="0"/>
        <v>58.304000000000002</v>
      </c>
    </row>
  </sheetData>
  <phoneticPr fontId="2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002"/>
  <sheetViews>
    <sheetView topLeftCell="K1" workbookViewId="0">
      <pane ySplit="1" topLeftCell="A2" activePane="bottomLeft" state="frozen"/>
      <selection pane="bottomLeft" activeCell="C1005" sqref="C1005"/>
    </sheetView>
  </sheetViews>
  <sheetFormatPr defaultRowHeight="14.4"/>
  <cols>
    <col min="1" max="1" width="14" customWidth="1"/>
    <col min="2" max="2" width="13.77734375" style="1" bestFit="1" customWidth="1"/>
    <col min="3" max="3" width="13.88671875" bestFit="1" customWidth="1"/>
    <col min="4" max="4" width="11.44140625" customWidth="1"/>
    <col min="5" max="5" width="11" customWidth="1"/>
    <col min="6" max="8" width="14" customWidth="1"/>
    <col min="9" max="9" width="18.77734375" bestFit="1" customWidth="1"/>
    <col min="10" max="12" width="14" customWidth="1"/>
    <col min="13" max="13" width="15" customWidth="1"/>
    <col min="14" max="14" width="14" customWidth="1"/>
    <col min="15" max="15" width="15.88671875" customWidth="1"/>
    <col min="16" max="17" width="14" customWidth="1"/>
    <col min="18" max="18" width="18.5546875" customWidth="1"/>
    <col min="19" max="19" width="19.109375" customWidth="1"/>
    <col min="20" max="20" width="20.77734375" customWidth="1"/>
    <col min="21" max="21" width="17.5546875" customWidth="1"/>
    <col min="22" max="22" width="19.33203125" customWidth="1"/>
    <col min="23" max="23" width="21" customWidth="1"/>
    <col min="24" max="24" width="16.33203125" customWidth="1"/>
    <col min="25" max="25" width="18.21875" customWidth="1"/>
    <col min="26" max="26" width="13" bestFit="1" customWidth="1"/>
    <col min="27" max="27" width="13" style="39" customWidth="1"/>
    <col min="28" max="28" width="19.109375" style="39" bestFit="1" customWidth="1"/>
    <col min="29" max="30" width="19.109375" customWidth="1"/>
  </cols>
  <sheetData>
    <row r="1" spans="1:32">
      <c r="A1" s="8" t="s">
        <v>55</v>
      </c>
      <c r="B1" s="29" t="s">
        <v>56</v>
      </c>
      <c r="C1" s="8" t="s">
        <v>57</v>
      </c>
      <c r="D1" s="8" t="s">
        <v>58</v>
      </c>
      <c r="E1" s="22" t="s">
        <v>158</v>
      </c>
      <c r="F1" s="8" t="s">
        <v>59</v>
      </c>
      <c r="G1" s="8" t="s">
        <v>60</v>
      </c>
      <c r="H1" s="8" t="s">
        <v>61</v>
      </c>
      <c r="I1" s="8" t="s">
        <v>62</v>
      </c>
      <c r="J1" s="8" t="s">
        <v>63</v>
      </c>
      <c r="K1" s="8" t="s">
        <v>64</v>
      </c>
      <c r="L1" s="8" t="s">
        <v>65</v>
      </c>
      <c r="M1" s="8" t="s">
        <v>66</v>
      </c>
      <c r="N1" s="8" t="s">
        <v>67</v>
      </c>
      <c r="O1" s="8" t="s">
        <v>8</v>
      </c>
      <c r="P1" s="8" t="s">
        <v>68</v>
      </c>
      <c r="Q1" s="8" t="s">
        <v>69</v>
      </c>
      <c r="R1" s="8" t="s">
        <v>70</v>
      </c>
      <c r="S1" s="8" t="s">
        <v>71</v>
      </c>
      <c r="T1" s="8" t="s">
        <v>72</v>
      </c>
      <c r="U1" s="8" t="s">
        <v>73</v>
      </c>
      <c r="V1" s="8" t="s">
        <v>74</v>
      </c>
      <c r="W1" s="8" t="s">
        <v>75</v>
      </c>
      <c r="X1" s="8" t="s">
        <v>76</v>
      </c>
      <c r="Y1" s="8" t="s">
        <v>77</v>
      </c>
      <c r="Z1" s="37" t="s">
        <v>183</v>
      </c>
      <c r="AA1" s="38" t="s">
        <v>185</v>
      </c>
      <c r="AB1" s="38" t="s">
        <v>186</v>
      </c>
      <c r="AC1" s="37" t="s">
        <v>187</v>
      </c>
      <c r="AD1" s="37" t="s">
        <v>188</v>
      </c>
      <c r="AE1" s="37" t="s">
        <v>184</v>
      </c>
    </row>
    <row r="2" spans="1:32">
      <c r="A2" s="9">
        <v>1</v>
      </c>
      <c r="B2" s="30">
        <v>40544</v>
      </c>
      <c r="C2" s="9">
        <v>1</v>
      </c>
      <c r="D2" s="9">
        <v>0</v>
      </c>
      <c r="E2" s="9">
        <v>1</v>
      </c>
      <c r="F2" s="9">
        <v>0</v>
      </c>
      <c r="G2" s="9" t="b">
        <v>0</v>
      </c>
      <c r="H2" s="9">
        <v>6</v>
      </c>
      <c r="I2" s="9">
        <v>1</v>
      </c>
      <c r="J2" s="9">
        <v>0.24</v>
      </c>
      <c r="K2" s="9">
        <v>0.28789999999999999</v>
      </c>
      <c r="L2" s="9">
        <v>0.81</v>
      </c>
      <c r="M2" s="9">
        <v>0</v>
      </c>
      <c r="N2" s="9">
        <v>3</v>
      </c>
      <c r="O2" s="9">
        <v>13</v>
      </c>
      <c r="P2" s="9">
        <v>16</v>
      </c>
      <c r="Q2" s="12" t="s">
        <v>78</v>
      </c>
      <c r="R2" s="13" t="s">
        <v>79</v>
      </c>
      <c r="S2" s="9" t="s">
        <v>80</v>
      </c>
      <c r="T2" s="13" t="s">
        <v>81</v>
      </c>
      <c r="U2" s="14" t="s">
        <v>82</v>
      </c>
      <c r="V2" s="12" t="s">
        <v>83</v>
      </c>
      <c r="W2" s="15" t="s">
        <v>84</v>
      </c>
      <c r="X2" s="9" t="s">
        <v>85</v>
      </c>
      <c r="Y2" s="12" t="s">
        <v>86</v>
      </c>
      <c r="Z2">
        <f t="shared" ref="Z2:Z65" si="0">COUNTIF(Q2:Q1001,"Weekday")</f>
        <v>670</v>
      </c>
      <c r="AA2" s="39">
        <f>AVERAGEIF(T2:T1001,"Clear",P2:P1001)</f>
        <v>61.671617161716171</v>
      </c>
      <c r="AB2" s="39">
        <f>STDEV(P2:P1001)</f>
        <v>50.985557867999354</v>
      </c>
      <c r="AC2">
        <f t="shared" ref="AC2:AC9" si="1">CORREL(J2:J1001,P2:P1001)</f>
        <v>0.22929155386993369</v>
      </c>
      <c r="AD2">
        <f>CORREL(L2:L1001,P2:P1001)</f>
        <v>-0.25435329828790432</v>
      </c>
      <c r="AE2">
        <f>SUMIF(Q2:Q1001,"Weekday",P2:P1001)</f>
        <v>42435</v>
      </c>
    </row>
    <row r="3" spans="1:32">
      <c r="A3" s="10">
        <v>2</v>
      </c>
      <c r="B3" s="31">
        <v>40544</v>
      </c>
      <c r="C3" s="10">
        <v>1</v>
      </c>
      <c r="D3" s="10">
        <v>0</v>
      </c>
      <c r="E3" s="10">
        <v>1</v>
      </c>
      <c r="F3" s="10">
        <v>1</v>
      </c>
      <c r="G3" s="10" t="b">
        <v>0</v>
      </c>
      <c r="H3" s="10">
        <v>6</v>
      </c>
      <c r="I3" s="10">
        <v>1</v>
      </c>
      <c r="J3" s="10">
        <v>0.22</v>
      </c>
      <c r="K3" s="10">
        <v>0.2727</v>
      </c>
      <c r="L3" s="10">
        <v>0.8</v>
      </c>
      <c r="M3" s="10">
        <v>0</v>
      </c>
      <c r="N3" s="10">
        <v>8</v>
      </c>
      <c r="O3" s="10">
        <v>32</v>
      </c>
      <c r="P3" s="10">
        <v>40</v>
      </c>
      <c r="Q3" s="12" t="s">
        <v>78</v>
      </c>
      <c r="R3" s="13" t="s">
        <v>79</v>
      </c>
      <c r="S3" s="10" t="s">
        <v>80</v>
      </c>
      <c r="T3" s="13" t="s">
        <v>81</v>
      </c>
      <c r="U3" s="14" t="s">
        <v>82</v>
      </c>
      <c r="V3" s="11" t="s">
        <v>87</v>
      </c>
      <c r="W3" s="15" t="s">
        <v>84</v>
      </c>
      <c r="X3" s="10" t="s">
        <v>85</v>
      </c>
      <c r="Y3" s="12" t="s">
        <v>86</v>
      </c>
      <c r="Z3">
        <f t="shared" si="0"/>
        <v>670</v>
      </c>
      <c r="AA3" s="39">
        <f>AVERAGEIF(T3:T1002,"Clear",P3:P1002)</f>
        <v>61.747107438016528</v>
      </c>
      <c r="AB3" s="39">
        <f>STDEV(P3:P1002)</f>
        <v>1842.5943404448628</v>
      </c>
      <c r="AC3">
        <f t="shared" si="1"/>
        <v>0.99962085064618733</v>
      </c>
      <c r="AD3">
        <f>CORREL(L3:L1002,P3:P1002)</f>
        <v>0.99949367533136324</v>
      </c>
      <c r="AE3">
        <f>SUMIF(Q3:Q1002,"Weekday",P3:P1002)</f>
        <v>42435</v>
      </c>
      <c r="AF3" s="21"/>
    </row>
    <row r="4" spans="1:32">
      <c r="A4" s="9">
        <v>3</v>
      </c>
      <c r="B4" s="30">
        <v>40544</v>
      </c>
      <c r="C4" s="9">
        <v>1</v>
      </c>
      <c r="D4" s="9">
        <v>0</v>
      </c>
      <c r="E4" s="9">
        <v>1</v>
      </c>
      <c r="F4" s="9">
        <v>2</v>
      </c>
      <c r="G4" s="9" t="b">
        <v>0</v>
      </c>
      <c r="H4" s="9">
        <v>6</v>
      </c>
      <c r="I4" s="9">
        <v>1</v>
      </c>
      <c r="J4" s="9">
        <v>0.22</v>
      </c>
      <c r="K4" s="9">
        <v>0.2727</v>
      </c>
      <c r="L4" s="9">
        <v>0.8</v>
      </c>
      <c r="M4" s="9">
        <v>0</v>
      </c>
      <c r="N4" s="9">
        <v>5</v>
      </c>
      <c r="O4" s="9">
        <v>27</v>
      </c>
      <c r="P4" s="9">
        <v>32</v>
      </c>
      <c r="Q4" s="12" t="s">
        <v>78</v>
      </c>
      <c r="R4" s="13" t="s">
        <v>79</v>
      </c>
      <c r="S4" s="9" t="s">
        <v>80</v>
      </c>
      <c r="T4" s="13" t="s">
        <v>81</v>
      </c>
      <c r="U4" s="14" t="s">
        <v>82</v>
      </c>
      <c r="V4" s="11" t="s">
        <v>87</v>
      </c>
      <c r="W4" s="15" t="s">
        <v>84</v>
      </c>
      <c r="X4" s="9" t="s">
        <v>85</v>
      </c>
      <c r="Y4" s="12" t="s">
        <v>86</v>
      </c>
      <c r="Z4">
        <f t="shared" si="0"/>
        <v>670</v>
      </c>
      <c r="AA4" s="39">
        <f t="shared" ref="AA4:AA65" si="2">AVERAGEIF(T4:T1003,"Clear",P4:P1003)</f>
        <v>61.783112582781456</v>
      </c>
      <c r="AB4" s="39">
        <f t="shared" ref="AB4:AB65" si="3">STDEV(P4:P1003)</f>
        <v>1843.5156569131429</v>
      </c>
      <c r="AC4">
        <f t="shared" si="1"/>
        <v>0.99962092374544143</v>
      </c>
      <c r="AD4">
        <f t="shared" ref="AD4:AD65" si="4">CORREL(L4:L1003,P4:P1003)</f>
        <v>0.99949391243303654</v>
      </c>
      <c r="AE4">
        <f t="shared" ref="AE4:AE65" si="5">SUMIF(Q4:Q1003,"Weekday",P4:P1003)</f>
        <v>42435</v>
      </c>
      <c r="AF4" s="36" t="s">
        <v>166</v>
      </c>
    </row>
    <row r="5" spans="1:32">
      <c r="A5" s="10">
        <v>4</v>
      </c>
      <c r="B5" s="31">
        <v>40544</v>
      </c>
      <c r="C5" s="10">
        <v>1</v>
      </c>
      <c r="D5" s="10">
        <v>0</v>
      </c>
      <c r="E5" s="10">
        <v>1</v>
      </c>
      <c r="F5" s="10">
        <v>3</v>
      </c>
      <c r="G5" s="10" t="b">
        <v>0</v>
      </c>
      <c r="H5" s="10">
        <v>6</v>
      </c>
      <c r="I5" s="10">
        <v>1</v>
      </c>
      <c r="J5" s="10">
        <v>0.24</v>
      </c>
      <c r="K5" s="10">
        <v>0.28789999999999999</v>
      </c>
      <c r="L5" s="10">
        <v>0.75</v>
      </c>
      <c r="M5" s="10">
        <v>0</v>
      </c>
      <c r="N5" s="10">
        <v>3</v>
      </c>
      <c r="O5" s="10">
        <v>10</v>
      </c>
      <c r="P5" s="10">
        <v>13</v>
      </c>
      <c r="Q5" s="12" t="s">
        <v>78</v>
      </c>
      <c r="R5" s="13" t="s">
        <v>79</v>
      </c>
      <c r="S5" s="10" t="s">
        <v>80</v>
      </c>
      <c r="T5" s="13" t="s">
        <v>81</v>
      </c>
      <c r="U5" s="14" t="s">
        <v>82</v>
      </c>
      <c r="V5" s="12" t="s">
        <v>83</v>
      </c>
      <c r="W5" s="15" t="s">
        <v>84</v>
      </c>
      <c r="X5" s="10" t="s">
        <v>85</v>
      </c>
      <c r="Y5" s="12" t="s">
        <v>86</v>
      </c>
      <c r="Z5">
        <f t="shared" si="0"/>
        <v>670</v>
      </c>
      <c r="AA5" s="39">
        <f t="shared" si="2"/>
        <v>61.83250414593698</v>
      </c>
      <c r="AB5" s="39">
        <f t="shared" si="3"/>
        <v>1844.4380054723492</v>
      </c>
      <c r="AC5">
        <f t="shared" si="1"/>
        <v>0.99962105914268384</v>
      </c>
      <c r="AD5">
        <f t="shared" si="4"/>
        <v>0.99949425420166738</v>
      </c>
      <c r="AE5">
        <f t="shared" si="5"/>
        <v>42435</v>
      </c>
      <c r="AF5" t="s">
        <v>165</v>
      </c>
    </row>
    <row r="6" spans="1:32">
      <c r="A6" s="9">
        <v>5</v>
      </c>
      <c r="B6" s="30">
        <v>40544</v>
      </c>
      <c r="C6" s="9">
        <v>1</v>
      </c>
      <c r="D6" s="9">
        <v>0</v>
      </c>
      <c r="E6" s="9">
        <v>1</v>
      </c>
      <c r="F6" s="9">
        <v>4</v>
      </c>
      <c r="G6" s="9" t="b">
        <v>0</v>
      </c>
      <c r="H6" s="9">
        <v>6</v>
      </c>
      <c r="I6" s="9">
        <v>1</v>
      </c>
      <c r="J6" s="9">
        <v>0.24</v>
      </c>
      <c r="K6" s="9">
        <v>0.28789999999999999</v>
      </c>
      <c r="L6" s="9">
        <v>0.75</v>
      </c>
      <c r="M6" s="9">
        <v>0</v>
      </c>
      <c r="N6" s="9">
        <v>0</v>
      </c>
      <c r="O6" s="9">
        <v>1</v>
      </c>
      <c r="P6" s="9">
        <v>1</v>
      </c>
      <c r="Q6" s="12" t="s">
        <v>78</v>
      </c>
      <c r="R6" s="13" t="s">
        <v>79</v>
      </c>
      <c r="S6" s="9" t="s">
        <v>80</v>
      </c>
      <c r="T6" s="13" t="s">
        <v>81</v>
      </c>
      <c r="U6" s="14" t="s">
        <v>82</v>
      </c>
      <c r="V6" s="12" t="s">
        <v>83</v>
      </c>
      <c r="W6" s="15" t="s">
        <v>84</v>
      </c>
      <c r="X6" s="9" t="s">
        <v>85</v>
      </c>
      <c r="Y6" s="12" t="s">
        <v>86</v>
      </c>
      <c r="Z6">
        <f t="shared" si="0"/>
        <v>670</v>
      </c>
      <c r="AA6" s="39">
        <f t="shared" si="2"/>
        <v>61.91362126245847</v>
      </c>
      <c r="AB6" s="39">
        <f t="shared" si="3"/>
        <v>1845.3607645065085</v>
      </c>
      <c r="AC6">
        <f t="shared" si="1"/>
        <v>0.99962150560112184</v>
      </c>
      <c r="AD6">
        <f t="shared" si="4"/>
        <v>0.99949482439587789</v>
      </c>
      <c r="AE6">
        <f t="shared" si="5"/>
        <v>42435</v>
      </c>
    </row>
    <row r="7" spans="1:32">
      <c r="A7" s="10">
        <v>6</v>
      </c>
      <c r="B7" s="31">
        <v>40544</v>
      </c>
      <c r="C7" s="10">
        <v>1</v>
      </c>
      <c r="D7" s="10">
        <v>0</v>
      </c>
      <c r="E7" s="10">
        <v>1</v>
      </c>
      <c r="F7" s="10">
        <v>5</v>
      </c>
      <c r="G7" s="10" t="b">
        <v>0</v>
      </c>
      <c r="H7" s="10">
        <v>6</v>
      </c>
      <c r="I7" s="10">
        <v>2</v>
      </c>
      <c r="J7" s="10">
        <v>0.24</v>
      </c>
      <c r="K7" s="10">
        <v>0.2576</v>
      </c>
      <c r="L7" s="10">
        <v>0.75</v>
      </c>
      <c r="M7" s="10">
        <v>8.9599999999999999E-2</v>
      </c>
      <c r="N7" s="10">
        <v>0</v>
      </c>
      <c r="O7" s="10">
        <v>1</v>
      </c>
      <c r="P7" s="10">
        <v>1</v>
      </c>
      <c r="Q7" s="12" t="s">
        <v>78</v>
      </c>
      <c r="R7" s="13" t="s">
        <v>79</v>
      </c>
      <c r="S7" s="10" t="s">
        <v>80</v>
      </c>
      <c r="T7" s="11" t="s">
        <v>88</v>
      </c>
      <c r="U7" s="15" t="s">
        <v>89</v>
      </c>
      <c r="V7" s="12" t="s">
        <v>83</v>
      </c>
      <c r="W7" s="15" t="s">
        <v>84</v>
      </c>
      <c r="X7" s="10" t="s">
        <v>85</v>
      </c>
      <c r="Y7" s="12" t="s">
        <v>86</v>
      </c>
      <c r="Z7">
        <f t="shared" si="0"/>
        <v>670</v>
      </c>
      <c r="AA7" s="39">
        <f t="shared" si="2"/>
        <v>62.014975041597339</v>
      </c>
      <c r="AB7" s="39">
        <f t="shared" si="3"/>
        <v>1846.2841915319507</v>
      </c>
      <c r="AC7">
        <f t="shared" si="1"/>
        <v>0.99962216922084923</v>
      </c>
      <c r="AD7">
        <f t="shared" si="4"/>
        <v>0.99949563734222713</v>
      </c>
      <c r="AE7">
        <f t="shared" si="5"/>
        <v>42435</v>
      </c>
      <c r="AF7" s="36" t="s">
        <v>167</v>
      </c>
    </row>
    <row r="8" spans="1:32">
      <c r="A8" s="9">
        <v>7</v>
      </c>
      <c r="B8" s="30">
        <v>40544</v>
      </c>
      <c r="C8" s="9">
        <v>1</v>
      </c>
      <c r="D8" s="9">
        <v>0</v>
      </c>
      <c r="E8" s="9">
        <v>1</v>
      </c>
      <c r="F8" s="9">
        <v>6</v>
      </c>
      <c r="G8" s="9" t="b">
        <v>0</v>
      </c>
      <c r="H8" s="9">
        <v>6</v>
      </c>
      <c r="I8" s="9">
        <v>1</v>
      </c>
      <c r="J8" s="9">
        <v>0.22</v>
      </c>
      <c r="K8" s="9">
        <v>0.2727</v>
      </c>
      <c r="L8" s="9">
        <v>0.8</v>
      </c>
      <c r="M8" s="9">
        <v>0</v>
      </c>
      <c r="N8" s="9">
        <v>2</v>
      </c>
      <c r="O8" s="9">
        <v>0</v>
      </c>
      <c r="P8" s="9">
        <v>2</v>
      </c>
      <c r="Q8" s="12" t="s">
        <v>78</v>
      </c>
      <c r="R8" s="13" t="s">
        <v>79</v>
      </c>
      <c r="S8" s="9" t="s">
        <v>80</v>
      </c>
      <c r="T8" s="13" t="s">
        <v>81</v>
      </c>
      <c r="U8" s="15" t="s">
        <v>89</v>
      </c>
      <c r="V8" s="12" t="s">
        <v>83</v>
      </c>
      <c r="W8" s="15" t="s">
        <v>84</v>
      </c>
      <c r="X8" s="9" t="s">
        <v>85</v>
      </c>
      <c r="Y8" s="12" t="s">
        <v>86</v>
      </c>
      <c r="Z8">
        <f t="shared" si="0"/>
        <v>670</v>
      </c>
      <c r="AA8" s="39">
        <f t="shared" si="2"/>
        <v>62.014975041597339</v>
      </c>
      <c r="AB8" s="39">
        <f t="shared" si="3"/>
        <v>1847.2090061859549</v>
      </c>
      <c r="AC8">
        <f t="shared" si="1"/>
        <v>0.99962283418025311</v>
      </c>
      <c r="AD8">
        <f t="shared" si="4"/>
        <v>0.99949645192927128</v>
      </c>
      <c r="AE8">
        <f t="shared" si="5"/>
        <v>42435</v>
      </c>
      <c r="AF8" t="s">
        <v>168</v>
      </c>
    </row>
    <row r="9" spans="1:32">
      <c r="A9" s="10">
        <v>8</v>
      </c>
      <c r="B9" s="31">
        <v>40544</v>
      </c>
      <c r="C9" s="10">
        <v>1</v>
      </c>
      <c r="D9" s="10">
        <v>0</v>
      </c>
      <c r="E9" s="10">
        <v>1</v>
      </c>
      <c r="F9" s="10">
        <v>7</v>
      </c>
      <c r="G9" s="10" t="b">
        <v>0</v>
      </c>
      <c r="H9" s="10">
        <v>6</v>
      </c>
      <c r="I9" s="10">
        <v>1</v>
      </c>
      <c r="J9" s="10">
        <v>0.2</v>
      </c>
      <c r="K9" s="10">
        <v>0.2576</v>
      </c>
      <c r="L9" s="10">
        <v>0.86</v>
      </c>
      <c r="M9" s="10">
        <v>0</v>
      </c>
      <c r="N9" s="10">
        <v>1</v>
      </c>
      <c r="O9" s="10">
        <v>2</v>
      </c>
      <c r="P9" s="10">
        <v>3</v>
      </c>
      <c r="Q9" s="12" t="s">
        <v>78</v>
      </c>
      <c r="R9" s="13" t="s">
        <v>79</v>
      </c>
      <c r="S9" s="10" t="s">
        <v>80</v>
      </c>
      <c r="T9" s="13" t="s">
        <v>81</v>
      </c>
      <c r="U9" s="15" t="s">
        <v>89</v>
      </c>
      <c r="V9" s="12" t="s">
        <v>83</v>
      </c>
      <c r="W9" s="15" t="s">
        <v>84</v>
      </c>
      <c r="X9" s="10" t="s">
        <v>85</v>
      </c>
      <c r="Y9" s="12" t="s">
        <v>86</v>
      </c>
      <c r="Z9">
        <f t="shared" si="0"/>
        <v>670</v>
      </c>
      <c r="AA9" s="39">
        <f t="shared" si="2"/>
        <v>62.115000000000002</v>
      </c>
      <c r="AB9" s="39">
        <f t="shared" si="3"/>
        <v>1848.1352749958853</v>
      </c>
      <c r="AC9">
        <f t="shared" si="1"/>
        <v>0.99962337475207086</v>
      </c>
      <c r="AD9">
        <f t="shared" si="4"/>
        <v>0.99949735857814459</v>
      </c>
      <c r="AE9">
        <f t="shared" si="5"/>
        <v>42435</v>
      </c>
    </row>
    <row r="10" spans="1:32">
      <c r="A10" s="9">
        <v>9</v>
      </c>
      <c r="B10" s="30">
        <v>40544</v>
      </c>
      <c r="C10" s="9">
        <v>1</v>
      </c>
      <c r="D10" s="9">
        <v>0</v>
      </c>
      <c r="E10" s="9">
        <v>1</v>
      </c>
      <c r="F10" s="9">
        <v>8</v>
      </c>
      <c r="G10" s="9" t="b">
        <v>0</v>
      </c>
      <c r="H10" s="9">
        <v>6</v>
      </c>
      <c r="I10" s="9">
        <v>1</v>
      </c>
      <c r="J10" s="9">
        <v>0.24</v>
      </c>
      <c r="K10" s="9">
        <v>0.24229999999999999</v>
      </c>
      <c r="L10" s="9">
        <v>0.75</v>
      </c>
      <c r="M10" s="9">
        <v>0</v>
      </c>
      <c r="N10" s="9">
        <v>1</v>
      </c>
      <c r="O10" s="9">
        <v>7</v>
      </c>
      <c r="P10" s="9">
        <v>8</v>
      </c>
      <c r="Q10" s="12" t="s">
        <v>78</v>
      </c>
      <c r="R10" s="13" t="s">
        <v>79</v>
      </c>
      <c r="S10" s="9" t="s">
        <v>80</v>
      </c>
      <c r="T10" s="13" t="s">
        <v>81</v>
      </c>
      <c r="U10" s="15" t="s">
        <v>89</v>
      </c>
      <c r="V10" s="12" t="s">
        <v>83</v>
      </c>
      <c r="W10" s="15" t="s">
        <v>84</v>
      </c>
      <c r="X10" s="9" t="s">
        <v>85</v>
      </c>
      <c r="Y10" s="12" t="s">
        <v>86</v>
      </c>
      <c r="Z10">
        <f t="shared" si="0"/>
        <v>670</v>
      </c>
      <c r="AA10" s="39">
        <f t="shared" si="2"/>
        <v>62.213689482470784</v>
      </c>
      <c r="AB10" s="39">
        <f t="shared" si="3"/>
        <v>1849.063001192955</v>
      </c>
      <c r="AC10" t="e">
        <f>CORREL(J10:J1008,P10:P1009)</f>
        <v>#N/A</v>
      </c>
      <c r="AD10">
        <f t="shared" si="4"/>
        <v>0.99949838684044257</v>
      </c>
      <c r="AE10">
        <f t="shared" si="5"/>
        <v>42435</v>
      </c>
      <c r="AF10" s="36" t="s">
        <v>169</v>
      </c>
    </row>
    <row r="11" spans="1:32">
      <c r="A11" s="10">
        <v>10</v>
      </c>
      <c r="B11" s="31">
        <v>40544</v>
      </c>
      <c r="C11" s="10">
        <v>1</v>
      </c>
      <c r="D11" s="10">
        <v>0</v>
      </c>
      <c r="E11" s="10">
        <v>1</v>
      </c>
      <c r="F11" s="10">
        <v>9</v>
      </c>
      <c r="G11" s="10" t="b">
        <v>0</v>
      </c>
      <c r="H11" s="10">
        <v>6</v>
      </c>
      <c r="I11" s="10">
        <v>1</v>
      </c>
      <c r="J11" s="10">
        <v>0.32</v>
      </c>
      <c r="K11" s="10">
        <v>0.34849999999999998</v>
      </c>
      <c r="L11" s="10">
        <v>0.76</v>
      </c>
      <c r="M11" s="10">
        <v>0</v>
      </c>
      <c r="N11" s="10">
        <v>8</v>
      </c>
      <c r="O11" s="10">
        <v>6</v>
      </c>
      <c r="P11" s="10">
        <v>14</v>
      </c>
      <c r="Q11" s="12" t="s">
        <v>78</v>
      </c>
      <c r="R11" s="13" t="s">
        <v>79</v>
      </c>
      <c r="S11" s="10" t="s">
        <v>80</v>
      </c>
      <c r="T11" s="13" t="s">
        <v>81</v>
      </c>
      <c r="U11" s="15" t="s">
        <v>89</v>
      </c>
      <c r="V11" s="12" t="s">
        <v>83</v>
      </c>
      <c r="W11" s="13" t="s">
        <v>90</v>
      </c>
      <c r="X11" s="10" t="s">
        <v>85</v>
      </c>
      <c r="Y11" s="12" t="s">
        <v>86</v>
      </c>
      <c r="Z11">
        <f t="shared" si="0"/>
        <v>670</v>
      </c>
      <c r="AA11" s="39">
        <f t="shared" si="2"/>
        <v>62.304347826086953</v>
      </c>
      <c r="AB11" s="39">
        <f t="shared" si="3"/>
        <v>1849.9924311456998</v>
      </c>
      <c r="AC11" t="e">
        <f>CORREL(J11:J1008,P11:P1010)</f>
        <v>#N/A</v>
      </c>
      <c r="AD11">
        <f t="shared" si="4"/>
        <v>0.9994990599223007</v>
      </c>
      <c r="AE11">
        <f t="shared" si="5"/>
        <v>42435</v>
      </c>
      <c r="AF11" t="s">
        <v>170</v>
      </c>
    </row>
    <row r="12" spans="1:32">
      <c r="A12" s="9">
        <v>11</v>
      </c>
      <c r="B12" s="30">
        <v>40544</v>
      </c>
      <c r="C12" s="9">
        <v>1</v>
      </c>
      <c r="D12" s="9">
        <v>0</v>
      </c>
      <c r="E12" s="9">
        <v>1</v>
      </c>
      <c r="F12" s="9">
        <v>10</v>
      </c>
      <c r="G12" s="9" t="b">
        <v>0</v>
      </c>
      <c r="H12" s="9">
        <v>6</v>
      </c>
      <c r="I12" s="9">
        <v>1</v>
      </c>
      <c r="J12" s="9">
        <v>0.38</v>
      </c>
      <c r="K12" s="9">
        <v>0.39389999999999997</v>
      </c>
      <c r="L12" s="9">
        <v>0.76</v>
      </c>
      <c r="M12" s="9">
        <v>0.25369999999999998</v>
      </c>
      <c r="N12" s="9">
        <v>12</v>
      </c>
      <c r="O12" s="9">
        <v>24</v>
      </c>
      <c r="P12" s="9">
        <v>36</v>
      </c>
      <c r="Q12" s="12" t="s">
        <v>78</v>
      </c>
      <c r="R12" s="13" t="s">
        <v>79</v>
      </c>
      <c r="S12" s="9" t="s">
        <v>80</v>
      </c>
      <c r="T12" s="13" t="s">
        <v>81</v>
      </c>
      <c r="U12" s="13" t="s">
        <v>91</v>
      </c>
      <c r="V12" s="11" t="s">
        <v>87</v>
      </c>
      <c r="W12" s="13" t="s">
        <v>90</v>
      </c>
      <c r="X12" s="9" t="s">
        <v>85</v>
      </c>
      <c r="Y12" s="12" t="s">
        <v>86</v>
      </c>
      <c r="Z12">
        <f t="shared" si="0"/>
        <v>670</v>
      </c>
      <c r="AA12" s="39">
        <f t="shared" si="2"/>
        <v>62.38525963149079</v>
      </c>
      <c r="AB12" s="39">
        <f t="shared" si="3"/>
        <v>1850.9236128714649</v>
      </c>
      <c r="AC12" t="e">
        <f>CORREL(J12:J1008,P12:P1011)</f>
        <v>#N/A</v>
      </c>
      <c r="AD12">
        <f t="shared" si="4"/>
        <v>0.99949963834235189</v>
      </c>
      <c r="AE12">
        <f t="shared" si="5"/>
        <v>42435</v>
      </c>
    </row>
    <row r="13" spans="1:32">
      <c r="A13" s="10">
        <v>12</v>
      </c>
      <c r="B13" s="31">
        <v>40544</v>
      </c>
      <c r="C13" s="10">
        <v>1</v>
      </c>
      <c r="D13" s="10">
        <v>0</v>
      </c>
      <c r="E13" s="10">
        <v>1</v>
      </c>
      <c r="F13" s="10">
        <v>11</v>
      </c>
      <c r="G13" s="10" t="b">
        <v>0</v>
      </c>
      <c r="H13" s="10">
        <v>6</v>
      </c>
      <c r="I13" s="10">
        <v>1</v>
      </c>
      <c r="J13" s="10">
        <v>0.36</v>
      </c>
      <c r="K13" s="10">
        <v>0.33329999999999999</v>
      </c>
      <c r="L13" s="10">
        <v>0.81</v>
      </c>
      <c r="M13" s="10">
        <v>0.28360000000000002</v>
      </c>
      <c r="N13" s="10">
        <v>26</v>
      </c>
      <c r="O13" s="10">
        <v>30</v>
      </c>
      <c r="P13" s="10">
        <v>56</v>
      </c>
      <c r="Q13" s="12" t="s">
        <v>78</v>
      </c>
      <c r="R13" s="13" t="s">
        <v>79</v>
      </c>
      <c r="S13" s="10" t="s">
        <v>80</v>
      </c>
      <c r="T13" s="13" t="s">
        <v>81</v>
      </c>
      <c r="U13" s="13" t="s">
        <v>91</v>
      </c>
      <c r="V13" s="11" t="s">
        <v>87</v>
      </c>
      <c r="W13" s="13" t="s">
        <v>90</v>
      </c>
      <c r="X13" s="10" t="s">
        <v>85</v>
      </c>
      <c r="Y13" s="12" t="s">
        <v>86</v>
      </c>
      <c r="Z13">
        <f t="shared" si="0"/>
        <v>670</v>
      </c>
      <c r="AA13" s="39">
        <f t="shared" si="2"/>
        <v>62.429530201342281</v>
      </c>
      <c r="AB13" s="39">
        <f t="shared" si="3"/>
        <v>1851.8573147870657</v>
      </c>
      <c r="AC13" t="e">
        <f>CORREL(J13:J1008,P13:P1012)</f>
        <v>#N/A</v>
      </c>
      <c r="AD13">
        <f t="shared" si="4"/>
        <v>0.99949988241448906</v>
      </c>
      <c r="AE13">
        <f t="shared" si="5"/>
        <v>42435</v>
      </c>
      <c r="AF13" s="36" t="s">
        <v>171</v>
      </c>
    </row>
    <row r="14" spans="1:32">
      <c r="A14" s="9">
        <v>13</v>
      </c>
      <c r="B14" s="30">
        <v>40544</v>
      </c>
      <c r="C14" s="9">
        <v>1</v>
      </c>
      <c r="D14" s="9">
        <v>0</v>
      </c>
      <c r="E14" s="9">
        <v>1</v>
      </c>
      <c r="F14" s="9">
        <v>12</v>
      </c>
      <c r="G14" s="9" t="b">
        <v>0</v>
      </c>
      <c r="H14" s="9">
        <v>6</v>
      </c>
      <c r="I14" s="9">
        <v>1</v>
      </c>
      <c r="J14" s="9">
        <v>0.42</v>
      </c>
      <c r="K14" s="9">
        <v>0.42420000000000002</v>
      </c>
      <c r="L14" s="9">
        <v>0.77</v>
      </c>
      <c r="M14" s="9">
        <v>0.28360000000000002</v>
      </c>
      <c r="N14" s="9">
        <v>29</v>
      </c>
      <c r="O14" s="9">
        <v>55</v>
      </c>
      <c r="P14" s="9">
        <v>84</v>
      </c>
      <c r="Q14" s="12" t="s">
        <v>78</v>
      </c>
      <c r="R14" s="13" t="s">
        <v>79</v>
      </c>
      <c r="S14" s="9" t="s">
        <v>80</v>
      </c>
      <c r="T14" s="13" t="s">
        <v>81</v>
      </c>
      <c r="U14" s="11" t="s">
        <v>92</v>
      </c>
      <c r="V14" s="13" t="s">
        <v>93</v>
      </c>
      <c r="W14" s="13" t="s">
        <v>90</v>
      </c>
      <c r="X14" s="9" t="s">
        <v>85</v>
      </c>
      <c r="Y14" s="12" t="s">
        <v>86</v>
      </c>
      <c r="Z14">
        <f t="shared" si="0"/>
        <v>670</v>
      </c>
      <c r="AA14" s="39">
        <f t="shared" si="2"/>
        <v>62.44033613445378</v>
      </c>
      <c r="AB14" s="39">
        <f t="shared" si="3"/>
        <v>1852.7932144138217</v>
      </c>
      <c r="AC14" t="e">
        <f>CORREL(J14:J1008,P14:P1013)</f>
        <v>#N/A</v>
      </c>
      <c r="AD14">
        <f t="shared" si="4"/>
        <v>0.99949998001970353</v>
      </c>
      <c r="AE14">
        <f t="shared" si="5"/>
        <v>42435</v>
      </c>
      <c r="AF14" t="s">
        <v>172</v>
      </c>
    </row>
    <row r="15" spans="1:32">
      <c r="A15" s="10">
        <v>14</v>
      </c>
      <c r="B15" s="31">
        <v>40544</v>
      </c>
      <c r="C15" s="10">
        <v>1</v>
      </c>
      <c r="D15" s="10">
        <v>0</v>
      </c>
      <c r="E15" s="10">
        <v>1</v>
      </c>
      <c r="F15" s="10">
        <v>13</v>
      </c>
      <c r="G15" s="10" t="b">
        <v>0</v>
      </c>
      <c r="H15" s="10">
        <v>6</v>
      </c>
      <c r="I15" s="10">
        <v>2</v>
      </c>
      <c r="J15" s="10">
        <v>0.46</v>
      </c>
      <c r="K15" s="10">
        <v>0.45450000000000002</v>
      </c>
      <c r="L15" s="10">
        <v>0.72</v>
      </c>
      <c r="M15" s="10">
        <v>0.29849999999999999</v>
      </c>
      <c r="N15" s="10">
        <v>47</v>
      </c>
      <c r="O15" s="10">
        <v>47</v>
      </c>
      <c r="P15" s="10">
        <v>94</v>
      </c>
      <c r="Q15" s="12" t="s">
        <v>78</v>
      </c>
      <c r="R15" s="13" t="s">
        <v>79</v>
      </c>
      <c r="S15" s="10" t="s">
        <v>80</v>
      </c>
      <c r="T15" s="11" t="s">
        <v>88</v>
      </c>
      <c r="U15" s="11" t="s">
        <v>92</v>
      </c>
      <c r="V15" s="13" t="s">
        <v>93</v>
      </c>
      <c r="W15" s="13" t="s">
        <v>90</v>
      </c>
      <c r="X15" s="10" t="s">
        <v>85</v>
      </c>
      <c r="Y15" s="12" t="s">
        <v>86</v>
      </c>
      <c r="Z15">
        <f t="shared" si="0"/>
        <v>670</v>
      </c>
      <c r="AA15" s="39">
        <f t="shared" si="2"/>
        <v>62.404040404040401</v>
      </c>
      <c r="AB15" s="39">
        <f t="shared" si="3"/>
        <v>1853.7312648656894</v>
      </c>
      <c r="AC15" t="e">
        <f>CORREL(J15:J1008,P15:P1014)</f>
        <v>#N/A</v>
      </c>
      <c r="AD15">
        <f t="shared" si="4"/>
        <v>0.99949998551253882</v>
      </c>
      <c r="AE15">
        <f t="shared" si="5"/>
        <v>42435</v>
      </c>
    </row>
    <row r="16" spans="1:32">
      <c r="A16" s="9">
        <v>15</v>
      </c>
      <c r="B16" s="30">
        <v>40544</v>
      </c>
      <c r="C16" s="9">
        <v>1</v>
      </c>
      <c r="D16" s="9">
        <v>0</v>
      </c>
      <c r="E16" s="9">
        <v>1</v>
      </c>
      <c r="F16" s="9">
        <v>14</v>
      </c>
      <c r="G16" s="9" t="b">
        <v>0</v>
      </c>
      <c r="H16" s="9">
        <v>6</v>
      </c>
      <c r="I16" s="9">
        <v>2</v>
      </c>
      <c r="J16" s="9">
        <v>0.46</v>
      </c>
      <c r="K16" s="9">
        <v>0.45450000000000002</v>
      </c>
      <c r="L16" s="9">
        <v>0.72</v>
      </c>
      <c r="M16" s="9">
        <v>0.28360000000000002</v>
      </c>
      <c r="N16" s="9">
        <v>35</v>
      </c>
      <c r="O16" s="9">
        <v>71</v>
      </c>
      <c r="P16" s="9">
        <v>106</v>
      </c>
      <c r="Q16" s="12" t="s">
        <v>78</v>
      </c>
      <c r="R16" s="13" t="s">
        <v>79</v>
      </c>
      <c r="S16" s="9" t="s">
        <v>80</v>
      </c>
      <c r="T16" s="11" t="s">
        <v>88</v>
      </c>
      <c r="U16" s="13" t="s">
        <v>94</v>
      </c>
      <c r="V16" s="13" t="s">
        <v>93</v>
      </c>
      <c r="W16" s="13" t="s">
        <v>90</v>
      </c>
      <c r="X16" s="9" t="s">
        <v>85</v>
      </c>
      <c r="Y16" s="12" t="s">
        <v>86</v>
      </c>
      <c r="Z16">
        <f t="shared" si="0"/>
        <v>670</v>
      </c>
      <c r="AA16" s="39">
        <f t="shared" si="2"/>
        <v>62.404040404040401</v>
      </c>
      <c r="AB16" s="39">
        <f t="shared" si="3"/>
        <v>1854.6708987189725</v>
      </c>
      <c r="AC16">
        <f t="shared" ref="AC16:AC79" si="6">CORREL(J16:J1015,P16:P1015)</f>
        <v>0.99962669249938585</v>
      </c>
      <c r="AD16">
        <f t="shared" si="4"/>
        <v>0.99950005179848078</v>
      </c>
      <c r="AE16">
        <f t="shared" si="5"/>
        <v>42435</v>
      </c>
      <c r="AF16" s="36" t="s">
        <v>173</v>
      </c>
    </row>
    <row r="17" spans="1:32">
      <c r="A17" s="10">
        <v>16</v>
      </c>
      <c r="B17" s="31">
        <v>40544</v>
      </c>
      <c r="C17" s="10">
        <v>1</v>
      </c>
      <c r="D17" s="10">
        <v>0</v>
      </c>
      <c r="E17" s="10">
        <v>1</v>
      </c>
      <c r="F17" s="10">
        <v>15</v>
      </c>
      <c r="G17" s="10" t="b">
        <v>0</v>
      </c>
      <c r="H17" s="10">
        <v>6</v>
      </c>
      <c r="I17" s="10">
        <v>2</v>
      </c>
      <c r="J17" s="10">
        <v>0.44</v>
      </c>
      <c r="K17" s="10">
        <v>0.43940000000000001</v>
      </c>
      <c r="L17" s="10">
        <v>0.77</v>
      </c>
      <c r="M17" s="10">
        <v>0.29849999999999999</v>
      </c>
      <c r="N17" s="10">
        <v>40</v>
      </c>
      <c r="O17" s="10">
        <v>70</v>
      </c>
      <c r="P17" s="10">
        <v>110</v>
      </c>
      <c r="Q17" s="12" t="s">
        <v>78</v>
      </c>
      <c r="R17" s="13" t="s">
        <v>79</v>
      </c>
      <c r="S17" s="10" t="s">
        <v>80</v>
      </c>
      <c r="T17" s="11" t="s">
        <v>88</v>
      </c>
      <c r="U17" s="13" t="s">
        <v>94</v>
      </c>
      <c r="V17" s="13" t="s">
        <v>93</v>
      </c>
      <c r="W17" s="13" t="s">
        <v>90</v>
      </c>
      <c r="X17" s="10" t="s">
        <v>85</v>
      </c>
      <c r="Y17" s="12" t="s">
        <v>86</v>
      </c>
      <c r="Z17">
        <f t="shared" si="0"/>
        <v>670</v>
      </c>
      <c r="AA17" s="39">
        <f t="shared" si="2"/>
        <v>62.404040404040401</v>
      </c>
      <c r="AB17" s="39">
        <f t="shared" si="3"/>
        <v>1855.6120794677825</v>
      </c>
      <c r="AC17">
        <f t="shared" si="6"/>
        <v>0.99962678473477973</v>
      </c>
      <c r="AD17">
        <f t="shared" si="4"/>
        <v>0.99950021474686446</v>
      </c>
      <c r="AE17">
        <f t="shared" si="5"/>
        <v>42435</v>
      </c>
      <c r="AF17" s="21" t="s">
        <v>174</v>
      </c>
    </row>
    <row r="18" spans="1:32">
      <c r="A18" s="9">
        <v>17</v>
      </c>
      <c r="B18" s="30">
        <v>40544</v>
      </c>
      <c r="C18" s="9">
        <v>1</v>
      </c>
      <c r="D18" s="9">
        <v>0</v>
      </c>
      <c r="E18" s="9">
        <v>1</v>
      </c>
      <c r="F18" s="9">
        <v>16</v>
      </c>
      <c r="G18" s="9" t="b">
        <v>0</v>
      </c>
      <c r="H18" s="9">
        <v>6</v>
      </c>
      <c r="I18" s="9">
        <v>2</v>
      </c>
      <c r="J18" s="9">
        <v>0.42</v>
      </c>
      <c r="K18" s="9">
        <v>0.42420000000000002</v>
      </c>
      <c r="L18" s="9">
        <v>0.82</v>
      </c>
      <c r="M18" s="9">
        <v>0.29849999999999999</v>
      </c>
      <c r="N18" s="9">
        <v>41</v>
      </c>
      <c r="O18" s="9">
        <v>52</v>
      </c>
      <c r="P18" s="9">
        <v>93</v>
      </c>
      <c r="Q18" s="12" t="s">
        <v>78</v>
      </c>
      <c r="R18" s="13" t="s">
        <v>79</v>
      </c>
      <c r="S18" s="9" t="s">
        <v>80</v>
      </c>
      <c r="T18" s="11" t="s">
        <v>88</v>
      </c>
      <c r="U18" s="13" t="s">
        <v>94</v>
      </c>
      <c r="V18" s="13" t="s">
        <v>93</v>
      </c>
      <c r="W18" s="13" t="s">
        <v>90</v>
      </c>
      <c r="X18" s="9" t="s">
        <v>85</v>
      </c>
      <c r="Y18" s="12" t="s">
        <v>86</v>
      </c>
      <c r="Z18">
        <f t="shared" si="0"/>
        <v>670</v>
      </c>
      <c r="AA18" s="39">
        <f t="shared" si="2"/>
        <v>62.404040404040401</v>
      </c>
      <c r="AB18" s="39">
        <f t="shared" si="3"/>
        <v>1856.5547158925992</v>
      </c>
      <c r="AC18">
        <f t="shared" si="6"/>
        <v>0.99962681955914323</v>
      </c>
      <c r="AD18">
        <f t="shared" si="4"/>
        <v>0.99950036832793665</v>
      </c>
      <c r="AE18">
        <f t="shared" si="5"/>
        <v>42435</v>
      </c>
    </row>
    <row r="19" spans="1:32">
      <c r="A19" s="10">
        <v>18</v>
      </c>
      <c r="B19" s="31">
        <v>40544</v>
      </c>
      <c r="C19" s="10">
        <v>1</v>
      </c>
      <c r="D19" s="10">
        <v>0</v>
      </c>
      <c r="E19" s="10">
        <v>1</v>
      </c>
      <c r="F19" s="10">
        <v>17</v>
      </c>
      <c r="G19" s="10" t="b">
        <v>0</v>
      </c>
      <c r="H19" s="10">
        <v>6</v>
      </c>
      <c r="I19" s="10">
        <v>2</v>
      </c>
      <c r="J19" s="10">
        <v>0.44</v>
      </c>
      <c r="K19" s="10">
        <v>0.42970000000000003</v>
      </c>
      <c r="L19" s="10">
        <v>0.82</v>
      </c>
      <c r="M19" s="10">
        <v>0.28360000000000002</v>
      </c>
      <c r="N19" s="10">
        <v>15</v>
      </c>
      <c r="O19" s="10">
        <v>52</v>
      </c>
      <c r="P19" s="10">
        <v>67</v>
      </c>
      <c r="Q19" s="12" t="s">
        <v>78</v>
      </c>
      <c r="R19" s="13" t="s">
        <v>79</v>
      </c>
      <c r="S19" s="10" t="s">
        <v>80</v>
      </c>
      <c r="T19" s="11" t="s">
        <v>88</v>
      </c>
      <c r="U19" s="15" t="s">
        <v>95</v>
      </c>
      <c r="V19" s="11" t="s">
        <v>87</v>
      </c>
      <c r="W19" s="13" t="s">
        <v>90</v>
      </c>
      <c r="X19" s="10" t="s">
        <v>85</v>
      </c>
      <c r="Y19" s="12" t="s">
        <v>86</v>
      </c>
      <c r="Z19">
        <f t="shared" si="0"/>
        <v>670</v>
      </c>
      <c r="AA19" s="39">
        <f t="shared" si="2"/>
        <v>62.404040404040401</v>
      </c>
      <c r="AB19" s="39">
        <f t="shared" si="3"/>
        <v>1857.4986388090051</v>
      </c>
      <c r="AC19">
        <f t="shared" si="6"/>
        <v>0.99962692483580151</v>
      </c>
      <c r="AD19">
        <f t="shared" si="4"/>
        <v>0.99950038384663509</v>
      </c>
      <c r="AE19">
        <f t="shared" si="5"/>
        <v>42435</v>
      </c>
      <c r="AF19" s="36" t="s">
        <v>175</v>
      </c>
    </row>
    <row r="20" spans="1:32">
      <c r="A20" s="9">
        <v>19</v>
      </c>
      <c r="B20" s="30">
        <v>40544</v>
      </c>
      <c r="C20" s="9">
        <v>1</v>
      </c>
      <c r="D20" s="9">
        <v>0</v>
      </c>
      <c r="E20" s="9">
        <v>1</v>
      </c>
      <c r="F20" s="9">
        <v>18</v>
      </c>
      <c r="G20" s="9" t="b">
        <v>0</v>
      </c>
      <c r="H20" s="9">
        <v>6</v>
      </c>
      <c r="I20" s="9">
        <v>3</v>
      </c>
      <c r="J20" s="9">
        <v>0.42</v>
      </c>
      <c r="K20" s="9">
        <v>0.42420000000000002</v>
      </c>
      <c r="L20" s="9">
        <v>0.88</v>
      </c>
      <c r="M20" s="9">
        <v>0.25369999999999998</v>
      </c>
      <c r="N20" s="9">
        <v>9</v>
      </c>
      <c r="O20" s="9">
        <v>26</v>
      </c>
      <c r="P20" s="9">
        <v>35</v>
      </c>
      <c r="Q20" s="12" t="s">
        <v>78</v>
      </c>
      <c r="R20" s="13" t="s">
        <v>79</v>
      </c>
      <c r="S20" s="9" t="s">
        <v>80</v>
      </c>
      <c r="T20" s="12" t="s">
        <v>96</v>
      </c>
      <c r="U20" s="15" t="s">
        <v>95</v>
      </c>
      <c r="V20" s="11" t="s">
        <v>87</v>
      </c>
      <c r="W20" s="13" t="s">
        <v>90</v>
      </c>
      <c r="X20" s="9" t="s">
        <v>85</v>
      </c>
      <c r="Y20" s="12" t="s">
        <v>86</v>
      </c>
      <c r="Z20">
        <f t="shared" si="0"/>
        <v>670</v>
      </c>
      <c r="AA20" s="39">
        <f t="shared" si="2"/>
        <v>62.404040404040401</v>
      </c>
      <c r="AB20" s="39">
        <f t="shared" si="3"/>
        <v>1858.4434641034895</v>
      </c>
      <c r="AC20">
        <f t="shared" si="6"/>
        <v>0.99962742809338723</v>
      </c>
      <c r="AD20">
        <f t="shared" si="4"/>
        <v>0.99950041989396488</v>
      </c>
      <c r="AE20">
        <f t="shared" si="5"/>
        <v>42435</v>
      </c>
      <c r="AF20" s="21" t="s">
        <v>176</v>
      </c>
    </row>
    <row r="21" spans="1:32">
      <c r="A21" s="10">
        <v>20</v>
      </c>
      <c r="B21" s="31">
        <v>40544</v>
      </c>
      <c r="C21" s="10">
        <v>1</v>
      </c>
      <c r="D21" s="10">
        <v>0</v>
      </c>
      <c r="E21" s="10">
        <v>1</v>
      </c>
      <c r="F21" s="10">
        <v>19</v>
      </c>
      <c r="G21" s="10" t="b">
        <v>0</v>
      </c>
      <c r="H21" s="10">
        <v>6</v>
      </c>
      <c r="I21" s="10">
        <v>3</v>
      </c>
      <c r="J21" s="10">
        <v>0.42</v>
      </c>
      <c r="K21" s="10">
        <v>0.42420000000000002</v>
      </c>
      <c r="L21" s="10">
        <v>0.88</v>
      </c>
      <c r="M21" s="10">
        <v>0.25369999999999998</v>
      </c>
      <c r="N21" s="10">
        <v>6</v>
      </c>
      <c r="O21" s="10">
        <v>31</v>
      </c>
      <c r="P21" s="10">
        <v>37</v>
      </c>
      <c r="Q21" s="12" t="s">
        <v>78</v>
      </c>
      <c r="R21" s="13" t="s">
        <v>79</v>
      </c>
      <c r="S21" s="10" t="s">
        <v>80</v>
      </c>
      <c r="T21" s="12" t="s">
        <v>96</v>
      </c>
      <c r="U21" s="15" t="s">
        <v>95</v>
      </c>
      <c r="V21" s="11" t="s">
        <v>87</v>
      </c>
      <c r="W21" s="13" t="s">
        <v>90</v>
      </c>
      <c r="X21" s="10" t="s">
        <v>85</v>
      </c>
      <c r="Y21" s="12" t="s">
        <v>86</v>
      </c>
      <c r="Z21">
        <f t="shared" si="0"/>
        <v>670</v>
      </c>
      <c r="AA21" s="39">
        <f t="shared" si="2"/>
        <v>62.404040404040401</v>
      </c>
      <c r="AB21" s="39">
        <f t="shared" si="3"/>
        <v>1859.3885589336558</v>
      </c>
      <c r="AC21">
        <f t="shared" si="6"/>
        <v>0.99962848891776135</v>
      </c>
      <c r="AD21">
        <f t="shared" si="4"/>
        <v>0.99950084509167769</v>
      </c>
      <c r="AE21">
        <f t="shared" si="5"/>
        <v>42435</v>
      </c>
    </row>
    <row r="22" spans="1:32">
      <c r="A22" s="9">
        <v>21</v>
      </c>
      <c r="B22" s="30">
        <v>40544</v>
      </c>
      <c r="C22" s="9">
        <v>1</v>
      </c>
      <c r="D22" s="9">
        <v>0</v>
      </c>
      <c r="E22" s="9">
        <v>1</v>
      </c>
      <c r="F22" s="9">
        <v>20</v>
      </c>
      <c r="G22" s="9" t="b">
        <v>0</v>
      </c>
      <c r="H22" s="9">
        <v>6</v>
      </c>
      <c r="I22" s="9">
        <v>2</v>
      </c>
      <c r="J22" s="9">
        <v>0.4</v>
      </c>
      <c r="K22" s="9">
        <v>0.40910000000000002</v>
      </c>
      <c r="L22" s="9">
        <v>0.87</v>
      </c>
      <c r="M22" s="9">
        <v>0.25369999999999998</v>
      </c>
      <c r="N22" s="9">
        <v>11</v>
      </c>
      <c r="O22" s="9">
        <v>25</v>
      </c>
      <c r="P22" s="9">
        <v>36</v>
      </c>
      <c r="Q22" s="12" t="s">
        <v>78</v>
      </c>
      <c r="R22" s="13" t="s">
        <v>79</v>
      </c>
      <c r="S22" s="9" t="s">
        <v>80</v>
      </c>
      <c r="T22" s="11" t="s">
        <v>88</v>
      </c>
      <c r="U22" s="16" t="s">
        <v>97</v>
      </c>
      <c r="V22" s="11" t="s">
        <v>87</v>
      </c>
      <c r="W22" s="13" t="s">
        <v>90</v>
      </c>
      <c r="X22" s="9" t="s">
        <v>85</v>
      </c>
      <c r="Y22" s="12" t="s">
        <v>86</v>
      </c>
      <c r="Z22">
        <f t="shared" si="0"/>
        <v>670</v>
      </c>
      <c r="AA22" s="39">
        <f t="shared" si="2"/>
        <v>62.404040404040401</v>
      </c>
      <c r="AB22" s="39">
        <f t="shared" si="3"/>
        <v>1860.3351870453628</v>
      </c>
      <c r="AC22">
        <f t="shared" si="6"/>
        <v>0.99962950240864101</v>
      </c>
      <c r="AD22">
        <f t="shared" si="4"/>
        <v>0.99950124003361185</v>
      </c>
      <c r="AE22">
        <f t="shared" si="5"/>
        <v>42435</v>
      </c>
      <c r="AF22" s="36" t="s">
        <v>177</v>
      </c>
    </row>
    <row r="23" spans="1:32">
      <c r="A23" s="10">
        <v>22</v>
      </c>
      <c r="B23" s="31">
        <v>40544</v>
      </c>
      <c r="C23" s="10">
        <v>1</v>
      </c>
      <c r="D23" s="10">
        <v>0</v>
      </c>
      <c r="E23" s="10">
        <v>1</v>
      </c>
      <c r="F23" s="10">
        <v>21</v>
      </c>
      <c r="G23" s="10" t="b">
        <v>0</v>
      </c>
      <c r="H23" s="10">
        <v>6</v>
      </c>
      <c r="I23" s="10">
        <v>2</v>
      </c>
      <c r="J23" s="10">
        <v>0.4</v>
      </c>
      <c r="K23" s="10">
        <v>0.40910000000000002</v>
      </c>
      <c r="L23" s="10">
        <v>0.87</v>
      </c>
      <c r="M23" s="10">
        <v>0.19400000000000001</v>
      </c>
      <c r="N23" s="10">
        <v>3</v>
      </c>
      <c r="O23" s="10">
        <v>31</v>
      </c>
      <c r="P23" s="10">
        <v>34</v>
      </c>
      <c r="Q23" s="12" t="s">
        <v>78</v>
      </c>
      <c r="R23" s="13" t="s">
        <v>79</v>
      </c>
      <c r="S23" s="10" t="s">
        <v>80</v>
      </c>
      <c r="T23" s="11" t="s">
        <v>88</v>
      </c>
      <c r="U23" s="16" t="s">
        <v>97</v>
      </c>
      <c r="V23" s="11" t="s">
        <v>87</v>
      </c>
      <c r="W23" s="13" t="s">
        <v>90</v>
      </c>
      <c r="X23" s="10" t="s">
        <v>85</v>
      </c>
      <c r="Y23" s="12" t="s">
        <v>86</v>
      </c>
      <c r="Z23">
        <f t="shared" si="0"/>
        <v>670</v>
      </c>
      <c r="AA23" s="39">
        <f t="shared" si="2"/>
        <v>62.404040404040401</v>
      </c>
      <c r="AB23" s="39">
        <f t="shared" si="3"/>
        <v>1861.2832176601196</v>
      </c>
      <c r="AC23">
        <f t="shared" si="6"/>
        <v>0.99963040693423111</v>
      </c>
      <c r="AD23">
        <f t="shared" si="4"/>
        <v>0.99950163574725559</v>
      </c>
      <c r="AE23">
        <f t="shared" si="5"/>
        <v>42435</v>
      </c>
      <c r="AF23" t="s">
        <v>178</v>
      </c>
    </row>
    <row r="24" spans="1:32">
      <c r="A24" s="9">
        <v>23</v>
      </c>
      <c r="B24" s="30">
        <v>40544</v>
      </c>
      <c r="C24" s="9">
        <v>1</v>
      </c>
      <c r="D24" s="9">
        <v>0</v>
      </c>
      <c r="E24" s="9">
        <v>1</v>
      </c>
      <c r="F24" s="9">
        <v>22</v>
      </c>
      <c r="G24" s="9" t="b">
        <v>0</v>
      </c>
      <c r="H24" s="9">
        <v>6</v>
      </c>
      <c r="I24" s="9">
        <v>2</v>
      </c>
      <c r="J24" s="9">
        <v>0.4</v>
      </c>
      <c r="K24" s="9">
        <v>0.40910000000000002</v>
      </c>
      <c r="L24" s="9">
        <v>0.94</v>
      </c>
      <c r="M24" s="9">
        <v>0.22389999999999999</v>
      </c>
      <c r="N24" s="9">
        <v>11</v>
      </c>
      <c r="O24" s="9">
        <v>17</v>
      </c>
      <c r="P24" s="9">
        <v>28</v>
      </c>
      <c r="Q24" s="12" t="s">
        <v>78</v>
      </c>
      <c r="R24" s="13" t="s">
        <v>79</v>
      </c>
      <c r="S24" s="9" t="s">
        <v>80</v>
      </c>
      <c r="T24" s="11" t="s">
        <v>88</v>
      </c>
      <c r="U24" s="16" t="s">
        <v>97</v>
      </c>
      <c r="V24" s="12" t="s">
        <v>83</v>
      </c>
      <c r="W24" s="13" t="s">
        <v>90</v>
      </c>
      <c r="X24" s="9" t="s">
        <v>85</v>
      </c>
      <c r="Y24" s="12" t="s">
        <v>86</v>
      </c>
      <c r="Z24">
        <f t="shared" si="0"/>
        <v>670</v>
      </c>
      <c r="AA24" s="39">
        <f t="shared" si="2"/>
        <v>62.404040404040401</v>
      </c>
      <c r="AB24" s="39">
        <f t="shared" si="3"/>
        <v>1862.2326077723194</v>
      </c>
      <c r="AC24">
        <f t="shared" si="6"/>
        <v>0.99963136015335885</v>
      </c>
      <c r="AD24">
        <f t="shared" si="4"/>
        <v>0.99950206345686443</v>
      </c>
      <c r="AE24">
        <f t="shared" si="5"/>
        <v>42435</v>
      </c>
    </row>
    <row r="25" spans="1:32">
      <c r="A25" s="10">
        <v>24</v>
      </c>
      <c r="B25" s="31">
        <v>40544</v>
      </c>
      <c r="C25" s="10">
        <v>1</v>
      </c>
      <c r="D25" s="10">
        <v>0</v>
      </c>
      <c r="E25" s="10">
        <v>1</v>
      </c>
      <c r="F25" s="10">
        <v>23</v>
      </c>
      <c r="G25" s="10" t="b">
        <v>0</v>
      </c>
      <c r="H25" s="10">
        <v>6</v>
      </c>
      <c r="I25" s="10">
        <v>2</v>
      </c>
      <c r="J25" s="10">
        <v>0.46</v>
      </c>
      <c r="K25" s="10">
        <v>0.44840000000000002</v>
      </c>
      <c r="L25" s="10">
        <v>0.88</v>
      </c>
      <c r="M25" s="10">
        <v>0.29849999999999999</v>
      </c>
      <c r="N25" s="10">
        <v>15</v>
      </c>
      <c r="O25" s="10">
        <v>24</v>
      </c>
      <c r="P25" s="10">
        <v>39</v>
      </c>
      <c r="Q25" s="12" t="s">
        <v>78</v>
      </c>
      <c r="R25" s="13" t="s">
        <v>79</v>
      </c>
      <c r="S25" s="10" t="s">
        <v>80</v>
      </c>
      <c r="T25" s="11" t="s">
        <v>88</v>
      </c>
      <c r="U25" s="16" t="s">
        <v>97</v>
      </c>
      <c r="V25" s="11" t="s">
        <v>87</v>
      </c>
      <c r="W25" s="13" t="s">
        <v>90</v>
      </c>
      <c r="X25" s="10" t="s">
        <v>85</v>
      </c>
      <c r="Y25" s="12" t="s">
        <v>86</v>
      </c>
      <c r="Z25">
        <f t="shared" si="0"/>
        <v>670</v>
      </c>
      <c r="AA25" s="39">
        <f t="shared" si="2"/>
        <v>62.404040404040401</v>
      </c>
      <c r="AB25" s="39">
        <f t="shared" si="3"/>
        <v>1863.1831645179554</v>
      </c>
      <c r="AC25">
        <f t="shared" si="6"/>
        <v>0.99963246308048082</v>
      </c>
      <c r="AD25">
        <f t="shared" si="4"/>
        <v>0.99950272402585627</v>
      </c>
      <c r="AE25">
        <f t="shared" si="5"/>
        <v>42435</v>
      </c>
      <c r="AF25" s="36" t="s">
        <v>179</v>
      </c>
    </row>
    <row r="26" spans="1:32">
      <c r="A26" s="9">
        <v>25</v>
      </c>
      <c r="B26" s="30">
        <v>40545</v>
      </c>
      <c r="C26" s="9">
        <v>1</v>
      </c>
      <c r="D26" s="9">
        <v>0</v>
      </c>
      <c r="E26" s="9">
        <v>1</v>
      </c>
      <c r="F26" s="9">
        <v>0</v>
      </c>
      <c r="G26" s="9" t="b">
        <v>0</v>
      </c>
      <c r="H26" s="9">
        <v>0</v>
      </c>
      <c r="I26" s="9">
        <v>2</v>
      </c>
      <c r="J26" s="9">
        <v>0.46</v>
      </c>
      <c r="K26" s="9">
        <v>0.45450000000000002</v>
      </c>
      <c r="L26" s="9">
        <v>0.88</v>
      </c>
      <c r="M26" s="9">
        <v>0.29849999999999999</v>
      </c>
      <c r="N26" s="9">
        <v>4</v>
      </c>
      <c r="O26" s="9">
        <v>13</v>
      </c>
      <c r="P26" s="9">
        <v>17</v>
      </c>
      <c r="Q26" s="12" t="s">
        <v>78</v>
      </c>
      <c r="R26" s="13" t="s">
        <v>79</v>
      </c>
      <c r="S26" s="9" t="s">
        <v>80</v>
      </c>
      <c r="T26" s="11" t="s">
        <v>88</v>
      </c>
      <c r="U26" s="14" t="s">
        <v>82</v>
      </c>
      <c r="V26" s="12" t="s">
        <v>83</v>
      </c>
      <c r="W26" s="13" t="s">
        <v>90</v>
      </c>
      <c r="X26" s="9" t="s">
        <v>85</v>
      </c>
      <c r="Y26" s="12" t="s">
        <v>86</v>
      </c>
      <c r="Z26">
        <f t="shared" si="0"/>
        <v>670</v>
      </c>
      <c r="AA26" s="39">
        <f t="shared" si="2"/>
        <v>62.404040404040401</v>
      </c>
      <c r="AB26" s="39">
        <f t="shared" si="3"/>
        <v>1864.135691352978</v>
      </c>
      <c r="AC26">
        <f t="shared" si="6"/>
        <v>0.9996337268167651</v>
      </c>
      <c r="AD26">
        <f t="shared" si="4"/>
        <v>0.99950309240033386</v>
      </c>
      <c r="AE26">
        <f t="shared" si="5"/>
        <v>42435</v>
      </c>
      <c r="AF26" t="s">
        <v>180</v>
      </c>
    </row>
    <row r="27" spans="1:32">
      <c r="A27" s="10">
        <v>26</v>
      </c>
      <c r="B27" s="31">
        <v>40545</v>
      </c>
      <c r="C27" s="10">
        <v>1</v>
      </c>
      <c r="D27" s="10">
        <v>0</v>
      </c>
      <c r="E27" s="10">
        <v>1</v>
      </c>
      <c r="F27" s="10">
        <v>1</v>
      </c>
      <c r="G27" s="10" t="b">
        <v>0</v>
      </c>
      <c r="H27" s="10">
        <v>0</v>
      </c>
      <c r="I27" s="10">
        <v>2</v>
      </c>
      <c r="J27" s="10">
        <v>0.44</v>
      </c>
      <c r="K27" s="10">
        <v>0.43940000000000001</v>
      </c>
      <c r="L27" s="10">
        <v>0.94</v>
      </c>
      <c r="M27" s="10">
        <v>0.25369999999999998</v>
      </c>
      <c r="N27" s="10">
        <v>1</v>
      </c>
      <c r="O27" s="10">
        <v>16</v>
      </c>
      <c r="P27" s="10">
        <v>17</v>
      </c>
      <c r="Q27" s="12" t="s">
        <v>78</v>
      </c>
      <c r="R27" s="13" t="s">
        <v>79</v>
      </c>
      <c r="S27" s="10" t="s">
        <v>80</v>
      </c>
      <c r="T27" s="11" t="s">
        <v>88</v>
      </c>
      <c r="U27" s="14" t="s">
        <v>82</v>
      </c>
      <c r="V27" s="12" t="s">
        <v>83</v>
      </c>
      <c r="W27" s="13" t="s">
        <v>90</v>
      </c>
      <c r="X27" s="10" t="s">
        <v>85</v>
      </c>
      <c r="Y27" s="12" t="s">
        <v>86</v>
      </c>
      <c r="Z27">
        <f t="shared" si="0"/>
        <v>670</v>
      </c>
      <c r="AA27" s="39">
        <f t="shared" si="2"/>
        <v>62.404040404040401</v>
      </c>
      <c r="AB27" s="39">
        <f t="shared" si="3"/>
        <v>1865.0885864541565</v>
      </c>
      <c r="AC27">
        <f t="shared" si="6"/>
        <v>0.99963566593551612</v>
      </c>
      <c r="AD27">
        <f t="shared" si="4"/>
        <v>0.99950385764623662</v>
      </c>
      <c r="AE27">
        <f t="shared" si="5"/>
        <v>42435</v>
      </c>
    </row>
    <row r="28" spans="1:32">
      <c r="A28" s="9">
        <v>27</v>
      </c>
      <c r="B28" s="30">
        <v>40545</v>
      </c>
      <c r="C28" s="9">
        <v>1</v>
      </c>
      <c r="D28" s="9">
        <v>0</v>
      </c>
      <c r="E28" s="9">
        <v>1</v>
      </c>
      <c r="F28" s="9">
        <v>2</v>
      </c>
      <c r="G28" s="9" t="b">
        <v>0</v>
      </c>
      <c r="H28" s="9">
        <v>0</v>
      </c>
      <c r="I28" s="9">
        <v>2</v>
      </c>
      <c r="J28" s="9">
        <v>0.42</v>
      </c>
      <c r="K28" s="9">
        <v>0.42420000000000002</v>
      </c>
      <c r="L28" s="9">
        <v>1</v>
      </c>
      <c r="M28" s="9">
        <v>0.28360000000000002</v>
      </c>
      <c r="N28" s="9">
        <v>1</v>
      </c>
      <c r="O28" s="9">
        <v>8</v>
      </c>
      <c r="P28" s="9">
        <v>9</v>
      </c>
      <c r="Q28" s="12" t="s">
        <v>78</v>
      </c>
      <c r="R28" s="13" t="s">
        <v>79</v>
      </c>
      <c r="S28" s="9" t="s">
        <v>80</v>
      </c>
      <c r="T28" s="11" t="s">
        <v>88</v>
      </c>
      <c r="U28" s="14" t="s">
        <v>82</v>
      </c>
      <c r="V28" s="12" t="s">
        <v>83</v>
      </c>
      <c r="W28" s="13" t="s">
        <v>90</v>
      </c>
      <c r="X28" s="9" t="s">
        <v>85</v>
      </c>
      <c r="Y28" s="12" t="s">
        <v>86</v>
      </c>
      <c r="Z28">
        <f t="shared" si="0"/>
        <v>670</v>
      </c>
      <c r="AA28" s="39">
        <f t="shared" si="2"/>
        <v>62.404040404040401</v>
      </c>
      <c r="AB28" s="39">
        <f t="shared" si="3"/>
        <v>1866.042944321237</v>
      </c>
      <c r="AC28">
        <f t="shared" si="6"/>
        <v>0.99963742189631433</v>
      </c>
      <c r="AD28">
        <f t="shared" si="4"/>
        <v>0.99950475769988889</v>
      </c>
      <c r="AE28">
        <f t="shared" si="5"/>
        <v>42435</v>
      </c>
      <c r="AF28" s="36" t="s">
        <v>181</v>
      </c>
    </row>
    <row r="29" spans="1:32">
      <c r="A29" s="10">
        <v>28</v>
      </c>
      <c r="B29" s="31">
        <v>40545</v>
      </c>
      <c r="C29" s="10">
        <v>1</v>
      </c>
      <c r="D29" s="10">
        <v>0</v>
      </c>
      <c r="E29" s="10">
        <v>1</v>
      </c>
      <c r="F29" s="10">
        <v>3</v>
      </c>
      <c r="G29" s="10" t="b">
        <v>0</v>
      </c>
      <c r="H29" s="10">
        <v>0</v>
      </c>
      <c r="I29" s="10">
        <v>2</v>
      </c>
      <c r="J29" s="10">
        <v>0.46</v>
      </c>
      <c r="K29" s="10">
        <v>0.45450000000000002</v>
      </c>
      <c r="L29" s="10">
        <v>0.94</v>
      </c>
      <c r="M29" s="10">
        <v>0.19400000000000001</v>
      </c>
      <c r="N29" s="10">
        <v>2</v>
      </c>
      <c r="O29" s="10">
        <v>4</v>
      </c>
      <c r="P29" s="10">
        <v>6</v>
      </c>
      <c r="Q29" s="12" t="s">
        <v>78</v>
      </c>
      <c r="R29" s="13" t="s">
        <v>79</v>
      </c>
      <c r="S29" s="10" t="s">
        <v>80</v>
      </c>
      <c r="T29" s="11" t="s">
        <v>88</v>
      </c>
      <c r="U29" s="14" t="s">
        <v>82</v>
      </c>
      <c r="V29" s="12" t="s">
        <v>83</v>
      </c>
      <c r="W29" s="13" t="s">
        <v>90</v>
      </c>
      <c r="X29" s="10" t="s">
        <v>85</v>
      </c>
      <c r="Y29" s="12" t="s">
        <v>86</v>
      </c>
      <c r="Z29">
        <f t="shared" si="0"/>
        <v>670</v>
      </c>
      <c r="AA29" s="39">
        <f t="shared" si="2"/>
        <v>62.404040404040401</v>
      </c>
      <c r="AB29" s="39">
        <f t="shared" si="3"/>
        <v>1866.9983033837177</v>
      </c>
      <c r="AC29">
        <f t="shared" si="6"/>
        <v>0.99963925745569138</v>
      </c>
      <c r="AD29">
        <f t="shared" si="4"/>
        <v>0.99950601180814913</v>
      </c>
      <c r="AE29">
        <f t="shared" si="5"/>
        <v>42435</v>
      </c>
      <c r="AF29" t="s">
        <v>182</v>
      </c>
    </row>
    <row r="30" spans="1:32">
      <c r="A30" s="9">
        <v>29</v>
      </c>
      <c r="B30" s="30">
        <v>40545</v>
      </c>
      <c r="C30" s="9">
        <v>1</v>
      </c>
      <c r="D30" s="9">
        <v>0</v>
      </c>
      <c r="E30" s="9">
        <v>1</v>
      </c>
      <c r="F30" s="9">
        <v>4</v>
      </c>
      <c r="G30" s="9" t="b">
        <v>0</v>
      </c>
      <c r="H30" s="9">
        <v>0</v>
      </c>
      <c r="I30" s="9">
        <v>2</v>
      </c>
      <c r="J30" s="9">
        <v>0.46</v>
      </c>
      <c r="K30" s="9">
        <v>0.44840000000000002</v>
      </c>
      <c r="L30" s="9">
        <v>0.94</v>
      </c>
      <c r="M30" s="9">
        <v>0.19400000000000001</v>
      </c>
      <c r="N30" s="9">
        <v>2</v>
      </c>
      <c r="O30" s="9">
        <v>1</v>
      </c>
      <c r="P30" s="9">
        <v>3</v>
      </c>
      <c r="Q30" s="12" t="s">
        <v>78</v>
      </c>
      <c r="R30" s="13" t="s">
        <v>79</v>
      </c>
      <c r="S30" s="9" t="s">
        <v>80</v>
      </c>
      <c r="T30" s="11" t="s">
        <v>88</v>
      </c>
      <c r="U30" s="14" t="s">
        <v>82</v>
      </c>
      <c r="V30" s="12" t="s">
        <v>83</v>
      </c>
      <c r="W30" s="13" t="s">
        <v>90</v>
      </c>
      <c r="X30" s="9" t="s">
        <v>85</v>
      </c>
      <c r="Y30" s="12" t="s">
        <v>86</v>
      </c>
      <c r="Z30">
        <f t="shared" si="0"/>
        <v>670</v>
      </c>
      <c r="AA30" s="39">
        <f t="shared" si="2"/>
        <v>62.404040404040401</v>
      </c>
      <c r="AB30" s="39">
        <f t="shared" si="3"/>
        <v>1867.9549474138682</v>
      </c>
      <c r="AC30">
        <f t="shared" si="6"/>
        <v>0.99964159932408958</v>
      </c>
      <c r="AD30">
        <f t="shared" si="4"/>
        <v>0.99950718782426673</v>
      </c>
      <c r="AE30">
        <f t="shared" si="5"/>
        <v>42435</v>
      </c>
    </row>
    <row r="31" spans="1:32">
      <c r="A31" s="10">
        <v>30</v>
      </c>
      <c r="B31" s="31">
        <v>40545</v>
      </c>
      <c r="C31" s="10">
        <v>1</v>
      </c>
      <c r="D31" s="10">
        <v>0</v>
      </c>
      <c r="E31" s="10">
        <v>1</v>
      </c>
      <c r="F31" s="10">
        <v>6</v>
      </c>
      <c r="G31" s="10" t="b">
        <v>0</v>
      </c>
      <c r="H31" s="10">
        <v>0</v>
      </c>
      <c r="I31" s="10">
        <v>3</v>
      </c>
      <c r="J31" s="10">
        <v>0.42</v>
      </c>
      <c r="K31" s="10">
        <v>0.42420000000000002</v>
      </c>
      <c r="L31" s="10">
        <v>0.77</v>
      </c>
      <c r="M31" s="10">
        <v>0.29849999999999999</v>
      </c>
      <c r="N31" s="10">
        <v>0</v>
      </c>
      <c r="O31" s="10">
        <v>2</v>
      </c>
      <c r="P31" s="10">
        <v>2</v>
      </c>
      <c r="Q31" s="12" t="s">
        <v>78</v>
      </c>
      <c r="R31" s="13" t="s">
        <v>79</v>
      </c>
      <c r="S31" s="10" t="s">
        <v>80</v>
      </c>
      <c r="T31" s="12" t="s">
        <v>96</v>
      </c>
      <c r="U31" s="15" t="s">
        <v>89</v>
      </c>
      <c r="V31" s="12" t="s">
        <v>83</v>
      </c>
      <c r="W31" s="13" t="s">
        <v>90</v>
      </c>
      <c r="X31" s="10" t="s">
        <v>85</v>
      </c>
      <c r="Y31" s="12" t="s">
        <v>86</v>
      </c>
      <c r="Z31">
        <f t="shared" si="0"/>
        <v>670</v>
      </c>
      <c r="AA31" s="39">
        <f t="shared" si="2"/>
        <v>62.404040404040401</v>
      </c>
      <c r="AB31" s="39">
        <f t="shared" si="3"/>
        <v>1868.912874359424</v>
      </c>
      <c r="AC31">
        <f t="shared" si="6"/>
        <v>0.99964405898986775</v>
      </c>
      <c r="AD31">
        <f t="shared" si="4"/>
        <v>0.99950844670417927</v>
      </c>
      <c r="AE31">
        <f t="shared" si="5"/>
        <v>42435</v>
      </c>
    </row>
    <row r="32" spans="1:32">
      <c r="A32" s="9">
        <v>31</v>
      </c>
      <c r="B32" s="30">
        <v>40545</v>
      </c>
      <c r="C32" s="9">
        <v>1</v>
      </c>
      <c r="D32" s="9">
        <v>0</v>
      </c>
      <c r="E32" s="9">
        <v>1</v>
      </c>
      <c r="F32" s="9">
        <v>7</v>
      </c>
      <c r="G32" s="9" t="b">
        <v>0</v>
      </c>
      <c r="H32" s="9">
        <v>0</v>
      </c>
      <c r="I32" s="9">
        <v>2</v>
      </c>
      <c r="J32" s="9">
        <v>0.4</v>
      </c>
      <c r="K32" s="9">
        <v>0.40910000000000002</v>
      </c>
      <c r="L32" s="9">
        <v>0.76</v>
      </c>
      <c r="M32" s="9">
        <v>0.19400000000000001</v>
      </c>
      <c r="N32" s="9">
        <v>0</v>
      </c>
      <c r="O32" s="9">
        <v>1</v>
      </c>
      <c r="P32" s="9">
        <v>1</v>
      </c>
      <c r="Q32" s="12" t="s">
        <v>78</v>
      </c>
      <c r="R32" s="13" t="s">
        <v>79</v>
      </c>
      <c r="S32" s="9" t="s">
        <v>80</v>
      </c>
      <c r="T32" s="11" t="s">
        <v>88</v>
      </c>
      <c r="U32" s="15" t="s">
        <v>89</v>
      </c>
      <c r="V32" s="12" t="s">
        <v>83</v>
      </c>
      <c r="W32" s="13" t="s">
        <v>90</v>
      </c>
      <c r="X32" s="9" t="s">
        <v>85</v>
      </c>
      <c r="Y32" s="12" t="s">
        <v>86</v>
      </c>
      <c r="Z32">
        <f t="shared" si="0"/>
        <v>670</v>
      </c>
      <c r="AA32" s="39">
        <f t="shared" si="2"/>
        <v>62.404040404040401</v>
      </c>
      <c r="AB32" s="39">
        <f t="shared" si="3"/>
        <v>1869.8722122907122</v>
      </c>
      <c r="AC32">
        <f t="shared" si="6"/>
        <v>0.99964614540171415</v>
      </c>
      <c r="AD32">
        <f t="shared" si="4"/>
        <v>0.99950930859244391</v>
      </c>
      <c r="AE32">
        <f t="shared" si="5"/>
        <v>42435</v>
      </c>
    </row>
    <row r="33" spans="1:31">
      <c r="A33" s="10">
        <v>32</v>
      </c>
      <c r="B33" s="31">
        <v>40545</v>
      </c>
      <c r="C33" s="10">
        <v>1</v>
      </c>
      <c r="D33" s="10">
        <v>0</v>
      </c>
      <c r="E33" s="10">
        <v>1</v>
      </c>
      <c r="F33" s="10">
        <v>8</v>
      </c>
      <c r="G33" s="10" t="b">
        <v>0</v>
      </c>
      <c r="H33" s="10">
        <v>0</v>
      </c>
      <c r="I33" s="10">
        <v>3</v>
      </c>
      <c r="J33" s="10">
        <v>0.4</v>
      </c>
      <c r="K33" s="10">
        <v>0.40910000000000002</v>
      </c>
      <c r="L33" s="10">
        <v>0.71</v>
      </c>
      <c r="M33" s="10">
        <v>0.22389999999999999</v>
      </c>
      <c r="N33" s="10">
        <v>0</v>
      </c>
      <c r="O33" s="10">
        <v>8</v>
      </c>
      <c r="P33" s="10">
        <v>8</v>
      </c>
      <c r="Q33" s="12" t="s">
        <v>78</v>
      </c>
      <c r="R33" s="13" t="s">
        <v>79</v>
      </c>
      <c r="S33" s="10" t="s">
        <v>80</v>
      </c>
      <c r="T33" s="12" t="s">
        <v>96</v>
      </c>
      <c r="U33" s="15" t="s">
        <v>89</v>
      </c>
      <c r="V33" s="12" t="s">
        <v>83</v>
      </c>
      <c r="W33" s="13" t="s">
        <v>90</v>
      </c>
      <c r="X33" s="10" t="s">
        <v>85</v>
      </c>
      <c r="Y33" s="12" t="s">
        <v>86</v>
      </c>
      <c r="Z33">
        <f t="shared" si="0"/>
        <v>670</v>
      </c>
      <c r="AA33" s="39">
        <f t="shared" si="2"/>
        <v>62.404040404040401</v>
      </c>
      <c r="AB33" s="39">
        <f t="shared" si="3"/>
        <v>1870.8329641469643</v>
      </c>
      <c r="AC33">
        <f t="shared" si="6"/>
        <v>0.99964807541629341</v>
      </c>
      <c r="AD33">
        <f t="shared" si="4"/>
        <v>0.99951017221345295</v>
      </c>
      <c r="AE33">
        <f t="shared" si="5"/>
        <v>42435</v>
      </c>
    </row>
    <row r="34" spans="1:31">
      <c r="A34" s="9">
        <v>33</v>
      </c>
      <c r="B34" s="30">
        <v>40545</v>
      </c>
      <c r="C34" s="9">
        <v>1</v>
      </c>
      <c r="D34" s="9">
        <v>0</v>
      </c>
      <c r="E34" s="9">
        <v>1</v>
      </c>
      <c r="F34" s="9">
        <v>9</v>
      </c>
      <c r="G34" s="9" t="b">
        <v>0</v>
      </c>
      <c r="H34" s="9">
        <v>0</v>
      </c>
      <c r="I34" s="9">
        <v>2</v>
      </c>
      <c r="J34" s="9">
        <v>0.38</v>
      </c>
      <c r="K34" s="9">
        <v>0.3735</v>
      </c>
      <c r="L34" s="9">
        <v>0.76</v>
      </c>
      <c r="M34" s="9">
        <v>0.22389999999999999</v>
      </c>
      <c r="N34" s="9">
        <v>1</v>
      </c>
      <c r="O34" s="9">
        <v>19</v>
      </c>
      <c r="P34" s="9">
        <v>20</v>
      </c>
      <c r="Q34" s="12" t="s">
        <v>78</v>
      </c>
      <c r="R34" s="13" t="s">
        <v>79</v>
      </c>
      <c r="S34" s="9" t="s">
        <v>80</v>
      </c>
      <c r="T34" s="11" t="s">
        <v>88</v>
      </c>
      <c r="U34" s="15" t="s">
        <v>89</v>
      </c>
      <c r="V34" s="12" t="s">
        <v>83</v>
      </c>
      <c r="W34" s="13" t="s">
        <v>90</v>
      </c>
      <c r="X34" s="9" t="s">
        <v>85</v>
      </c>
      <c r="Y34" s="12" t="s">
        <v>86</v>
      </c>
      <c r="Z34">
        <f t="shared" si="0"/>
        <v>670</v>
      </c>
      <c r="AA34" s="39">
        <f t="shared" si="2"/>
        <v>62.404040404040401</v>
      </c>
      <c r="AB34" s="39">
        <f t="shared" si="3"/>
        <v>1871.7956417843186</v>
      </c>
      <c r="AC34">
        <f t="shared" si="6"/>
        <v>0.99964978017509143</v>
      </c>
      <c r="AD34">
        <f t="shared" si="4"/>
        <v>0.99951078743332744</v>
      </c>
      <c r="AE34">
        <f t="shared" si="5"/>
        <v>42435</v>
      </c>
    </row>
    <row r="35" spans="1:31">
      <c r="A35" s="10">
        <v>34</v>
      </c>
      <c r="B35" s="31">
        <v>40545</v>
      </c>
      <c r="C35" s="10">
        <v>1</v>
      </c>
      <c r="D35" s="10">
        <v>0</v>
      </c>
      <c r="E35" s="10">
        <v>1</v>
      </c>
      <c r="F35" s="10">
        <v>10</v>
      </c>
      <c r="G35" s="10" t="b">
        <v>0</v>
      </c>
      <c r="H35" s="10">
        <v>0</v>
      </c>
      <c r="I35" s="10">
        <v>2</v>
      </c>
      <c r="J35" s="10">
        <v>0.36</v>
      </c>
      <c r="K35" s="10">
        <v>0.34849999999999998</v>
      </c>
      <c r="L35" s="10">
        <v>0.81</v>
      </c>
      <c r="M35" s="10">
        <v>0.22389999999999999</v>
      </c>
      <c r="N35" s="10">
        <v>7</v>
      </c>
      <c r="O35" s="10">
        <v>46</v>
      </c>
      <c r="P35" s="10">
        <v>53</v>
      </c>
      <c r="Q35" s="12" t="s">
        <v>78</v>
      </c>
      <c r="R35" s="13" t="s">
        <v>79</v>
      </c>
      <c r="S35" s="10" t="s">
        <v>80</v>
      </c>
      <c r="T35" s="11" t="s">
        <v>88</v>
      </c>
      <c r="U35" s="13" t="s">
        <v>91</v>
      </c>
      <c r="V35" s="11" t="s">
        <v>87</v>
      </c>
      <c r="W35" s="13" t="s">
        <v>90</v>
      </c>
      <c r="X35" s="10" t="s">
        <v>85</v>
      </c>
      <c r="Y35" s="12" t="s">
        <v>86</v>
      </c>
      <c r="Z35">
        <f t="shared" si="0"/>
        <v>670</v>
      </c>
      <c r="AA35" s="39">
        <f t="shared" si="2"/>
        <v>62.404040404040401</v>
      </c>
      <c r="AB35" s="39">
        <f t="shared" si="3"/>
        <v>1872.7605052221493</v>
      </c>
      <c r="AC35">
        <f t="shared" si="6"/>
        <v>0.99965097357432042</v>
      </c>
      <c r="AD35">
        <f t="shared" si="4"/>
        <v>0.99951127782933413</v>
      </c>
      <c r="AE35">
        <f t="shared" si="5"/>
        <v>42435</v>
      </c>
    </row>
    <row r="36" spans="1:31">
      <c r="A36" s="9">
        <v>35</v>
      </c>
      <c r="B36" s="30">
        <v>40545</v>
      </c>
      <c r="C36" s="9">
        <v>1</v>
      </c>
      <c r="D36" s="9">
        <v>0</v>
      </c>
      <c r="E36" s="9">
        <v>1</v>
      </c>
      <c r="F36" s="9">
        <v>11</v>
      </c>
      <c r="G36" s="9" t="b">
        <v>0</v>
      </c>
      <c r="H36" s="9">
        <v>0</v>
      </c>
      <c r="I36" s="9">
        <v>2</v>
      </c>
      <c r="J36" s="9">
        <v>0.36</v>
      </c>
      <c r="K36" s="9">
        <v>0.33329999999999999</v>
      </c>
      <c r="L36" s="9">
        <v>0.71</v>
      </c>
      <c r="M36" s="9">
        <v>0.25369999999999998</v>
      </c>
      <c r="N36" s="9">
        <v>16</v>
      </c>
      <c r="O36" s="9">
        <v>54</v>
      </c>
      <c r="P36" s="9">
        <v>70</v>
      </c>
      <c r="Q36" s="12" t="s">
        <v>78</v>
      </c>
      <c r="R36" s="13" t="s">
        <v>79</v>
      </c>
      <c r="S36" s="9" t="s">
        <v>80</v>
      </c>
      <c r="T36" s="11" t="s">
        <v>88</v>
      </c>
      <c r="U36" s="13" t="s">
        <v>91</v>
      </c>
      <c r="V36" s="13" t="s">
        <v>93</v>
      </c>
      <c r="W36" s="13" t="s">
        <v>90</v>
      </c>
      <c r="X36" s="9" t="s">
        <v>85</v>
      </c>
      <c r="Y36" s="12" t="s">
        <v>86</v>
      </c>
      <c r="Z36">
        <f t="shared" si="0"/>
        <v>670</v>
      </c>
      <c r="AA36" s="39">
        <f t="shared" si="2"/>
        <v>62.404040404040401</v>
      </c>
      <c r="AB36" s="39">
        <f t="shared" si="3"/>
        <v>1873.7283745210821</v>
      </c>
      <c r="AC36">
        <f t="shared" si="6"/>
        <v>0.99965136281500255</v>
      </c>
      <c r="AD36">
        <f t="shared" si="4"/>
        <v>0.9995114081189922</v>
      </c>
      <c r="AE36">
        <f t="shared" si="5"/>
        <v>42435</v>
      </c>
    </row>
    <row r="37" spans="1:31">
      <c r="A37" s="10">
        <v>36</v>
      </c>
      <c r="B37" s="31">
        <v>40545</v>
      </c>
      <c r="C37" s="10">
        <v>1</v>
      </c>
      <c r="D37" s="10">
        <v>0</v>
      </c>
      <c r="E37" s="10">
        <v>1</v>
      </c>
      <c r="F37" s="10">
        <v>12</v>
      </c>
      <c r="G37" s="10" t="b">
        <v>0</v>
      </c>
      <c r="H37" s="10">
        <v>0</v>
      </c>
      <c r="I37" s="10">
        <v>2</v>
      </c>
      <c r="J37" s="10">
        <v>0.36</v>
      </c>
      <c r="K37" s="10">
        <v>0.33329999999999999</v>
      </c>
      <c r="L37" s="10">
        <v>0.66</v>
      </c>
      <c r="M37" s="10">
        <v>0.29849999999999999</v>
      </c>
      <c r="N37" s="10">
        <v>20</v>
      </c>
      <c r="O37" s="10">
        <v>73</v>
      </c>
      <c r="P37" s="10">
        <v>93</v>
      </c>
      <c r="Q37" s="12" t="s">
        <v>78</v>
      </c>
      <c r="R37" s="13" t="s">
        <v>79</v>
      </c>
      <c r="S37" s="10" t="s">
        <v>80</v>
      </c>
      <c r="T37" s="11" t="s">
        <v>88</v>
      </c>
      <c r="U37" s="11" t="s">
        <v>92</v>
      </c>
      <c r="V37" s="13" t="s">
        <v>93</v>
      </c>
      <c r="W37" s="13" t="s">
        <v>90</v>
      </c>
      <c r="X37" s="10" t="s">
        <v>85</v>
      </c>
      <c r="Y37" s="12" t="s">
        <v>86</v>
      </c>
      <c r="Z37">
        <f t="shared" si="0"/>
        <v>670</v>
      </c>
      <c r="AA37" s="39">
        <f t="shared" si="2"/>
        <v>62.404040404040401</v>
      </c>
      <c r="AB37" s="39">
        <f t="shared" si="3"/>
        <v>1874.6982909135866</v>
      </c>
      <c r="AC37">
        <f t="shared" si="6"/>
        <v>0.99965153757564085</v>
      </c>
      <c r="AD37">
        <f t="shared" si="4"/>
        <v>0.99951140892483414</v>
      </c>
      <c r="AE37">
        <f t="shared" si="5"/>
        <v>42435</v>
      </c>
    </row>
    <row r="38" spans="1:31">
      <c r="A38" s="9">
        <v>37</v>
      </c>
      <c r="B38" s="30">
        <v>40545</v>
      </c>
      <c r="C38" s="9">
        <v>1</v>
      </c>
      <c r="D38" s="9">
        <v>0</v>
      </c>
      <c r="E38" s="9">
        <v>1</v>
      </c>
      <c r="F38" s="9">
        <v>13</v>
      </c>
      <c r="G38" s="9" t="b">
        <v>0</v>
      </c>
      <c r="H38" s="9">
        <v>0</v>
      </c>
      <c r="I38" s="9">
        <v>2</v>
      </c>
      <c r="J38" s="9">
        <v>0.36</v>
      </c>
      <c r="K38" s="9">
        <v>0.34849999999999998</v>
      </c>
      <c r="L38" s="9">
        <v>0.66</v>
      </c>
      <c r="M38" s="9">
        <v>0.1343</v>
      </c>
      <c r="N38" s="9">
        <v>11</v>
      </c>
      <c r="O38" s="9">
        <v>64</v>
      </c>
      <c r="P38" s="9">
        <v>75</v>
      </c>
      <c r="Q38" s="12" t="s">
        <v>78</v>
      </c>
      <c r="R38" s="13" t="s">
        <v>79</v>
      </c>
      <c r="S38" s="9" t="s">
        <v>80</v>
      </c>
      <c r="T38" s="11" t="s">
        <v>88</v>
      </c>
      <c r="U38" s="11" t="s">
        <v>92</v>
      </c>
      <c r="V38" s="13" t="s">
        <v>93</v>
      </c>
      <c r="W38" s="13" t="s">
        <v>90</v>
      </c>
      <c r="X38" s="9" t="s">
        <v>85</v>
      </c>
      <c r="Y38" s="12" t="s">
        <v>86</v>
      </c>
      <c r="Z38">
        <f t="shared" si="0"/>
        <v>670</v>
      </c>
      <c r="AA38" s="39">
        <f t="shared" si="2"/>
        <v>62.404040404040401</v>
      </c>
      <c r="AB38" s="39">
        <f t="shared" si="3"/>
        <v>1875.6701986749486</v>
      </c>
      <c r="AC38">
        <f t="shared" si="6"/>
        <v>0.99965155691318197</v>
      </c>
      <c r="AD38">
        <f t="shared" si="4"/>
        <v>0.99951150259031341</v>
      </c>
      <c r="AE38">
        <f t="shared" si="5"/>
        <v>42435</v>
      </c>
    </row>
    <row r="39" spans="1:31">
      <c r="A39" s="10">
        <v>38</v>
      </c>
      <c r="B39" s="31">
        <v>40545</v>
      </c>
      <c r="C39" s="10">
        <v>1</v>
      </c>
      <c r="D39" s="10">
        <v>0</v>
      </c>
      <c r="E39" s="10">
        <v>1</v>
      </c>
      <c r="F39" s="10">
        <v>14</v>
      </c>
      <c r="G39" s="10" t="b">
        <v>0</v>
      </c>
      <c r="H39" s="10">
        <v>0</v>
      </c>
      <c r="I39" s="10">
        <v>3</v>
      </c>
      <c r="J39" s="10">
        <v>0.36</v>
      </c>
      <c r="K39" s="10">
        <v>0.35470000000000002</v>
      </c>
      <c r="L39" s="10">
        <v>0.76</v>
      </c>
      <c r="M39" s="10">
        <v>0.19400000000000001</v>
      </c>
      <c r="N39" s="10">
        <v>4</v>
      </c>
      <c r="O39" s="10">
        <v>55</v>
      </c>
      <c r="P39" s="10">
        <v>59</v>
      </c>
      <c r="Q39" s="12" t="s">
        <v>78</v>
      </c>
      <c r="R39" s="13" t="s">
        <v>79</v>
      </c>
      <c r="S39" s="10" t="s">
        <v>80</v>
      </c>
      <c r="T39" s="12" t="s">
        <v>96</v>
      </c>
      <c r="U39" s="13" t="s">
        <v>94</v>
      </c>
      <c r="V39" s="11" t="s">
        <v>87</v>
      </c>
      <c r="W39" s="13" t="s">
        <v>90</v>
      </c>
      <c r="X39" s="10" t="s">
        <v>85</v>
      </c>
      <c r="Y39" s="12" t="s">
        <v>86</v>
      </c>
      <c r="Z39">
        <f t="shared" si="0"/>
        <v>670</v>
      </c>
      <c r="AA39" s="39">
        <f t="shared" si="2"/>
        <v>62.404040404040401</v>
      </c>
      <c r="AB39" s="39">
        <f t="shared" si="3"/>
        <v>1876.643265598324</v>
      </c>
      <c r="AC39">
        <f t="shared" si="6"/>
        <v>0.99965168499550705</v>
      </c>
      <c r="AD39">
        <f t="shared" si="4"/>
        <v>0.99951151001494276</v>
      </c>
      <c r="AE39">
        <f t="shared" si="5"/>
        <v>42435</v>
      </c>
    </row>
    <row r="40" spans="1:31">
      <c r="A40" s="9">
        <v>39</v>
      </c>
      <c r="B40" s="30">
        <v>40545</v>
      </c>
      <c r="C40" s="9">
        <v>1</v>
      </c>
      <c r="D40" s="9">
        <v>0</v>
      </c>
      <c r="E40" s="9">
        <v>1</v>
      </c>
      <c r="F40" s="9">
        <v>15</v>
      </c>
      <c r="G40" s="9" t="b">
        <v>0</v>
      </c>
      <c r="H40" s="9">
        <v>0</v>
      </c>
      <c r="I40" s="9">
        <v>3</v>
      </c>
      <c r="J40" s="9">
        <v>0.34</v>
      </c>
      <c r="K40" s="9">
        <v>0.33329999999999999</v>
      </c>
      <c r="L40" s="9">
        <v>0.81</v>
      </c>
      <c r="M40" s="9">
        <v>0.16420000000000001</v>
      </c>
      <c r="N40" s="9">
        <v>19</v>
      </c>
      <c r="O40" s="9">
        <v>55</v>
      </c>
      <c r="P40" s="9">
        <v>74</v>
      </c>
      <c r="Q40" s="12" t="s">
        <v>78</v>
      </c>
      <c r="R40" s="13" t="s">
        <v>79</v>
      </c>
      <c r="S40" s="9" t="s">
        <v>80</v>
      </c>
      <c r="T40" s="12" t="s">
        <v>96</v>
      </c>
      <c r="U40" s="13" t="s">
        <v>94</v>
      </c>
      <c r="V40" s="13" t="s">
        <v>93</v>
      </c>
      <c r="W40" s="13" t="s">
        <v>90</v>
      </c>
      <c r="X40" s="9" t="s">
        <v>85</v>
      </c>
      <c r="Y40" s="12" t="s">
        <v>86</v>
      </c>
      <c r="Z40">
        <f t="shared" si="0"/>
        <v>670</v>
      </c>
      <c r="AA40" s="39">
        <f t="shared" si="2"/>
        <v>62.404040404040401</v>
      </c>
      <c r="AB40" s="39">
        <f t="shared" si="3"/>
        <v>1877.6173825294657</v>
      </c>
      <c r="AC40">
        <f t="shared" si="6"/>
        <v>0.99965199037123076</v>
      </c>
      <c r="AD40">
        <f t="shared" si="4"/>
        <v>0.99951156152809351</v>
      </c>
      <c r="AE40">
        <f t="shared" si="5"/>
        <v>42435</v>
      </c>
    </row>
    <row r="41" spans="1:31">
      <c r="A41" s="10">
        <v>40</v>
      </c>
      <c r="B41" s="31">
        <v>40545</v>
      </c>
      <c r="C41" s="10">
        <v>1</v>
      </c>
      <c r="D41" s="10">
        <v>0</v>
      </c>
      <c r="E41" s="10">
        <v>1</v>
      </c>
      <c r="F41" s="10">
        <v>16</v>
      </c>
      <c r="G41" s="10" t="b">
        <v>0</v>
      </c>
      <c r="H41" s="10">
        <v>0</v>
      </c>
      <c r="I41" s="10">
        <v>3</v>
      </c>
      <c r="J41" s="10">
        <v>0.34</v>
      </c>
      <c r="K41" s="10">
        <v>0.33329999999999999</v>
      </c>
      <c r="L41" s="10">
        <v>0.71</v>
      </c>
      <c r="M41" s="10">
        <v>0.16420000000000001</v>
      </c>
      <c r="N41" s="10">
        <v>9</v>
      </c>
      <c r="O41" s="10">
        <v>67</v>
      </c>
      <c r="P41" s="10">
        <v>76</v>
      </c>
      <c r="Q41" s="12" t="s">
        <v>78</v>
      </c>
      <c r="R41" s="13" t="s">
        <v>79</v>
      </c>
      <c r="S41" s="10" t="s">
        <v>80</v>
      </c>
      <c r="T41" s="12" t="s">
        <v>96</v>
      </c>
      <c r="U41" s="13" t="s">
        <v>94</v>
      </c>
      <c r="V41" s="13" t="s">
        <v>93</v>
      </c>
      <c r="W41" s="13" t="s">
        <v>90</v>
      </c>
      <c r="X41" s="10" t="s">
        <v>85</v>
      </c>
      <c r="Y41" s="12" t="s">
        <v>86</v>
      </c>
      <c r="Z41">
        <f t="shared" si="0"/>
        <v>670</v>
      </c>
      <c r="AA41" s="39">
        <f t="shared" si="2"/>
        <v>62.404040404040401</v>
      </c>
      <c r="AB41" s="39">
        <f t="shared" si="3"/>
        <v>1878.5934597376663</v>
      </c>
      <c r="AC41">
        <f t="shared" si="6"/>
        <v>0.99965208163994201</v>
      </c>
      <c r="AD41">
        <f t="shared" si="4"/>
        <v>0.99951157265523172</v>
      </c>
      <c r="AE41">
        <f t="shared" si="5"/>
        <v>42435</v>
      </c>
    </row>
    <row r="42" spans="1:31">
      <c r="A42" s="9">
        <v>41</v>
      </c>
      <c r="B42" s="30">
        <v>40545</v>
      </c>
      <c r="C42" s="9">
        <v>1</v>
      </c>
      <c r="D42" s="9">
        <v>0</v>
      </c>
      <c r="E42" s="9">
        <v>1</v>
      </c>
      <c r="F42" s="9">
        <v>17</v>
      </c>
      <c r="G42" s="9" t="b">
        <v>0</v>
      </c>
      <c r="H42" s="9">
        <v>0</v>
      </c>
      <c r="I42" s="9">
        <v>1</v>
      </c>
      <c r="J42" s="9">
        <v>0.34</v>
      </c>
      <c r="K42" s="9">
        <v>0.33329999999999999</v>
      </c>
      <c r="L42" s="9">
        <v>0.56999999999999995</v>
      </c>
      <c r="M42" s="9">
        <v>0.19400000000000001</v>
      </c>
      <c r="N42" s="9">
        <v>7</v>
      </c>
      <c r="O42" s="9">
        <v>58</v>
      </c>
      <c r="P42" s="9">
        <v>65</v>
      </c>
      <c r="Q42" s="12" t="s">
        <v>78</v>
      </c>
      <c r="R42" s="13" t="s">
        <v>79</v>
      </c>
      <c r="S42" s="9" t="s">
        <v>80</v>
      </c>
      <c r="T42" s="13" t="s">
        <v>81</v>
      </c>
      <c r="U42" s="15" t="s">
        <v>95</v>
      </c>
      <c r="V42" s="11" t="s">
        <v>87</v>
      </c>
      <c r="W42" s="13" t="s">
        <v>90</v>
      </c>
      <c r="X42" s="9" t="s">
        <v>85</v>
      </c>
      <c r="Y42" s="12" t="s">
        <v>86</v>
      </c>
      <c r="Z42">
        <f t="shared" si="0"/>
        <v>670</v>
      </c>
      <c r="AA42" s="39">
        <f t="shared" si="2"/>
        <v>62.404040404040401</v>
      </c>
      <c r="AB42" s="39">
        <f t="shared" si="3"/>
        <v>1879.5711103251926</v>
      </c>
      <c r="AC42">
        <f t="shared" si="6"/>
        <v>0.9996521589921854</v>
      </c>
      <c r="AD42">
        <f t="shared" si="4"/>
        <v>0.99951157389349798</v>
      </c>
      <c r="AE42">
        <f t="shared" si="5"/>
        <v>42435</v>
      </c>
    </row>
    <row r="43" spans="1:31">
      <c r="A43" s="10">
        <v>42</v>
      </c>
      <c r="B43" s="31">
        <v>40545</v>
      </c>
      <c r="C43" s="10">
        <v>1</v>
      </c>
      <c r="D43" s="10">
        <v>0</v>
      </c>
      <c r="E43" s="10">
        <v>1</v>
      </c>
      <c r="F43" s="10">
        <v>18</v>
      </c>
      <c r="G43" s="10" t="b">
        <v>0</v>
      </c>
      <c r="H43" s="10">
        <v>0</v>
      </c>
      <c r="I43" s="10">
        <v>2</v>
      </c>
      <c r="J43" s="10">
        <v>0.36</v>
      </c>
      <c r="K43" s="10">
        <v>0.33329999999999999</v>
      </c>
      <c r="L43" s="10">
        <v>0.46</v>
      </c>
      <c r="M43" s="10">
        <v>0.32840000000000003</v>
      </c>
      <c r="N43" s="10">
        <v>10</v>
      </c>
      <c r="O43" s="10">
        <v>43</v>
      </c>
      <c r="P43" s="10">
        <v>53</v>
      </c>
      <c r="Q43" s="12" t="s">
        <v>78</v>
      </c>
      <c r="R43" s="13" t="s">
        <v>79</v>
      </c>
      <c r="S43" s="10" t="s">
        <v>80</v>
      </c>
      <c r="T43" s="11" t="s">
        <v>88</v>
      </c>
      <c r="U43" s="15" t="s">
        <v>95</v>
      </c>
      <c r="V43" s="11" t="s">
        <v>87</v>
      </c>
      <c r="W43" s="13" t="s">
        <v>90</v>
      </c>
      <c r="X43" s="10" t="s">
        <v>85</v>
      </c>
      <c r="Y43" s="12" t="s">
        <v>86</v>
      </c>
      <c r="Z43">
        <f t="shared" si="0"/>
        <v>670</v>
      </c>
      <c r="AA43" s="39">
        <f t="shared" si="2"/>
        <v>62.399662731871835</v>
      </c>
      <c r="AB43" s="39">
        <f t="shared" si="3"/>
        <v>1880.5499884022472</v>
      </c>
      <c r="AC43">
        <f t="shared" si="6"/>
        <v>0.99965232877473409</v>
      </c>
      <c r="AD43">
        <f t="shared" si="4"/>
        <v>0.99951157916590927</v>
      </c>
      <c r="AE43">
        <f t="shared" si="5"/>
        <v>42435</v>
      </c>
    </row>
    <row r="44" spans="1:31">
      <c r="A44" s="9">
        <v>43</v>
      </c>
      <c r="B44" s="30">
        <v>40545</v>
      </c>
      <c r="C44" s="9">
        <v>1</v>
      </c>
      <c r="D44" s="9">
        <v>0</v>
      </c>
      <c r="E44" s="9">
        <v>1</v>
      </c>
      <c r="F44" s="9">
        <v>19</v>
      </c>
      <c r="G44" s="9" t="b">
        <v>0</v>
      </c>
      <c r="H44" s="9">
        <v>0</v>
      </c>
      <c r="I44" s="9">
        <v>1</v>
      </c>
      <c r="J44" s="9">
        <v>0.32</v>
      </c>
      <c r="K44" s="9">
        <v>0.28789999999999999</v>
      </c>
      <c r="L44" s="9">
        <v>0.42</v>
      </c>
      <c r="M44" s="9">
        <v>0.44779999999999998</v>
      </c>
      <c r="N44" s="9">
        <v>1</v>
      </c>
      <c r="O44" s="9">
        <v>29</v>
      </c>
      <c r="P44" s="9">
        <v>30</v>
      </c>
      <c r="Q44" s="12" t="s">
        <v>78</v>
      </c>
      <c r="R44" s="13" t="s">
        <v>79</v>
      </c>
      <c r="S44" s="9" t="s">
        <v>80</v>
      </c>
      <c r="T44" s="13" t="s">
        <v>81</v>
      </c>
      <c r="U44" s="15" t="s">
        <v>95</v>
      </c>
      <c r="V44" s="11" t="s">
        <v>87</v>
      </c>
      <c r="W44" s="13" t="s">
        <v>90</v>
      </c>
      <c r="X44" s="9" t="s">
        <v>85</v>
      </c>
      <c r="Y44" s="12" t="s">
        <v>86</v>
      </c>
      <c r="Z44">
        <f t="shared" si="0"/>
        <v>670</v>
      </c>
      <c r="AA44" s="39">
        <f t="shared" si="2"/>
        <v>62.399662731871835</v>
      </c>
      <c r="AB44" s="39">
        <f t="shared" si="3"/>
        <v>1881.5299925066861</v>
      </c>
      <c r="AC44">
        <f t="shared" si="6"/>
        <v>0.99965272202575628</v>
      </c>
      <c r="AD44">
        <f t="shared" si="4"/>
        <v>0.99951158256237882</v>
      </c>
      <c r="AE44">
        <f t="shared" si="5"/>
        <v>42435</v>
      </c>
    </row>
    <row r="45" spans="1:31">
      <c r="A45" s="10">
        <v>44</v>
      </c>
      <c r="B45" s="31">
        <v>40545</v>
      </c>
      <c r="C45" s="10">
        <v>1</v>
      </c>
      <c r="D45" s="10">
        <v>0</v>
      </c>
      <c r="E45" s="10">
        <v>1</v>
      </c>
      <c r="F45" s="10">
        <v>20</v>
      </c>
      <c r="G45" s="10" t="b">
        <v>0</v>
      </c>
      <c r="H45" s="10">
        <v>0</v>
      </c>
      <c r="I45" s="10">
        <v>1</v>
      </c>
      <c r="J45" s="10">
        <v>0.3</v>
      </c>
      <c r="K45" s="10">
        <v>0.29849999999999999</v>
      </c>
      <c r="L45" s="10">
        <v>0.39</v>
      </c>
      <c r="M45" s="10">
        <v>0.35820000000000002</v>
      </c>
      <c r="N45" s="10">
        <v>5</v>
      </c>
      <c r="O45" s="10">
        <v>17</v>
      </c>
      <c r="P45" s="10">
        <v>22</v>
      </c>
      <c r="Q45" s="12" t="s">
        <v>78</v>
      </c>
      <c r="R45" s="13" t="s">
        <v>79</v>
      </c>
      <c r="S45" s="10" t="s">
        <v>80</v>
      </c>
      <c r="T45" s="13" t="s">
        <v>81</v>
      </c>
      <c r="U45" s="16" t="s">
        <v>97</v>
      </c>
      <c r="V45" s="12" t="s">
        <v>83</v>
      </c>
      <c r="W45" s="13" t="s">
        <v>90</v>
      </c>
      <c r="X45" s="10" t="s">
        <v>85</v>
      </c>
      <c r="Y45" s="12" t="s">
        <v>86</v>
      </c>
      <c r="Z45">
        <f t="shared" si="0"/>
        <v>670</v>
      </c>
      <c r="AA45" s="39">
        <f t="shared" si="2"/>
        <v>62.454391891891895</v>
      </c>
      <c r="AB45" s="39">
        <f t="shared" si="3"/>
        <v>1882.5105292011142</v>
      </c>
      <c r="AC45">
        <f t="shared" si="6"/>
        <v>0.99965331404402857</v>
      </c>
      <c r="AD45">
        <f t="shared" si="4"/>
        <v>0.9995116093600438</v>
      </c>
      <c r="AE45">
        <f t="shared" si="5"/>
        <v>42435</v>
      </c>
    </row>
    <row r="46" spans="1:31">
      <c r="A46" s="9">
        <v>45</v>
      </c>
      <c r="B46" s="30">
        <v>40545</v>
      </c>
      <c r="C46" s="9">
        <v>1</v>
      </c>
      <c r="D46" s="9">
        <v>0</v>
      </c>
      <c r="E46" s="9">
        <v>1</v>
      </c>
      <c r="F46" s="9">
        <v>21</v>
      </c>
      <c r="G46" s="9" t="b">
        <v>0</v>
      </c>
      <c r="H46" s="9">
        <v>0</v>
      </c>
      <c r="I46" s="9">
        <v>1</v>
      </c>
      <c r="J46" s="9">
        <v>0.26</v>
      </c>
      <c r="K46" s="9">
        <v>0.2273</v>
      </c>
      <c r="L46" s="9">
        <v>0.44</v>
      </c>
      <c r="M46" s="9">
        <v>0.32840000000000003</v>
      </c>
      <c r="N46" s="9">
        <v>11</v>
      </c>
      <c r="O46" s="9">
        <v>20</v>
      </c>
      <c r="P46" s="9">
        <v>31</v>
      </c>
      <c r="Q46" s="12" t="s">
        <v>78</v>
      </c>
      <c r="R46" s="13" t="s">
        <v>79</v>
      </c>
      <c r="S46" s="9" t="s">
        <v>80</v>
      </c>
      <c r="T46" s="13" t="s">
        <v>81</v>
      </c>
      <c r="U46" s="16" t="s">
        <v>97</v>
      </c>
      <c r="V46" s="11" t="s">
        <v>87</v>
      </c>
      <c r="W46" s="13" t="s">
        <v>90</v>
      </c>
      <c r="X46" s="9" t="s">
        <v>85</v>
      </c>
      <c r="Y46" s="12" t="s">
        <v>86</v>
      </c>
      <c r="Z46">
        <f t="shared" si="0"/>
        <v>670</v>
      </c>
      <c r="AA46" s="39">
        <f t="shared" si="2"/>
        <v>62.522842639593911</v>
      </c>
      <c r="AB46" s="39">
        <f t="shared" si="3"/>
        <v>1883.4921827189933</v>
      </c>
      <c r="AC46">
        <f t="shared" si="6"/>
        <v>0.9996539517304095</v>
      </c>
      <c r="AD46">
        <f t="shared" si="4"/>
        <v>0.99951166001627578</v>
      </c>
      <c r="AE46">
        <f t="shared" si="5"/>
        <v>42435</v>
      </c>
    </row>
    <row r="47" spans="1:31">
      <c r="A47" s="10">
        <v>46</v>
      </c>
      <c r="B47" s="31">
        <v>40545</v>
      </c>
      <c r="C47" s="10">
        <v>1</v>
      </c>
      <c r="D47" s="10">
        <v>0</v>
      </c>
      <c r="E47" s="10">
        <v>1</v>
      </c>
      <c r="F47" s="10">
        <v>22</v>
      </c>
      <c r="G47" s="10" t="b">
        <v>0</v>
      </c>
      <c r="H47" s="10">
        <v>0</v>
      </c>
      <c r="I47" s="10">
        <v>1</v>
      </c>
      <c r="J47" s="10">
        <v>0.24</v>
      </c>
      <c r="K47" s="10">
        <v>0.21210000000000001</v>
      </c>
      <c r="L47" s="10">
        <v>0.44</v>
      </c>
      <c r="M47" s="10">
        <v>0.29849999999999999</v>
      </c>
      <c r="N47" s="10">
        <v>0</v>
      </c>
      <c r="O47" s="10">
        <v>9</v>
      </c>
      <c r="P47" s="10">
        <v>9</v>
      </c>
      <c r="Q47" s="12" t="s">
        <v>78</v>
      </c>
      <c r="R47" s="13" t="s">
        <v>79</v>
      </c>
      <c r="S47" s="10" t="s">
        <v>80</v>
      </c>
      <c r="T47" s="13" t="s">
        <v>81</v>
      </c>
      <c r="U47" s="16" t="s">
        <v>97</v>
      </c>
      <c r="V47" s="12" t="s">
        <v>83</v>
      </c>
      <c r="W47" s="15" t="s">
        <v>84</v>
      </c>
      <c r="X47" s="10" t="s">
        <v>85</v>
      </c>
      <c r="Y47" s="12" t="s">
        <v>86</v>
      </c>
      <c r="Z47">
        <f t="shared" si="0"/>
        <v>670</v>
      </c>
      <c r="AA47" s="39">
        <f t="shared" si="2"/>
        <v>62.576271186440678</v>
      </c>
      <c r="AB47" s="39">
        <f t="shared" si="3"/>
        <v>1884.4758417400369</v>
      </c>
      <c r="AC47">
        <f t="shared" si="6"/>
        <v>0.9996542567682164</v>
      </c>
      <c r="AD47">
        <f t="shared" si="4"/>
        <v>0.99951169120181371</v>
      </c>
      <c r="AE47">
        <f t="shared" si="5"/>
        <v>42435</v>
      </c>
    </row>
    <row r="48" spans="1:31">
      <c r="A48" s="9">
        <v>47</v>
      </c>
      <c r="B48" s="30">
        <v>40545</v>
      </c>
      <c r="C48" s="9">
        <v>1</v>
      </c>
      <c r="D48" s="9">
        <v>0</v>
      </c>
      <c r="E48" s="9">
        <v>1</v>
      </c>
      <c r="F48" s="9">
        <v>23</v>
      </c>
      <c r="G48" s="9" t="b">
        <v>0</v>
      </c>
      <c r="H48" s="9">
        <v>0</v>
      </c>
      <c r="I48" s="9">
        <v>1</v>
      </c>
      <c r="J48" s="9">
        <v>0.22</v>
      </c>
      <c r="K48" s="9">
        <v>0.2273</v>
      </c>
      <c r="L48" s="9">
        <v>0.47</v>
      </c>
      <c r="M48" s="9">
        <v>0.16420000000000001</v>
      </c>
      <c r="N48" s="9">
        <v>0</v>
      </c>
      <c r="O48" s="9">
        <v>8</v>
      </c>
      <c r="P48" s="9">
        <v>8</v>
      </c>
      <c r="Q48" s="12" t="s">
        <v>78</v>
      </c>
      <c r="R48" s="13" t="s">
        <v>79</v>
      </c>
      <c r="S48" s="9" t="s">
        <v>80</v>
      </c>
      <c r="T48" s="13" t="s">
        <v>81</v>
      </c>
      <c r="U48" s="16" t="s">
        <v>97</v>
      </c>
      <c r="V48" s="12" t="s">
        <v>83</v>
      </c>
      <c r="W48" s="15" t="s">
        <v>84</v>
      </c>
      <c r="X48" s="9" t="s">
        <v>85</v>
      </c>
      <c r="Y48" s="12" t="s">
        <v>86</v>
      </c>
      <c r="Z48">
        <f t="shared" si="0"/>
        <v>670</v>
      </c>
      <c r="AA48" s="39">
        <f t="shared" si="2"/>
        <v>62.667232597623091</v>
      </c>
      <c r="AB48" s="39">
        <f t="shared" si="3"/>
        <v>1885.4598176325728</v>
      </c>
      <c r="AC48">
        <f t="shared" si="6"/>
        <v>0.99965482119216986</v>
      </c>
      <c r="AD48">
        <f t="shared" si="4"/>
        <v>0.99951188951764103</v>
      </c>
      <c r="AE48">
        <f t="shared" si="5"/>
        <v>42435</v>
      </c>
    </row>
    <row r="49" spans="1:31">
      <c r="A49" s="10">
        <v>48</v>
      </c>
      <c r="B49" s="31">
        <v>40546</v>
      </c>
      <c r="C49" s="10">
        <v>1</v>
      </c>
      <c r="D49" s="10">
        <v>0</v>
      </c>
      <c r="E49" s="10">
        <v>1</v>
      </c>
      <c r="F49" s="10">
        <v>0</v>
      </c>
      <c r="G49" s="10" t="b">
        <v>0</v>
      </c>
      <c r="H49" s="10">
        <v>1</v>
      </c>
      <c r="I49" s="10">
        <v>1</v>
      </c>
      <c r="J49" s="10">
        <v>0.22</v>
      </c>
      <c r="K49" s="10">
        <v>0.19700000000000001</v>
      </c>
      <c r="L49" s="10">
        <v>0.44</v>
      </c>
      <c r="M49" s="10">
        <v>0.35820000000000002</v>
      </c>
      <c r="N49" s="10">
        <v>0</v>
      </c>
      <c r="O49" s="10">
        <v>5</v>
      </c>
      <c r="P49" s="10">
        <v>5</v>
      </c>
      <c r="Q49" s="13" t="s">
        <v>98</v>
      </c>
      <c r="R49" s="13" t="s">
        <v>79</v>
      </c>
      <c r="S49" s="10" t="s">
        <v>80</v>
      </c>
      <c r="T49" s="13" t="s">
        <v>81</v>
      </c>
      <c r="U49" s="14" t="s">
        <v>82</v>
      </c>
      <c r="V49" s="12" t="s">
        <v>83</v>
      </c>
      <c r="W49" s="15" t="s">
        <v>84</v>
      </c>
      <c r="X49" s="10" t="s">
        <v>85</v>
      </c>
      <c r="Y49" s="13" t="s">
        <v>99</v>
      </c>
      <c r="Z49">
        <f t="shared" si="0"/>
        <v>670</v>
      </c>
      <c r="AA49" s="39">
        <f t="shared" si="2"/>
        <v>62.760204081632651</v>
      </c>
      <c r="AB49" s="39">
        <f t="shared" si="3"/>
        <v>1886.4452742430069</v>
      </c>
      <c r="AC49">
        <f t="shared" si="6"/>
        <v>0.99965530467672592</v>
      </c>
      <c r="AD49">
        <f t="shared" si="4"/>
        <v>0.99951213413985385</v>
      </c>
      <c r="AE49">
        <f t="shared" si="5"/>
        <v>42435</v>
      </c>
    </row>
    <row r="50" spans="1:31">
      <c r="A50" s="9">
        <v>49</v>
      </c>
      <c r="B50" s="30">
        <v>40546</v>
      </c>
      <c r="C50" s="9">
        <v>1</v>
      </c>
      <c r="D50" s="9">
        <v>0</v>
      </c>
      <c r="E50" s="9">
        <v>1</v>
      </c>
      <c r="F50" s="9">
        <v>1</v>
      </c>
      <c r="G50" s="9" t="b">
        <v>0</v>
      </c>
      <c r="H50" s="9">
        <v>1</v>
      </c>
      <c r="I50" s="9">
        <v>1</v>
      </c>
      <c r="J50" s="9">
        <v>0.2</v>
      </c>
      <c r="K50" s="9">
        <v>0.20480000000000001</v>
      </c>
      <c r="L50" s="9">
        <v>0.44</v>
      </c>
      <c r="M50" s="9">
        <v>0.41789999999999999</v>
      </c>
      <c r="N50" s="9">
        <v>0</v>
      </c>
      <c r="O50" s="9">
        <v>2</v>
      </c>
      <c r="P50" s="9">
        <v>2</v>
      </c>
      <c r="Q50" s="13" t="s">
        <v>98</v>
      </c>
      <c r="R50" s="13" t="s">
        <v>79</v>
      </c>
      <c r="S50" s="9" t="s">
        <v>80</v>
      </c>
      <c r="T50" s="13" t="s">
        <v>81</v>
      </c>
      <c r="U50" s="14" t="s">
        <v>82</v>
      </c>
      <c r="V50" s="12" t="s">
        <v>83</v>
      </c>
      <c r="W50" s="15" t="s">
        <v>84</v>
      </c>
      <c r="X50" s="9" t="s">
        <v>85</v>
      </c>
      <c r="Y50" s="13" t="s">
        <v>99</v>
      </c>
      <c r="Z50">
        <f t="shared" si="0"/>
        <v>669</v>
      </c>
      <c r="AA50" s="39">
        <f t="shared" si="2"/>
        <v>62.858603066439521</v>
      </c>
      <c r="AB50" s="39">
        <f t="shared" si="3"/>
        <v>1887.4320873338106</v>
      </c>
      <c r="AC50">
        <f t="shared" si="6"/>
        <v>0.99965584125222728</v>
      </c>
      <c r="AD50">
        <f t="shared" si="4"/>
        <v>0.99951237915187141</v>
      </c>
      <c r="AE50">
        <f t="shared" si="5"/>
        <v>42430</v>
      </c>
    </row>
    <row r="51" spans="1:31">
      <c r="A51" s="10">
        <v>50</v>
      </c>
      <c r="B51" s="31">
        <v>40546</v>
      </c>
      <c r="C51" s="10">
        <v>1</v>
      </c>
      <c r="D51" s="10">
        <v>0</v>
      </c>
      <c r="E51" s="10">
        <v>1</v>
      </c>
      <c r="F51" s="10">
        <v>4</v>
      </c>
      <c r="G51" s="10" t="b">
        <v>0</v>
      </c>
      <c r="H51" s="10">
        <v>1</v>
      </c>
      <c r="I51" s="10">
        <v>1</v>
      </c>
      <c r="J51" s="10">
        <v>0.16</v>
      </c>
      <c r="K51" s="10">
        <v>0.13639999999999999</v>
      </c>
      <c r="L51" s="10">
        <v>0.47</v>
      </c>
      <c r="M51" s="10">
        <v>0.3881</v>
      </c>
      <c r="N51" s="10">
        <v>0</v>
      </c>
      <c r="O51" s="10">
        <v>1</v>
      </c>
      <c r="P51" s="10">
        <v>1</v>
      </c>
      <c r="Q51" s="13" t="s">
        <v>98</v>
      </c>
      <c r="R51" s="13" t="s">
        <v>79</v>
      </c>
      <c r="S51" s="10" t="s">
        <v>80</v>
      </c>
      <c r="T51" s="13" t="s">
        <v>81</v>
      </c>
      <c r="U51" s="14" t="s">
        <v>82</v>
      </c>
      <c r="V51" s="12" t="s">
        <v>83</v>
      </c>
      <c r="W51" s="15" t="s">
        <v>84</v>
      </c>
      <c r="X51" s="10" t="s">
        <v>85</v>
      </c>
      <c r="Y51" s="13" t="s">
        <v>99</v>
      </c>
      <c r="Z51">
        <f t="shared" si="0"/>
        <v>668</v>
      </c>
      <c r="AA51" s="39">
        <f t="shared" si="2"/>
        <v>62.962457337883961</v>
      </c>
      <c r="AB51" s="39">
        <f t="shared" si="3"/>
        <v>1888.4202550350205</v>
      </c>
      <c r="AC51">
        <f t="shared" si="6"/>
        <v>0.99965633242429297</v>
      </c>
      <c r="AD51">
        <f t="shared" si="4"/>
        <v>0.9995126621773277</v>
      </c>
      <c r="AE51">
        <f t="shared" si="5"/>
        <v>42428</v>
      </c>
    </row>
    <row r="52" spans="1:31">
      <c r="A52" s="9">
        <v>51</v>
      </c>
      <c r="B52" s="30">
        <v>40546</v>
      </c>
      <c r="C52" s="9">
        <v>1</v>
      </c>
      <c r="D52" s="9">
        <v>0</v>
      </c>
      <c r="E52" s="9">
        <v>1</v>
      </c>
      <c r="F52" s="9">
        <v>5</v>
      </c>
      <c r="G52" s="9" t="b">
        <v>0</v>
      </c>
      <c r="H52" s="9">
        <v>1</v>
      </c>
      <c r="I52" s="9">
        <v>1</v>
      </c>
      <c r="J52" s="9">
        <v>0.16</v>
      </c>
      <c r="K52" s="9">
        <v>0.13639999999999999</v>
      </c>
      <c r="L52" s="9">
        <v>0.47</v>
      </c>
      <c r="M52" s="9">
        <v>0.28360000000000002</v>
      </c>
      <c r="N52" s="9">
        <v>0</v>
      </c>
      <c r="O52" s="9">
        <v>3</v>
      </c>
      <c r="P52" s="9">
        <v>3</v>
      </c>
      <c r="Q52" s="13" t="s">
        <v>98</v>
      </c>
      <c r="R52" s="13" t="s">
        <v>79</v>
      </c>
      <c r="S52" s="9" t="s">
        <v>80</v>
      </c>
      <c r="T52" s="13" t="s">
        <v>81</v>
      </c>
      <c r="U52" s="15" t="s">
        <v>89</v>
      </c>
      <c r="V52" s="12" t="s">
        <v>83</v>
      </c>
      <c r="W52" s="15" t="s">
        <v>84</v>
      </c>
      <c r="X52" s="9" t="s">
        <v>85</v>
      </c>
      <c r="Y52" s="13" t="s">
        <v>99</v>
      </c>
      <c r="Z52">
        <f t="shared" si="0"/>
        <v>667</v>
      </c>
      <c r="AA52" s="39">
        <f t="shared" si="2"/>
        <v>63.068376068376068</v>
      </c>
      <c r="AB52" s="39">
        <f t="shared" si="3"/>
        <v>1889.4099099838286</v>
      </c>
      <c r="AC52">
        <f t="shared" si="6"/>
        <v>0.99965666405080256</v>
      </c>
      <c r="AD52">
        <f t="shared" si="4"/>
        <v>0.9995130001181004</v>
      </c>
      <c r="AE52">
        <f t="shared" si="5"/>
        <v>42427</v>
      </c>
    </row>
    <row r="53" spans="1:31">
      <c r="A53" s="10">
        <v>52</v>
      </c>
      <c r="B53" s="31">
        <v>40546</v>
      </c>
      <c r="C53" s="10">
        <v>1</v>
      </c>
      <c r="D53" s="10">
        <v>0</v>
      </c>
      <c r="E53" s="10">
        <v>1</v>
      </c>
      <c r="F53" s="10">
        <v>6</v>
      </c>
      <c r="G53" s="10" t="b">
        <v>0</v>
      </c>
      <c r="H53" s="10">
        <v>1</v>
      </c>
      <c r="I53" s="10">
        <v>1</v>
      </c>
      <c r="J53" s="10">
        <v>0.14000000000000001</v>
      </c>
      <c r="K53" s="10">
        <v>0.1061</v>
      </c>
      <c r="L53" s="10">
        <v>0.5</v>
      </c>
      <c r="M53" s="10">
        <v>0.3881</v>
      </c>
      <c r="N53" s="10">
        <v>0</v>
      </c>
      <c r="O53" s="10">
        <v>30</v>
      </c>
      <c r="P53" s="10">
        <v>30</v>
      </c>
      <c r="Q53" s="13" t="s">
        <v>98</v>
      </c>
      <c r="R53" s="13" t="s">
        <v>79</v>
      </c>
      <c r="S53" s="10" t="s">
        <v>80</v>
      </c>
      <c r="T53" s="13" t="s">
        <v>81</v>
      </c>
      <c r="U53" s="15" t="s">
        <v>89</v>
      </c>
      <c r="V53" s="11" t="s">
        <v>87</v>
      </c>
      <c r="W53" s="15" t="s">
        <v>84</v>
      </c>
      <c r="X53" s="10" t="s">
        <v>85</v>
      </c>
      <c r="Y53" s="13" t="s">
        <v>99</v>
      </c>
      <c r="Z53">
        <f t="shared" si="0"/>
        <v>666</v>
      </c>
      <c r="AA53" s="39">
        <f t="shared" si="2"/>
        <v>63.171232876712331</v>
      </c>
      <c r="AB53" s="39">
        <f t="shared" si="3"/>
        <v>1890.4012549740005</v>
      </c>
      <c r="AC53">
        <f t="shared" si="6"/>
        <v>0.99965696893816491</v>
      </c>
      <c r="AD53">
        <f t="shared" si="4"/>
        <v>0.9995133110610307</v>
      </c>
      <c r="AE53">
        <f t="shared" si="5"/>
        <v>42424</v>
      </c>
    </row>
    <row r="54" spans="1:31">
      <c r="A54" s="9">
        <v>53</v>
      </c>
      <c r="B54" s="30">
        <v>40546</v>
      </c>
      <c r="C54" s="9">
        <v>1</v>
      </c>
      <c r="D54" s="9">
        <v>0</v>
      </c>
      <c r="E54" s="9">
        <v>1</v>
      </c>
      <c r="F54" s="9">
        <v>7</v>
      </c>
      <c r="G54" s="9" t="b">
        <v>0</v>
      </c>
      <c r="H54" s="9">
        <v>1</v>
      </c>
      <c r="I54" s="9">
        <v>1</v>
      </c>
      <c r="J54" s="9">
        <v>0.14000000000000001</v>
      </c>
      <c r="K54" s="9">
        <v>0.13639999999999999</v>
      </c>
      <c r="L54" s="9">
        <v>0.5</v>
      </c>
      <c r="M54" s="9">
        <v>0.19400000000000001</v>
      </c>
      <c r="N54" s="9">
        <v>1</v>
      </c>
      <c r="O54" s="9">
        <v>63</v>
      </c>
      <c r="P54" s="9">
        <v>64</v>
      </c>
      <c r="Q54" s="13" t="s">
        <v>98</v>
      </c>
      <c r="R54" s="13" t="s">
        <v>79</v>
      </c>
      <c r="S54" s="9" t="s">
        <v>80</v>
      </c>
      <c r="T54" s="13" t="s">
        <v>81</v>
      </c>
      <c r="U54" s="15" t="s">
        <v>89</v>
      </c>
      <c r="V54" s="11" t="s">
        <v>87</v>
      </c>
      <c r="W54" s="15" t="s">
        <v>84</v>
      </c>
      <c r="X54" s="9" t="s">
        <v>85</v>
      </c>
      <c r="Y54" s="13" t="s">
        <v>99</v>
      </c>
      <c r="Z54">
        <f t="shared" si="0"/>
        <v>665</v>
      </c>
      <c r="AA54" s="39">
        <f t="shared" si="2"/>
        <v>63.228130360205832</v>
      </c>
      <c r="AB54" s="39">
        <f t="shared" si="3"/>
        <v>1891.3957350467231</v>
      </c>
      <c r="AC54">
        <f t="shared" si="6"/>
        <v>0.99965699279648768</v>
      </c>
      <c r="AD54">
        <f t="shared" si="4"/>
        <v>0.99951338190645234</v>
      </c>
      <c r="AE54">
        <f t="shared" si="5"/>
        <v>42394</v>
      </c>
    </row>
    <row r="55" spans="1:31">
      <c r="A55" s="10">
        <v>54</v>
      </c>
      <c r="B55" s="31">
        <v>40546</v>
      </c>
      <c r="C55" s="10">
        <v>1</v>
      </c>
      <c r="D55" s="10">
        <v>0</v>
      </c>
      <c r="E55" s="10">
        <v>1</v>
      </c>
      <c r="F55" s="10">
        <v>8</v>
      </c>
      <c r="G55" s="10" t="b">
        <v>0</v>
      </c>
      <c r="H55" s="10">
        <v>1</v>
      </c>
      <c r="I55" s="10">
        <v>1</v>
      </c>
      <c r="J55" s="10">
        <v>0.14000000000000001</v>
      </c>
      <c r="K55" s="10">
        <v>0.1212</v>
      </c>
      <c r="L55" s="10">
        <v>0.5</v>
      </c>
      <c r="M55" s="10">
        <v>0.28360000000000002</v>
      </c>
      <c r="N55" s="10">
        <v>1</v>
      </c>
      <c r="O55" s="10">
        <v>153</v>
      </c>
      <c r="P55" s="10">
        <v>154</v>
      </c>
      <c r="Q55" s="13" t="s">
        <v>98</v>
      </c>
      <c r="R55" s="13" t="s">
        <v>79</v>
      </c>
      <c r="S55" s="10" t="s">
        <v>80</v>
      </c>
      <c r="T55" s="13" t="s">
        <v>81</v>
      </c>
      <c r="U55" s="15" t="s">
        <v>89</v>
      </c>
      <c r="V55" s="13" t="s">
        <v>93</v>
      </c>
      <c r="W55" s="15" t="s">
        <v>84</v>
      </c>
      <c r="X55" s="10" t="s">
        <v>85</v>
      </c>
      <c r="Y55" s="13" t="s">
        <v>99</v>
      </c>
      <c r="Z55">
        <f t="shared" si="0"/>
        <v>664</v>
      </c>
      <c r="AA55" s="39">
        <f t="shared" si="2"/>
        <v>63.226804123711339</v>
      </c>
      <c r="AB55" s="39">
        <f t="shared" si="3"/>
        <v>1892.3931907228337</v>
      </c>
      <c r="AC55">
        <f t="shared" si="6"/>
        <v>0.99965705790925596</v>
      </c>
      <c r="AD55">
        <f t="shared" si="4"/>
        <v>0.99951340231614494</v>
      </c>
      <c r="AE55">
        <f t="shared" si="5"/>
        <v>42330</v>
      </c>
    </row>
    <row r="56" spans="1:31">
      <c r="A56" s="9">
        <v>55</v>
      </c>
      <c r="B56" s="30">
        <v>40546</v>
      </c>
      <c r="C56" s="9">
        <v>1</v>
      </c>
      <c r="D56" s="9">
        <v>0</v>
      </c>
      <c r="E56" s="9">
        <v>1</v>
      </c>
      <c r="F56" s="9">
        <v>9</v>
      </c>
      <c r="G56" s="9" t="b">
        <v>0</v>
      </c>
      <c r="H56" s="9">
        <v>1</v>
      </c>
      <c r="I56" s="9">
        <v>1</v>
      </c>
      <c r="J56" s="9">
        <v>0.16</v>
      </c>
      <c r="K56" s="9">
        <v>0.13639999999999999</v>
      </c>
      <c r="L56" s="9">
        <v>0.43</v>
      </c>
      <c r="M56" s="9">
        <v>0.3881</v>
      </c>
      <c r="N56" s="9">
        <v>7</v>
      </c>
      <c r="O56" s="9">
        <v>81</v>
      </c>
      <c r="P56" s="9">
        <v>88</v>
      </c>
      <c r="Q56" s="13" t="s">
        <v>98</v>
      </c>
      <c r="R56" s="13" t="s">
        <v>79</v>
      </c>
      <c r="S56" s="9" t="s">
        <v>80</v>
      </c>
      <c r="T56" s="13" t="s">
        <v>81</v>
      </c>
      <c r="U56" s="15" t="s">
        <v>89</v>
      </c>
      <c r="V56" s="13" t="s">
        <v>93</v>
      </c>
      <c r="W56" s="15" t="s">
        <v>84</v>
      </c>
      <c r="X56" s="9" t="s">
        <v>85</v>
      </c>
      <c r="Y56" s="13" t="s">
        <v>99</v>
      </c>
      <c r="Z56">
        <f t="shared" si="0"/>
        <v>663</v>
      </c>
      <c r="AA56" s="39">
        <f t="shared" si="2"/>
        <v>63.070567986230635</v>
      </c>
      <c r="AB56" s="39">
        <f t="shared" si="3"/>
        <v>1893.3928302138031</v>
      </c>
      <c r="AC56">
        <f t="shared" si="6"/>
        <v>0.99965887935774245</v>
      </c>
      <c r="AD56">
        <f t="shared" si="4"/>
        <v>0.99951493550062653</v>
      </c>
      <c r="AE56">
        <f t="shared" si="5"/>
        <v>42176</v>
      </c>
    </row>
    <row r="57" spans="1:31">
      <c r="A57" s="10">
        <v>56</v>
      </c>
      <c r="B57" s="31">
        <v>40546</v>
      </c>
      <c r="C57" s="10">
        <v>1</v>
      </c>
      <c r="D57" s="10">
        <v>0</v>
      </c>
      <c r="E57" s="10">
        <v>1</v>
      </c>
      <c r="F57" s="10">
        <v>10</v>
      </c>
      <c r="G57" s="10" t="b">
        <v>0</v>
      </c>
      <c r="H57" s="10">
        <v>1</v>
      </c>
      <c r="I57" s="10">
        <v>1</v>
      </c>
      <c r="J57" s="10">
        <v>0.18</v>
      </c>
      <c r="K57" s="10">
        <v>0.16669999999999999</v>
      </c>
      <c r="L57" s="10">
        <v>0.43</v>
      </c>
      <c r="M57" s="10">
        <v>0.25369999999999998</v>
      </c>
      <c r="N57" s="10">
        <v>11</v>
      </c>
      <c r="O57" s="10">
        <v>33</v>
      </c>
      <c r="P57" s="10">
        <v>44</v>
      </c>
      <c r="Q57" s="13" t="s">
        <v>98</v>
      </c>
      <c r="R57" s="13" t="s">
        <v>79</v>
      </c>
      <c r="S57" s="10" t="s">
        <v>80</v>
      </c>
      <c r="T57" s="13" t="s">
        <v>81</v>
      </c>
      <c r="U57" s="13" t="s">
        <v>91</v>
      </c>
      <c r="V57" s="11" t="s">
        <v>87</v>
      </c>
      <c r="W57" s="15" t="s">
        <v>84</v>
      </c>
      <c r="X57" s="10" t="s">
        <v>85</v>
      </c>
      <c r="Y57" s="13" t="s">
        <v>99</v>
      </c>
      <c r="Z57">
        <f t="shared" si="0"/>
        <v>662</v>
      </c>
      <c r="AA57" s="39">
        <f t="shared" si="2"/>
        <v>63.027586206896551</v>
      </c>
      <c r="AB57" s="39">
        <f t="shared" si="3"/>
        <v>1894.394056467459</v>
      </c>
      <c r="AC57">
        <f t="shared" si="6"/>
        <v>0.99965910995794083</v>
      </c>
      <c r="AD57">
        <f t="shared" si="4"/>
        <v>0.99951520857184262</v>
      </c>
      <c r="AE57">
        <f t="shared" si="5"/>
        <v>42088</v>
      </c>
    </row>
    <row r="58" spans="1:31">
      <c r="A58" s="9">
        <v>57</v>
      </c>
      <c r="B58" s="30">
        <v>40546</v>
      </c>
      <c r="C58" s="9">
        <v>1</v>
      </c>
      <c r="D58" s="9">
        <v>0</v>
      </c>
      <c r="E58" s="9">
        <v>1</v>
      </c>
      <c r="F58" s="9">
        <v>11</v>
      </c>
      <c r="G58" s="9" t="b">
        <v>0</v>
      </c>
      <c r="H58" s="9">
        <v>1</v>
      </c>
      <c r="I58" s="9">
        <v>1</v>
      </c>
      <c r="J58" s="9">
        <v>0.2</v>
      </c>
      <c r="K58" s="9">
        <v>0.18179999999999999</v>
      </c>
      <c r="L58" s="9">
        <v>0.4</v>
      </c>
      <c r="M58" s="9">
        <v>0.32840000000000003</v>
      </c>
      <c r="N58" s="9">
        <v>10</v>
      </c>
      <c r="O58" s="9">
        <v>41</v>
      </c>
      <c r="P58" s="9">
        <v>51</v>
      </c>
      <c r="Q58" s="13" t="s">
        <v>98</v>
      </c>
      <c r="R58" s="13" t="s">
        <v>79</v>
      </c>
      <c r="S58" s="9" t="s">
        <v>80</v>
      </c>
      <c r="T58" s="13" t="s">
        <v>81</v>
      </c>
      <c r="U58" s="13" t="s">
        <v>91</v>
      </c>
      <c r="V58" s="11" t="s">
        <v>87</v>
      </c>
      <c r="W58" s="15" t="s">
        <v>84</v>
      </c>
      <c r="X58" s="9" t="s">
        <v>85</v>
      </c>
      <c r="Y58" s="13" t="s">
        <v>99</v>
      </c>
      <c r="Z58">
        <f t="shared" si="0"/>
        <v>661</v>
      </c>
      <c r="AA58" s="39">
        <f t="shared" si="2"/>
        <v>63.060449050086355</v>
      </c>
      <c r="AB58" s="39">
        <f t="shared" si="3"/>
        <v>1895.3955185643997</v>
      </c>
      <c r="AC58">
        <f t="shared" si="6"/>
        <v>0.9996591243941999</v>
      </c>
      <c r="AD58">
        <f t="shared" si="4"/>
        <v>0.99951520785308656</v>
      </c>
      <c r="AE58">
        <f t="shared" si="5"/>
        <v>42044</v>
      </c>
    </row>
    <row r="59" spans="1:31">
      <c r="A59" s="10">
        <v>58</v>
      </c>
      <c r="B59" s="31">
        <v>40546</v>
      </c>
      <c r="C59" s="10">
        <v>1</v>
      </c>
      <c r="D59" s="10">
        <v>0</v>
      </c>
      <c r="E59" s="10">
        <v>1</v>
      </c>
      <c r="F59" s="10">
        <v>12</v>
      </c>
      <c r="G59" s="10" t="b">
        <v>0</v>
      </c>
      <c r="H59" s="10">
        <v>1</v>
      </c>
      <c r="I59" s="10">
        <v>1</v>
      </c>
      <c r="J59" s="10">
        <v>0.22</v>
      </c>
      <c r="K59" s="10">
        <v>0.21210000000000001</v>
      </c>
      <c r="L59" s="10">
        <v>0.35</v>
      </c>
      <c r="M59" s="10">
        <v>0.29849999999999999</v>
      </c>
      <c r="N59" s="10">
        <v>13</v>
      </c>
      <c r="O59" s="10">
        <v>48</v>
      </c>
      <c r="P59" s="10">
        <v>61</v>
      </c>
      <c r="Q59" s="13" t="s">
        <v>98</v>
      </c>
      <c r="R59" s="13" t="s">
        <v>79</v>
      </c>
      <c r="S59" s="10" t="s">
        <v>80</v>
      </c>
      <c r="T59" s="13" t="s">
        <v>81</v>
      </c>
      <c r="U59" s="11" t="s">
        <v>92</v>
      </c>
      <c r="V59" s="11" t="s">
        <v>87</v>
      </c>
      <c r="W59" s="15" t="s">
        <v>84</v>
      </c>
      <c r="X59" s="10" t="s">
        <v>85</v>
      </c>
      <c r="Y59" s="13" t="s">
        <v>99</v>
      </c>
      <c r="Z59">
        <f t="shared" si="0"/>
        <v>660</v>
      </c>
      <c r="AA59" s="39">
        <f t="shared" si="2"/>
        <v>63.081314878892734</v>
      </c>
      <c r="AB59" s="39">
        <f t="shared" si="3"/>
        <v>1896.3988589585019</v>
      </c>
      <c r="AC59">
        <f t="shared" si="6"/>
        <v>0.99965913524043315</v>
      </c>
      <c r="AD59">
        <f t="shared" si="4"/>
        <v>0.99951521927760323</v>
      </c>
      <c r="AE59">
        <f t="shared" si="5"/>
        <v>41993</v>
      </c>
    </row>
    <row r="60" spans="1:31">
      <c r="A60" s="9">
        <v>59</v>
      </c>
      <c r="B60" s="30">
        <v>40546</v>
      </c>
      <c r="C60" s="9">
        <v>1</v>
      </c>
      <c r="D60" s="9">
        <v>0</v>
      </c>
      <c r="E60" s="9">
        <v>1</v>
      </c>
      <c r="F60" s="9">
        <v>13</v>
      </c>
      <c r="G60" s="9" t="b">
        <v>0</v>
      </c>
      <c r="H60" s="9">
        <v>1</v>
      </c>
      <c r="I60" s="9">
        <v>1</v>
      </c>
      <c r="J60" s="9">
        <v>0.24</v>
      </c>
      <c r="K60" s="9">
        <v>0.24229999999999999</v>
      </c>
      <c r="L60" s="9">
        <v>0.35</v>
      </c>
      <c r="M60" s="9">
        <v>0.28360000000000002</v>
      </c>
      <c r="N60" s="9">
        <v>8</v>
      </c>
      <c r="O60" s="9">
        <v>53</v>
      </c>
      <c r="P60" s="9">
        <v>61</v>
      </c>
      <c r="Q60" s="13" t="s">
        <v>98</v>
      </c>
      <c r="R60" s="13" t="s">
        <v>79</v>
      </c>
      <c r="S60" s="9" t="s">
        <v>80</v>
      </c>
      <c r="T60" s="13" t="s">
        <v>81</v>
      </c>
      <c r="U60" s="11" t="s">
        <v>92</v>
      </c>
      <c r="V60" s="11" t="s">
        <v>87</v>
      </c>
      <c r="W60" s="15" t="s">
        <v>84</v>
      </c>
      <c r="X60" s="9" t="s">
        <v>85</v>
      </c>
      <c r="Y60" s="13" t="s">
        <v>99</v>
      </c>
      <c r="Z60">
        <f t="shared" si="0"/>
        <v>659</v>
      </c>
      <c r="AA60" s="39">
        <f t="shared" si="2"/>
        <v>63.084922010398614</v>
      </c>
      <c r="AB60" s="39">
        <f t="shared" si="3"/>
        <v>1897.4041593926506</v>
      </c>
      <c r="AC60">
        <f t="shared" si="6"/>
        <v>0.99965913778199933</v>
      </c>
      <c r="AD60">
        <f t="shared" si="4"/>
        <v>0.99951530435333114</v>
      </c>
      <c r="AE60">
        <f t="shared" si="5"/>
        <v>41932</v>
      </c>
    </row>
    <row r="61" spans="1:31">
      <c r="A61" s="10">
        <v>60</v>
      </c>
      <c r="B61" s="31">
        <v>40546</v>
      </c>
      <c r="C61" s="10">
        <v>1</v>
      </c>
      <c r="D61" s="10">
        <v>0</v>
      </c>
      <c r="E61" s="10">
        <v>1</v>
      </c>
      <c r="F61" s="10">
        <v>14</v>
      </c>
      <c r="G61" s="10" t="b">
        <v>0</v>
      </c>
      <c r="H61" s="10">
        <v>1</v>
      </c>
      <c r="I61" s="10">
        <v>1</v>
      </c>
      <c r="J61" s="10">
        <v>0.26</v>
      </c>
      <c r="K61" s="10">
        <v>0.2424</v>
      </c>
      <c r="L61" s="10">
        <v>0.3</v>
      </c>
      <c r="M61" s="10">
        <v>0.28360000000000002</v>
      </c>
      <c r="N61" s="10">
        <v>11</v>
      </c>
      <c r="O61" s="10">
        <v>66</v>
      </c>
      <c r="P61" s="10">
        <v>77</v>
      </c>
      <c r="Q61" s="13" t="s">
        <v>98</v>
      </c>
      <c r="R61" s="13" t="s">
        <v>79</v>
      </c>
      <c r="S61" s="10" t="s">
        <v>80</v>
      </c>
      <c r="T61" s="13" t="s">
        <v>81</v>
      </c>
      <c r="U61" s="13" t="s">
        <v>94</v>
      </c>
      <c r="V61" s="13" t="s">
        <v>93</v>
      </c>
      <c r="W61" s="13" t="s">
        <v>90</v>
      </c>
      <c r="X61" s="10" t="s">
        <v>85</v>
      </c>
      <c r="Y61" s="13" t="s">
        <v>99</v>
      </c>
      <c r="Z61">
        <f t="shared" si="0"/>
        <v>658</v>
      </c>
      <c r="AA61" s="39">
        <f t="shared" si="2"/>
        <v>63.088541666666664</v>
      </c>
      <c r="AB61" s="39">
        <f t="shared" si="3"/>
        <v>1898.4110602839569</v>
      </c>
      <c r="AC61">
        <f t="shared" si="6"/>
        <v>0.99965915248978032</v>
      </c>
      <c r="AD61">
        <f t="shared" si="4"/>
        <v>0.99951538961022213</v>
      </c>
      <c r="AE61">
        <f t="shared" si="5"/>
        <v>41871</v>
      </c>
    </row>
    <row r="62" spans="1:31">
      <c r="A62" s="9">
        <v>61</v>
      </c>
      <c r="B62" s="30">
        <v>40546</v>
      </c>
      <c r="C62" s="9">
        <v>1</v>
      </c>
      <c r="D62" s="9">
        <v>0</v>
      </c>
      <c r="E62" s="9">
        <v>1</v>
      </c>
      <c r="F62" s="9">
        <v>15</v>
      </c>
      <c r="G62" s="9" t="b">
        <v>0</v>
      </c>
      <c r="H62" s="9">
        <v>1</v>
      </c>
      <c r="I62" s="9">
        <v>1</v>
      </c>
      <c r="J62" s="9">
        <v>0.26</v>
      </c>
      <c r="K62" s="9">
        <v>0.2424</v>
      </c>
      <c r="L62" s="9">
        <v>0.3</v>
      </c>
      <c r="M62" s="9">
        <v>0.25369999999999998</v>
      </c>
      <c r="N62" s="9">
        <v>14</v>
      </c>
      <c r="O62" s="9">
        <v>58</v>
      </c>
      <c r="P62" s="9">
        <v>72</v>
      </c>
      <c r="Q62" s="13" t="s">
        <v>98</v>
      </c>
      <c r="R62" s="13" t="s">
        <v>79</v>
      </c>
      <c r="S62" s="9" t="s">
        <v>80</v>
      </c>
      <c r="T62" s="13" t="s">
        <v>81</v>
      </c>
      <c r="U62" s="13" t="s">
        <v>94</v>
      </c>
      <c r="V62" s="13" t="s">
        <v>93</v>
      </c>
      <c r="W62" s="13" t="s">
        <v>90</v>
      </c>
      <c r="X62" s="9" t="s">
        <v>85</v>
      </c>
      <c r="Y62" s="13" t="s">
        <v>99</v>
      </c>
      <c r="Z62">
        <f t="shared" si="0"/>
        <v>657</v>
      </c>
      <c r="AA62" s="39">
        <f t="shared" si="2"/>
        <v>63.064347826086959</v>
      </c>
      <c r="AB62" s="39">
        <f t="shared" si="3"/>
        <v>1899.4200349948917</v>
      </c>
      <c r="AC62">
        <f t="shared" si="6"/>
        <v>0.99965915229966162</v>
      </c>
      <c r="AD62">
        <f t="shared" si="4"/>
        <v>0.99951569009306629</v>
      </c>
      <c r="AE62">
        <f t="shared" si="5"/>
        <v>41794</v>
      </c>
    </row>
    <row r="63" spans="1:31">
      <c r="A63" s="10">
        <v>62</v>
      </c>
      <c r="B63" s="31">
        <v>40546</v>
      </c>
      <c r="C63" s="10">
        <v>1</v>
      </c>
      <c r="D63" s="10">
        <v>0</v>
      </c>
      <c r="E63" s="10">
        <v>1</v>
      </c>
      <c r="F63" s="10">
        <v>16</v>
      </c>
      <c r="G63" s="10" t="b">
        <v>0</v>
      </c>
      <c r="H63" s="10">
        <v>1</v>
      </c>
      <c r="I63" s="10">
        <v>1</v>
      </c>
      <c r="J63" s="10">
        <v>0.26</v>
      </c>
      <c r="K63" s="10">
        <v>0.2424</v>
      </c>
      <c r="L63" s="10">
        <v>0.3</v>
      </c>
      <c r="M63" s="10">
        <v>0.25369999999999998</v>
      </c>
      <c r="N63" s="10">
        <v>9</v>
      </c>
      <c r="O63" s="10">
        <v>67</v>
      </c>
      <c r="P63" s="10">
        <v>76</v>
      </c>
      <c r="Q63" s="13" t="s">
        <v>98</v>
      </c>
      <c r="R63" s="13" t="s">
        <v>79</v>
      </c>
      <c r="S63" s="10" t="s">
        <v>80</v>
      </c>
      <c r="T63" s="13" t="s">
        <v>81</v>
      </c>
      <c r="U63" s="13" t="s">
        <v>94</v>
      </c>
      <c r="V63" s="13" t="s">
        <v>93</v>
      </c>
      <c r="W63" s="13" t="s">
        <v>90</v>
      </c>
      <c r="X63" s="10" t="s">
        <v>85</v>
      </c>
      <c r="Y63" s="13" t="s">
        <v>99</v>
      </c>
      <c r="Z63">
        <f t="shared" si="0"/>
        <v>656</v>
      </c>
      <c r="AA63" s="39">
        <f t="shared" si="2"/>
        <v>63.048780487804876</v>
      </c>
      <c r="AB63" s="39">
        <f t="shared" si="3"/>
        <v>1900.4304887987846</v>
      </c>
      <c r="AC63">
        <f t="shared" si="6"/>
        <v>0.99965915542433592</v>
      </c>
      <c r="AD63">
        <f t="shared" si="4"/>
        <v>0.99951592812834267</v>
      </c>
      <c r="AE63">
        <f t="shared" si="5"/>
        <v>41722</v>
      </c>
    </row>
    <row r="64" spans="1:31">
      <c r="A64" s="9">
        <v>63</v>
      </c>
      <c r="B64" s="30">
        <v>40546</v>
      </c>
      <c r="C64" s="9">
        <v>1</v>
      </c>
      <c r="D64" s="9">
        <v>0</v>
      </c>
      <c r="E64" s="9">
        <v>1</v>
      </c>
      <c r="F64" s="9">
        <v>17</v>
      </c>
      <c r="G64" s="9" t="b">
        <v>0</v>
      </c>
      <c r="H64" s="9">
        <v>1</v>
      </c>
      <c r="I64" s="9">
        <v>1</v>
      </c>
      <c r="J64" s="9">
        <v>0.24</v>
      </c>
      <c r="K64" s="9">
        <v>0.2273</v>
      </c>
      <c r="L64" s="9">
        <v>0.3</v>
      </c>
      <c r="M64" s="9">
        <v>0.22389999999999999</v>
      </c>
      <c r="N64" s="9">
        <v>11</v>
      </c>
      <c r="O64" s="9">
        <v>146</v>
      </c>
      <c r="P64" s="9">
        <v>157</v>
      </c>
      <c r="Q64" s="13" t="s">
        <v>98</v>
      </c>
      <c r="R64" s="13" t="s">
        <v>79</v>
      </c>
      <c r="S64" s="9" t="s">
        <v>80</v>
      </c>
      <c r="T64" s="13" t="s">
        <v>81</v>
      </c>
      <c r="U64" s="15" t="s">
        <v>95</v>
      </c>
      <c r="V64" s="13" t="s">
        <v>93</v>
      </c>
      <c r="W64" s="15" t="s">
        <v>84</v>
      </c>
      <c r="X64" s="9" t="s">
        <v>85</v>
      </c>
      <c r="Y64" s="13" t="s">
        <v>99</v>
      </c>
      <c r="Z64">
        <f t="shared" si="0"/>
        <v>655</v>
      </c>
      <c r="AA64" s="39">
        <f t="shared" si="2"/>
        <v>63.026178010471206</v>
      </c>
      <c r="AB64" s="39">
        <f t="shared" si="3"/>
        <v>1901.4426633462363</v>
      </c>
      <c r="AC64">
        <f t="shared" si="6"/>
        <v>0.99965915530737937</v>
      </c>
      <c r="AD64">
        <f t="shared" si="4"/>
        <v>0.99951621660353629</v>
      </c>
      <c r="AE64">
        <f t="shared" si="5"/>
        <v>41646</v>
      </c>
    </row>
    <row r="65" spans="1:31">
      <c r="A65" s="10">
        <v>64</v>
      </c>
      <c r="B65" s="31">
        <v>40546</v>
      </c>
      <c r="C65" s="10">
        <v>1</v>
      </c>
      <c r="D65" s="10">
        <v>0</v>
      </c>
      <c r="E65" s="10">
        <v>1</v>
      </c>
      <c r="F65" s="10">
        <v>18</v>
      </c>
      <c r="G65" s="10" t="b">
        <v>0</v>
      </c>
      <c r="H65" s="10">
        <v>1</v>
      </c>
      <c r="I65" s="10">
        <v>1</v>
      </c>
      <c r="J65" s="10">
        <v>0.24</v>
      </c>
      <c r="K65" s="10">
        <v>0.2576</v>
      </c>
      <c r="L65" s="10">
        <v>0.32</v>
      </c>
      <c r="M65" s="10">
        <v>0.1045</v>
      </c>
      <c r="N65" s="10">
        <v>9</v>
      </c>
      <c r="O65" s="10">
        <v>148</v>
      </c>
      <c r="P65" s="10">
        <v>157</v>
      </c>
      <c r="Q65" s="13" t="s">
        <v>98</v>
      </c>
      <c r="R65" s="13" t="s">
        <v>79</v>
      </c>
      <c r="S65" s="10" t="s">
        <v>80</v>
      </c>
      <c r="T65" s="13" t="s">
        <v>81</v>
      </c>
      <c r="U65" s="15" t="s">
        <v>95</v>
      </c>
      <c r="V65" s="13" t="s">
        <v>93</v>
      </c>
      <c r="W65" s="15" t="s">
        <v>84</v>
      </c>
      <c r="X65" s="10" t="s">
        <v>85</v>
      </c>
      <c r="Y65" s="13" t="s">
        <v>99</v>
      </c>
      <c r="Z65">
        <f t="shared" si="0"/>
        <v>654</v>
      </c>
      <c r="AA65" s="39">
        <f t="shared" si="2"/>
        <v>62.861888111888113</v>
      </c>
      <c r="AB65" s="39">
        <f t="shared" si="3"/>
        <v>1902.456681629485</v>
      </c>
      <c r="AC65">
        <f t="shared" si="6"/>
        <v>0.99966024408944398</v>
      </c>
      <c r="AD65">
        <f t="shared" si="4"/>
        <v>0.99951853362084153</v>
      </c>
      <c r="AE65">
        <f t="shared" si="5"/>
        <v>41489</v>
      </c>
    </row>
    <row r="66" spans="1:31">
      <c r="A66" s="9">
        <v>65</v>
      </c>
      <c r="B66" s="30">
        <v>40546</v>
      </c>
      <c r="C66" s="9">
        <v>1</v>
      </c>
      <c r="D66" s="9">
        <v>0</v>
      </c>
      <c r="E66" s="9">
        <v>1</v>
      </c>
      <c r="F66" s="9">
        <v>19</v>
      </c>
      <c r="G66" s="9" t="b">
        <v>0</v>
      </c>
      <c r="H66" s="9">
        <v>1</v>
      </c>
      <c r="I66" s="9">
        <v>1</v>
      </c>
      <c r="J66" s="9">
        <v>0.2</v>
      </c>
      <c r="K66" s="9">
        <v>0.2576</v>
      </c>
      <c r="L66" s="9">
        <v>0.47</v>
      </c>
      <c r="M66" s="9">
        <v>0</v>
      </c>
      <c r="N66" s="9">
        <v>8</v>
      </c>
      <c r="O66" s="9">
        <v>102</v>
      </c>
      <c r="P66" s="9">
        <v>110</v>
      </c>
      <c r="Q66" s="13" t="s">
        <v>98</v>
      </c>
      <c r="R66" s="13" t="s">
        <v>79</v>
      </c>
      <c r="S66" s="9" t="s">
        <v>80</v>
      </c>
      <c r="T66" s="13" t="s">
        <v>81</v>
      </c>
      <c r="U66" s="15" t="s">
        <v>95</v>
      </c>
      <c r="V66" s="13" t="s">
        <v>93</v>
      </c>
      <c r="W66" s="15" t="s">
        <v>84</v>
      </c>
      <c r="X66" s="9" t="s">
        <v>85</v>
      </c>
      <c r="Y66" s="13" t="s">
        <v>99</v>
      </c>
      <c r="Z66">
        <f t="shared" ref="Z66:Z129" si="7">COUNTIF(Q66:Q1065,"Weekday")</f>
        <v>653</v>
      </c>
      <c r="AA66" s="39">
        <f t="shared" ref="AA66:AA129" si="8">AVERAGEIF(T66:T1065,"Clear",P66:P1065)</f>
        <v>62.697022767075303</v>
      </c>
      <c r="AB66" s="39">
        <f t="shared" ref="AB66:AB129" si="9">STDEV(P66:P1065)</f>
        <v>1903.4723239396171</v>
      </c>
      <c r="AC66">
        <f t="shared" si="6"/>
        <v>0.99966133519674283</v>
      </c>
      <c r="AD66">
        <f t="shared" ref="AD66:AD129" si="10">CORREL(L66:L1065,P66:P1065)</f>
        <v>0.99952078205533013</v>
      </c>
      <c r="AE66">
        <f t="shared" ref="AE66:AE129" si="11">SUMIF(Q66:Q1065,"Weekday",P66:P1065)</f>
        <v>41332</v>
      </c>
    </row>
    <row r="67" spans="1:31">
      <c r="A67" s="10">
        <v>66</v>
      </c>
      <c r="B67" s="31">
        <v>40546</v>
      </c>
      <c r="C67" s="10">
        <v>1</v>
      </c>
      <c r="D67" s="10">
        <v>0</v>
      </c>
      <c r="E67" s="10">
        <v>1</v>
      </c>
      <c r="F67" s="10">
        <v>20</v>
      </c>
      <c r="G67" s="10" t="b">
        <v>0</v>
      </c>
      <c r="H67" s="10">
        <v>1</v>
      </c>
      <c r="I67" s="10">
        <v>1</v>
      </c>
      <c r="J67" s="10">
        <v>0.2</v>
      </c>
      <c r="K67" s="10">
        <v>0.20480000000000001</v>
      </c>
      <c r="L67" s="10">
        <v>0.47</v>
      </c>
      <c r="M67" s="10">
        <v>0.1045</v>
      </c>
      <c r="N67" s="10">
        <v>3</v>
      </c>
      <c r="O67" s="10">
        <v>49</v>
      </c>
      <c r="P67" s="10">
        <v>52</v>
      </c>
      <c r="Q67" s="13" t="s">
        <v>98</v>
      </c>
      <c r="R67" s="13" t="s">
        <v>79</v>
      </c>
      <c r="S67" s="10" t="s">
        <v>80</v>
      </c>
      <c r="T67" s="13" t="s">
        <v>81</v>
      </c>
      <c r="U67" s="16" t="s">
        <v>97</v>
      </c>
      <c r="V67" s="11" t="s">
        <v>87</v>
      </c>
      <c r="W67" s="15" t="s">
        <v>84</v>
      </c>
      <c r="X67" s="10" t="s">
        <v>85</v>
      </c>
      <c r="Y67" s="13" t="s">
        <v>99</v>
      </c>
      <c r="Z67">
        <f t="shared" si="7"/>
        <v>652</v>
      </c>
      <c r="AA67" s="39">
        <f t="shared" si="8"/>
        <v>62.614035087719301</v>
      </c>
      <c r="AB67" s="39">
        <f t="shared" si="9"/>
        <v>1904.4899152515602</v>
      </c>
      <c r="AC67">
        <f t="shared" si="6"/>
        <v>0.99966171005331639</v>
      </c>
      <c r="AD67">
        <f t="shared" si="10"/>
        <v>0.99952134093499734</v>
      </c>
      <c r="AE67">
        <f t="shared" si="11"/>
        <v>41222</v>
      </c>
    </row>
    <row r="68" spans="1:31">
      <c r="A68" s="9">
        <v>67</v>
      </c>
      <c r="B68" s="30">
        <v>40546</v>
      </c>
      <c r="C68" s="9">
        <v>1</v>
      </c>
      <c r="D68" s="9">
        <v>0</v>
      </c>
      <c r="E68" s="9">
        <v>1</v>
      </c>
      <c r="F68" s="9">
        <v>21</v>
      </c>
      <c r="G68" s="9" t="b">
        <v>0</v>
      </c>
      <c r="H68" s="9">
        <v>1</v>
      </c>
      <c r="I68" s="9">
        <v>1</v>
      </c>
      <c r="J68" s="9">
        <v>0.18</v>
      </c>
      <c r="K68" s="9">
        <v>0.19700000000000001</v>
      </c>
      <c r="L68" s="9">
        <v>0.64</v>
      </c>
      <c r="M68" s="9">
        <v>0.1343</v>
      </c>
      <c r="N68" s="9">
        <v>3</v>
      </c>
      <c r="O68" s="9">
        <v>49</v>
      </c>
      <c r="P68" s="9">
        <v>52</v>
      </c>
      <c r="Q68" s="13" t="s">
        <v>98</v>
      </c>
      <c r="R68" s="13" t="s">
        <v>79</v>
      </c>
      <c r="S68" s="9" t="s">
        <v>80</v>
      </c>
      <c r="T68" s="13" t="s">
        <v>81</v>
      </c>
      <c r="U68" s="16" t="s">
        <v>97</v>
      </c>
      <c r="V68" s="11" t="s">
        <v>87</v>
      </c>
      <c r="W68" s="15" t="s">
        <v>84</v>
      </c>
      <c r="X68" s="9" t="s">
        <v>85</v>
      </c>
      <c r="Y68" s="13" t="s">
        <v>99</v>
      </c>
      <c r="Z68">
        <f t="shared" si="7"/>
        <v>651</v>
      </c>
      <c r="AA68" s="39">
        <f t="shared" si="8"/>
        <v>62.632688927943761</v>
      </c>
      <c r="AB68" s="39">
        <f t="shared" si="9"/>
        <v>1905.5078230599993</v>
      </c>
      <c r="AC68">
        <f t="shared" si="6"/>
        <v>0.99966171800495918</v>
      </c>
      <c r="AD68">
        <f t="shared" si="10"/>
        <v>0.9995213421554231</v>
      </c>
      <c r="AE68">
        <f t="shared" si="11"/>
        <v>41170</v>
      </c>
    </row>
    <row r="69" spans="1:31">
      <c r="A69" s="10">
        <v>68</v>
      </c>
      <c r="B69" s="31">
        <v>40546</v>
      </c>
      <c r="C69" s="10">
        <v>1</v>
      </c>
      <c r="D69" s="10">
        <v>0</v>
      </c>
      <c r="E69" s="10">
        <v>1</v>
      </c>
      <c r="F69" s="10">
        <v>22</v>
      </c>
      <c r="G69" s="10" t="b">
        <v>0</v>
      </c>
      <c r="H69" s="10">
        <v>1</v>
      </c>
      <c r="I69" s="10">
        <v>1</v>
      </c>
      <c r="J69" s="10">
        <v>0.14000000000000001</v>
      </c>
      <c r="K69" s="10">
        <v>0.1515</v>
      </c>
      <c r="L69" s="10">
        <v>0.69</v>
      </c>
      <c r="M69" s="10">
        <v>0.1343</v>
      </c>
      <c r="N69" s="10">
        <v>0</v>
      </c>
      <c r="O69" s="10">
        <v>20</v>
      </c>
      <c r="P69" s="10">
        <v>20</v>
      </c>
      <c r="Q69" s="13" t="s">
        <v>98</v>
      </c>
      <c r="R69" s="13" t="s">
        <v>79</v>
      </c>
      <c r="S69" s="10" t="s">
        <v>80</v>
      </c>
      <c r="T69" s="13" t="s">
        <v>81</v>
      </c>
      <c r="U69" s="16" t="s">
        <v>97</v>
      </c>
      <c r="V69" s="12" t="s">
        <v>83</v>
      </c>
      <c r="W69" s="15" t="s">
        <v>84</v>
      </c>
      <c r="X69" s="10" t="s">
        <v>85</v>
      </c>
      <c r="Y69" s="13" t="s">
        <v>99</v>
      </c>
      <c r="Z69">
        <f t="shared" si="7"/>
        <v>650</v>
      </c>
      <c r="AA69" s="39">
        <f t="shared" si="8"/>
        <v>62.651408450704224</v>
      </c>
      <c r="AB69" s="39">
        <f t="shared" si="9"/>
        <v>1906.5273647620691</v>
      </c>
      <c r="AC69">
        <f t="shared" si="6"/>
        <v>0.99966171805763548</v>
      </c>
      <c r="AD69">
        <f t="shared" si="10"/>
        <v>0.99952136807422942</v>
      </c>
      <c r="AE69">
        <f t="shared" si="11"/>
        <v>41118</v>
      </c>
    </row>
    <row r="70" spans="1:31">
      <c r="A70" s="9">
        <v>69</v>
      </c>
      <c r="B70" s="30">
        <v>40546</v>
      </c>
      <c r="C70" s="9">
        <v>1</v>
      </c>
      <c r="D70" s="9">
        <v>0</v>
      </c>
      <c r="E70" s="9">
        <v>1</v>
      </c>
      <c r="F70" s="9">
        <v>23</v>
      </c>
      <c r="G70" s="9" t="b">
        <v>0</v>
      </c>
      <c r="H70" s="9">
        <v>1</v>
      </c>
      <c r="I70" s="9">
        <v>1</v>
      </c>
      <c r="J70" s="9">
        <v>0.18</v>
      </c>
      <c r="K70" s="9">
        <v>0.21210000000000001</v>
      </c>
      <c r="L70" s="9">
        <v>0.55000000000000004</v>
      </c>
      <c r="M70" s="9">
        <v>0.1045</v>
      </c>
      <c r="N70" s="9">
        <v>1</v>
      </c>
      <c r="O70" s="9">
        <v>11</v>
      </c>
      <c r="P70" s="9">
        <v>12</v>
      </c>
      <c r="Q70" s="13" t="s">
        <v>98</v>
      </c>
      <c r="R70" s="13" t="s">
        <v>79</v>
      </c>
      <c r="S70" s="9" t="s">
        <v>80</v>
      </c>
      <c r="T70" s="13" t="s">
        <v>81</v>
      </c>
      <c r="U70" s="16" t="s">
        <v>97</v>
      </c>
      <c r="V70" s="12" t="s">
        <v>83</v>
      </c>
      <c r="W70" s="15" t="s">
        <v>84</v>
      </c>
      <c r="X70" s="9" t="s">
        <v>85</v>
      </c>
      <c r="Y70" s="13" t="s">
        <v>99</v>
      </c>
      <c r="Z70">
        <f t="shared" si="7"/>
        <v>649</v>
      </c>
      <c r="AA70" s="39">
        <f t="shared" si="8"/>
        <v>62.726631393298057</v>
      </c>
      <c r="AB70" s="39">
        <f t="shared" si="9"/>
        <v>1907.5470036701729</v>
      </c>
      <c r="AC70">
        <f t="shared" si="6"/>
        <v>0.99966179229759011</v>
      </c>
      <c r="AD70">
        <f t="shared" si="10"/>
        <v>0.99952174230484825</v>
      </c>
      <c r="AE70">
        <f t="shared" si="11"/>
        <v>41098</v>
      </c>
    </row>
    <row r="71" spans="1:31">
      <c r="A71" s="10">
        <v>70</v>
      </c>
      <c r="B71" s="31">
        <v>40547</v>
      </c>
      <c r="C71" s="10">
        <v>1</v>
      </c>
      <c r="D71" s="10">
        <v>0</v>
      </c>
      <c r="E71" s="10">
        <v>1</v>
      </c>
      <c r="F71" s="10">
        <v>0</v>
      </c>
      <c r="G71" s="10" t="b">
        <v>0</v>
      </c>
      <c r="H71" s="10">
        <v>2</v>
      </c>
      <c r="I71" s="10">
        <v>1</v>
      </c>
      <c r="J71" s="10">
        <v>0.16</v>
      </c>
      <c r="K71" s="10">
        <v>0.16739999999999999</v>
      </c>
      <c r="L71" s="10">
        <v>0.55000000000000004</v>
      </c>
      <c r="M71" s="10">
        <v>0.1045</v>
      </c>
      <c r="N71" s="10">
        <v>0</v>
      </c>
      <c r="O71" s="10">
        <v>5</v>
      </c>
      <c r="P71" s="10">
        <v>5</v>
      </c>
      <c r="Q71" s="13" t="s">
        <v>98</v>
      </c>
      <c r="R71" s="13" t="s">
        <v>79</v>
      </c>
      <c r="S71" s="10" t="s">
        <v>80</v>
      </c>
      <c r="T71" s="13" t="s">
        <v>81</v>
      </c>
      <c r="U71" s="14" t="s">
        <v>82</v>
      </c>
      <c r="V71" s="12" t="s">
        <v>83</v>
      </c>
      <c r="W71" s="15" t="s">
        <v>84</v>
      </c>
      <c r="X71" s="10" t="s">
        <v>85</v>
      </c>
      <c r="Y71" s="13" t="s">
        <v>99</v>
      </c>
      <c r="Z71">
        <f t="shared" si="7"/>
        <v>648</v>
      </c>
      <c r="AA71" s="39">
        <f t="shared" si="8"/>
        <v>62.816254416961129</v>
      </c>
      <c r="AB71" s="39">
        <f t="shared" si="9"/>
        <v>1908.5678041661447</v>
      </c>
      <c r="AC71">
        <f t="shared" si="6"/>
        <v>0.99966205066070213</v>
      </c>
      <c r="AD71">
        <f t="shared" si="10"/>
        <v>0.99952203280124885</v>
      </c>
      <c r="AE71">
        <f t="shared" si="11"/>
        <v>41086</v>
      </c>
    </row>
    <row r="72" spans="1:31">
      <c r="A72" s="9">
        <v>71</v>
      </c>
      <c r="B72" s="30">
        <v>40547</v>
      </c>
      <c r="C72" s="9">
        <v>1</v>
      </c>
      <c r="D72" s="9">
        <v>0</v>
      </c>
      <c r="E72" s="9">
        <v>1</v>
      </c>
      <c r="F72" s="9">
        <v>1</v>
      </c>
      <c r="G72" s="9" t="b">
        <v>0</v>
      </c>
      <c r="H72" s="9">
        <v>2</v>
      </c>
      <c r="I72" s="9">
        <v>1</v>
      </c>
      <c r="J72" s="9">
        <v>0.16</v>
      </c>
      <c r="K72" s="9">
        <v>0.18179999999999999</v>
      </c>
      <c r="L72" s="9">
        <v>0.59</v>
      </c>
      <c r="M72" s="9">
        <v>0.1045</v>
      </c>
      <c r="N72" s="9">
        <v>0</v>
      </c>
      <c r="O72" s="9">
        <v>2</v>
      </c>
      <c r="P72" s="9">
        <v>2</v>
      </c>
      <c r="Q72" s="13" t="s">
        <v>98</v>
      </c>
      <c r="R72" s="13" t="s">
        <v>79</v>
      </c>
      <c r="S72" s="9" t="s">
        <v>80</v>
      </c>
      <c r="T72" s="13" t="s">
        <v>81</v>
      </c>
      <c r="U72" s="14" t="s">
        <v>82</v>
      </c>
      <c r="V72" s="12" t="s">
        <v>83</v>
      </c>
      <c r="W72" s="15" t="s">
        <v>84</v>
      </c>
      <c r="X72" s="9" t="s">
        <v>85</v>
      </c>
      <c r="Y72" s="13" t="s">
        <v>99</v>
      </c>
      <c r="Z72">
        <f t="shared" si="7"/>
        <v>647</v>
      </c>
      <c r="AA72" s="39">
        <f t="shared" si="8"/>
        <v>62.918584070796463</v>
      </c>
      <c r="AB72" s="39">
        <f t="shared" si="9"/>
        <v>1909.5897983319221</v>
      </c>
      <c r="AC72">
        <f t="shared" si="6"/>
        <v>0.99966232626028106</v>
      </c>
      <c r="AD72">
        <f t="shared" si="10"/>
        <v>0.99952242299652005</v>
      </c>
      <c r="AE72">
        <f t="shared" si="11"/>
        <v>41081</v>
      </c>
    </row>
    <row r="73" spans="1:31">
      <c r="A73" s="10">
        <v>72</v>
      </c>
      <c r="B73" s="31">
        <v>40547</v>
      </c>
      <c r="C73" s="10">
        <v>1</v>
      </c>
      <c r="D73" s="10">
        <v>0</v>
      </c>
      <c r="E73" s="10">
        <v>1</v>
      </c>
      <c r="F73" s="10">
        <v>2</v>
      </c>
      <c r="G73" s="10" t="b">
        <v>0</v>
      </c>
      <c r="H73" s="10">
        <v>2</v>
      </c>
      <c r="I73" s="10">
        <v>1</v>
      </c>
      <c r="J73" s="10">
        <v>0.14000000000000001</v>
      </c>
      <c r="K73" s="10">
        <v>0.1515</v>
      </c>
      <c r="L73" s="10">
        <v>0.63</v>
      </c>
      <c r="M73" s="10">
        <v>0.1343</v>
      </c>
      <c r="N73" s="10">
        <v>0</v>
      </c>
      <c r="O73" s="10">
        <v>1</v>
      </c>
      <c r="P73" s="10">
        <v>1</v>
      </c>
      <c r="Q73" s="13" t="s">
        <v>98</v>
      </c>
      <c r="R73" s="13" t="s">
        <v>79</v>
      </c>
      <c r="S73" s="10" t="s">
        <v>80</v>
      </c>
      <c r="T73" s="13" t="s">
        <v>81</v>
      </c>
      <c r="U73" s="14" t="s">
        <v>82</v>
      </c>
      <c r="V73" s="12" t="s">
        <v>83</v>
      </c>
      <c r="W73" s="15" t="s">
        <v>84</v>
      </c>
      <c r="X73" s="10" t="s">
        <v>85</v>
      </c>
      <c r="Y73" s="13" t="s">
        <v>99</v>
      </c>
      <c r="Z73">
        <f t="shared" si="7"/>
        <v>646</v>
      </c>
      <c r="AA73" s="39">
        <f t="shared" si="8"/>
        <v>63.026595744680854</v>
      </c>
      <c r="AB73" s="39">
        <f t="shared" si="9"/>
        <v>1910.6132357044903</v>
      </c>
      <c r="AC73">
        <f t="shared" si="6"/>
        <v>0.99966264212316258</v>
      </c>
      <c r="AD73">
        <f t="shared" si="10"/>
        <v>0.99952292787052943</v>
      </c>
      <c r="AE73">
        <f t="shared" si="11"/>
        <v>41079</v>
      </c>
    </row>
    <row r="74" spans="1:31">
      <c r="A74" s="9">
        <v>73</v>
      </c>
      <c r="B74" s="30">
        <v>40547</v>
      </c>
      <c r="C74" s="9">
        <v>1</v>
      </c>
      <c r="D74" s="9">
        <v>0</v>
      </c>
      <c r="E74" s="9">
        <v>1</v>
      </c>
      <c r="F74" s="9">
        <v>4</v>
      </c>
      <c r="G74" s="9" t="b">
        <v>0</v>
      </c>
      <c r="H74" s="9">
        <v>2</v>
      </c>
      <c r="I74" s="9">
        <v>1</v>
      </c>
      <c r="J74" s="9">
        <v>0.14000000000000001</v>
      </c>
      <c r="K74" s="9">
        <v>0.18179999999999999</v>
      </c>
      <c r="L74" s="9">
        <v>0.63</v>
      </c>
      <c r="M74" s="9">
        <v>8.9599999999999999E-2</v>
      </c>
      <c r="N74" s="9">
        <v>0</v>
      </c>
      <c r="O74" s="9">
        <v>2</v>
      </c>
      <c r="P74" s="9">
        <v>2</v>
      </c>
      <c r="Q74" s="13" t="s">
        <v>98</v>
      </c>
      <c r="R74" s="13" t="s">
        <v>79</v>
      </c>
      <c r="S74" s="9" t="s">
        <v>80</v>
      </c>
      <c r="T74" s="13" t="s">
        <v>81</v>
      </c>
      <c r="U74" s="14" t="s">
        <v>82</v>
      </c>
      <c r="V74" s="12" t="s">
        <v>83</v>
      </c>
      <c r="W74" s="15" t="s">
        <v>84</v>
      </c>
      <c r="X74" s="9" t="s">
        <v>85</v>
      </c>
      <c r="Y74" s="13" t="s">
        <v>99</v>
      </c>
      <c r="Z74">
        <f t="shared" si="7"/>
        <v>645</v>
      </c>
      <c r="AA74" s="39">
        <f t="shared" si="8"/>
        <v>63.136767317939608</v>
      </c>
      <c r="AB74" s="39">
        <f t="shared" si="9"/>
        <v>1911.6382523374853</v>
      </c>
      <c r="AC74">
        <f t="shared" si="6"/>
        <v>0.99966289795667884</v>
      </c>
      <c r="AD74">
        <f t="shared" si="10"/>
        <v>0.99952352416335666</v>
      </c>
      <c r="AE74">
        <f t="shared" si="11"/>
        <v>41078</v>
      </c>
    </row>
    <row r="75" spans="1:31">
      <c r="A75" s="10">
        <v>74</v>
      </c>
      <c r="B75" s="31">
        <v>40547</v>
      </c>
      <c r="C75" s="10">
        <v>1</v>
      </c>
      <c r="D75" s="10">
        <v>0</v>
      </c>
      <c r="E75" s="10">
        <v>1</v>
      </c>
      <c r="F75" s="10">
        <v>5</v>
      </c>
      <c r="G75" s="10" t="b">
        <v>0</v>
      </c>
      <c r="H75" s="10">
        <v>2</v>
      </c>
      <c r="I75" s="10">
        <v>1</v>
      </c>
      <c r="J75" s="10">
        <v>0.12</v>
      </c>
      <c r="K75" s="10">
        <v>0.1515</v>
      </c>
      <c r="L75" s="10">
        <v>0.68</v>
      </c>
      <c r="M75" s="10">
        <v>0.1045</v>
      </c>
      <c r="N75" s="10">
        <v>0</v>
      </c>
      <c r="O75" s="10">
        <v>4</v>
      </c>
      <c r="P75" s="10">
        <v>4</v>
      </c>
      <c r="Q75" s="13" t="s">
        <v>98</v>
      </c>
      <c r="R75" s="13" t="s">
        <v>79</v>
      </c>
      <c r="S75" s="10" t="s">
        <v>80</v>
      </c>
      <c r="T75" s="13" t="s">
        <v>81</v>
      </c>
      <c r="U75" s="15" t="s">
        <v>89</v>
      </c>
      <c r="V75" s="12" t="s">
        <v>83</v>
      </c>
      <c r="W75" s="15" t="s">
        <v>84</v>
      </c>
      <c r="X75" s="10" t="s">
        <v>85</v>
      </c>
      <c r="Y75" s="13" t="s">
        <v>99</v>
      </c>
      <c r="Z75">
        <f t="shared" si="7"/>
        <v>644</v>
      </c>
      <c r="AA75" s="39">
        <f t="shared" si="8"/>
        <v>63.245551601423486</v>
      </c>
      <c r="AB75" s="39">
        <f t="shared" si="9"/>
        <v>1912.6649885493216</v>
      </c>
      <c r="AC75">
        <f t="shared" si="6"/>
        <v>0.99966314217600971</v>
      </c>
      <c r="AD75">
        <f t="shared" si="10"/>
        <v>0.99952410310874973</v>
      </c>
      <c r="AE75">
        <f t="shared" si="11"/>
        <v>41076</v>
      </c>
    </row>
    <row r="76" spans="1:31">
      <c r="A76" s="9">
        <v>75</v>
      </c>
      <c r="B76" s="30">
        <v>40547</v>
      </c>
      <c r="C76" s="9">
        <v>1</v>
      </c>
      <c r="D76" s="9">
        <v>0</v>
      </c>
      <c r="E76" s="9">
        <v>1</v>
      </c>
      <c r="F76" s="9">
        <v>6</v>
      </c>
      <c r="G76" s="9" t="b">
        <v>0</v>
      </c>
      <c r="H76" s="9">
        <v>2</v>
      </c>
      <c r="I76" s="9">
        <v>1</v>
      </c>
      <c r="J76" s="9">
        <v>0.12</v>
      </c>
      <c r="K76" s="9">
        <v>0.1515</v>
      </c>
      <c r="L76" s="9">
        <v>0.74</v>
      </c>
      <c r="M76" s="9">
        <v>0.1045</v>
      </c>
      <c r="N76" s="9">
        <v>0</v>
      </c>
      <c r="O76" s="9">
        <v>36</v>
      </c>
      <c r="P76" s="9">
        <v>36</v>
      </c>
      <c r="Q76" s="13" t="s">
        <v>98</v>
      </c>
      <c r="R76" s="13" t="s">
        <v>79</v>
      </c>
      <c r="S76" s="9" t="s">
        <v>80</v>
      </c>
      <c r="T76" s="13" t="s">
        <v>81</v>
      </c>
      <c r="U76" s="15" t="s">
        <v>89</v>
      </c>
      <c r="V76" s="11" t="s">
        <v>87</v>
      </c>
      <c r="W76" s="15" t="s">
        <v>84</v>
      </c>
      <c r="X76" s="9" t="s">
        <v>85</v>
      </c>
      <c r="Y76" s="13" t="s">
        <v>99</v>
      </c>
      <c r="Z76">
        <f t="shared" si="7"/>
        <v>643</v>
      </c>
      <c r="AA76" s="39">
        <f t="shared" si="8"/>
        <v>63.351158645276293</v>
      </c>
      <c r="AB76" s="39">
        <f t="shared" si="9"/>
        <v>1913.6935156384536</v>
      </c>
      <c r="AC76">
        <f t="shared" si="6"/>
        <v>0.99966330324323494</v>
      </c>
      <c r="AD76">
        <f t="shared" si="10"/>
        <v>0.99952474041431472</v>
      </c>
      <c r="AE76">
        <f t="shared" si="11"/>
        <v>41072</v>
      </c>
    </row>
    <row r="77" spans="1:31">
      <c r="A77" s="10">
        <v>76</v>
      </c>
      <c r="B77" s="31">
        <v>40547</v>
      </c>
      <c r="C77" s="10">
        <v>1</v>
      </c>
      <c r="D77" s="10">
        <v>0</v>
      </c>
      <c r="E77" s="10">
        <v>1</v>
      </c>
      <c r="F77" s="10">
        <v>7</v>
      </c>
      <c r="G77" s="10" t="b">
        <v>0</v>
      </c>
      <c r="H77" s="10">
        <v>2</v>
      </c>
      <c r="I77" s="10">
        <v>1</v>
      </c>
      <c r="J77" s="10">
        <v>0.12</v>
      </c>
      <c r="K77" s="10">
        <v>0.1515</v>
      </c>
      <c r="L77" s="10">
        <v>0.74</v>
      </c>
      <c r="M77" s="10">
        <v>0.1343</v>
      </c>
      <c r="N77" s="10">
        <v>2</v>
      </c>
      <c r="O77" s="10">
        <v>92</v>
      </c>
      <c r="P77" s="10">
        <v>94</v>
      </c>
      <c r="Q77" s="13" t="s">
        <v>98</v>
      </c>
      <c r="R77" s="13" t="s">
        <v>79</v>
      </c>
      <c r="S77" s="10" t="s">
        <v>80</v>
      </c>
      <c r="T77" s="13" t="s">
        <v>81</v>
      </c>
      <c r="U77" s="15" t="s">
        <v>89</v>
      </c>
      <c r="V77" s="13" t="s">
        <v>93</v>
      </c>
      <c r="W77" s="15" t="s">
        <v>84</v>
      </c>
      <c r="X77" s="10" t="s">
        <v>85</v>
      </c>
      <c r="Y77" s="13" t="s">
        <v>99</v>
      </c>
      <c r="Z77">
        <f t="shared" si="7"/>
        <v>642</v>
      </c>
      <c r="AA77" s="39">
        <f t="shared" si="8"/>
        <v>63.4</v>
      </c>
      <c r="AB77" s="39">
        <f t="shared" si="9"/>
        <v>1914.7255557614353</v>
      </c>
      <c r="AC77">
        <f t="shared" si="6"/>
        <v>0.9996633027162416</v>
      </c>
      <c r="AD77">
        <f t="shared" si="10"/>
        <v>0.9995249741211788</v>
      </c>
      <c r="AE77">
        <f t="shared" si="11"/>
        <v>41036</v>
      </c>
    </row>
    <row r="78" spans="1:31">
      <c r="A78" s="9">
        <v>77</v>
      </c>
      <c r="B78" s="30">
        <v>40547</v>
      </c>
      <c r="C78" s="9">
        <v>1</v>
      </c>
      <c r="D78" s="9">
        <v>0</v>
      </c>
      <c r="E78" s="9">
        <v>1</v>
      </c>
      <c r="F78" s="9">
        <v>8</v>
      </c>
      <c r="G78" s="9" t="b">
        <v>0</v>
      </c>
      <c r="H78" s="9">
        <v>2</v>
      </c>
      <c r="I78" s="9">
        <v>1</v>
      </c>
      <c r="J78" s="9">
        <v>0.14000000000000001</v>
      </c>
      <c r="K78" s="9">
        <v>0.1515</v>
      </c>
      <c r="L78" s="9">
        <v>0.69</v>
      </c>
      <c r="M78" s="9">
        <v>0.16420000000000001</v>
      </c>
      <c r="N78" s="9">
        <v>2</v>
      </c>
      <c r="O78" s="9">
        <v>177</v>
      </c>
      <c r="P78" s="9">
        <v>179</v>
      </c>
      <c r="Q78" s="13" t="s">
        <v>98</v>
      </c>
      <c r="R78" s="13" t="s">
        <v>79</v>
      </c>
      <c r="S78" s="9" t="s">
        <v>80</v>
      </c>
      <c r="T78" s="13" t="s">
        <v>81</v>
      </c>
      <c r="U78" s="15" t="s">
        <v>89</v>
      </c>
      <c r="V78" s="13" t="s">
        <v>93</v>
      </c>
      <c r="W78" s="15" t="s">
        <v>84</v>
      </c>
      <c r="X78" s="9" t="s">
        <v>85</v>
      </c>
      <c r="Y78" s="13" t="s">
        <v>99</v>
      </c>
      <c r="Z78">
        <f t="shared" si="7"/>
        <v>641</v>
      </c>
      <c r="AA78" s="39">
        <f t="shared" si="8"/>
        <v>63.345259391771023</v>
      </c>
      <c r="AB78" s="39">
        <f t="shared" si="9"/>
        <v>1915.7611530163606</v>
      </c>
      <c r="AC78">
        <f t="shared" si="6"/>
        <v>0.99966377885420898</v>
      </c>
      <c r="AD78">
        <f t="shared" si="10"/>
        <v>0.99952502230803919</v>
      </c>
      <c r="AE78">
        <f t="shared" si="11"/>
        <v>40942</v>
      </c>
    </row>
    <row r="79" spans="1:31">
      <c r="A79" s="10">
        <v>78</v>
      </c>
      <c r="B79" s="31">
        <v>40547</v>
      </c>
      <c r="C79" s="10">
        <v>1</v>
      </c>
      <c r="D79" s="10">
        <v>0</v>
      </c>
      <c r="E79" s="10">
        <v>1</v>
      </c>
      <c r="F79" s="10">
        <v>9</v>
      </c>
      <c r="G79" s="10" t="b">
        <v>0</v>
      </c>
      <c r="H79" s="10">
        <v>2</v>
      </c>
      <c r="I79" s="10">
        <v>1</v>
      </c>
      <c r="J79" s="10">
        <v>0.16</v>
      </c>
      <c r="K79" s="10">
        <v>0.1515</v>
      </c>
      <c r="L79" s="10">
        <v>0.64</v>
      </c>
      <c r="M79" s="10">
        <v>0.22389999999999999</v>
      </c>
      <c r="N79" s="10">
        <v>2</v>
      </c>
      <c r="O79" s="10">
        <v>98</v>
      </c>
      <c r="P79" s="10">
        <v>100</v>
      </c>
      <c r="Q79" s="13" t="s">
        <v>98</v>
      </c>
      <c r="R79" s="13" t="s">
        <v>79</v>
      </c>
      <c r="S79" s="10" t="s">
        <v>80</v>
      </c>
      <c r="T79" s="13" t="s">
        <v>81</v>
      </c>
      <c r="U79" s="15" t="s">
        <v>89</v>
      </c>
      <c r="V79" s="13" t="s">
        <v>93</v>
      </c>
      <c r="W79" s="15" t="s">
        <v>84</v>
      </c>
      <c r="X79" s="10" t="s">
        <v>85</v>
      </c>
      <c r="Y79" s="13" t="s">
        <v>99</v>
      </c>
      <c r="Z79">
        <f t="shared" si="7"/>
        <v>640</v>
      </c>
      <c r="AA79" s="39">
        <f t="shared" si="8"/>
        <v>63.137992831541219</v>
      </c>
      <c r="AB79" s="39">
        <f t="shared" si="9"/>
        <v>1916.7977599402102</v>
      </c>
      <c r="AC79">
        <f t="shared" si="6"/>
        <v>0.99966651712478283</v>
      </c>
      <c r="AD79">
        <f t="shared" si="10"/>
        <v>0.99952674775803063</v>
      </c>
      <c r="AE79">
        <f t="shared" si="11"/>
        <v>40763</v>
      </c>
    </row>
    <row r="80" spans="1:31">
      <c r="A80" s="9">
        <v>79</v>
      </c>
      <c r="B80" s="30">
        <v>40547</v>
      </c>
      <c r="C80" s="9">
        <v>1</v>
      </c>
      <c r="D80" s="9">
        <v>0</v>
      </c>
      <c r="E80" s="9">
        <v>1</v>
      </c>
      <c r="F80" s="9">
        <v>10</v>
      </c>
      <c r="G80" s="9" t="b">
        <v>0</v>
      </c>
      <c r="H80" s="9">
        <v>2</v>
      </c>
      <c r="I80" s="9">
        <v>2</v>
      </c>
      <c r="J80" s="9">
        <v>0.16</v>
      </c>
      <c r="K80" s="9">
        <v>0.13639999999999999</v>
      </c>
      <c r="L80" s="9">
        <v>0.69</v>
      </c>
      <c r="M80" s="9">
        <v>0.32840000000000003</v>
      </c>
      <c r="N80" s="9">
        <v>5</v>
      </c>
      <c r="O80" s="9">
        <v>37</v>
      </c>
      <c r="P80" s="9">
        <v>42</v>
      </c>
      <c r="Q80" s="13" t="s">
        <v>98</v>
      </c>
      <c r="R80" s="13" t="s">
        <v>79</v>
      </c>
      <c r="S80" s="9" t="s">
        <v>80</v>
      </c>
      <c r="T80" s="11" t="s">
        <v>88</v>
      </c>
      <c r="U80" s="13" t="s">
        <v>91</v>
      </c>
      <c r="V80" s="11" t="s">
        <v>87</v>
      </c>
      <c r="W80" s="15" t="s">
        <v>84</v>
      </c>
      <c r="X80" s="9" t="s">
        <v>85</v>
      </c>
      <c r="Y80" s="13" t="s">
        <v>99</v>
      </c>
      <c r="Z80">
        <f t="shared" si="7"/>
        <v>639</v>
      </c>
      <c r="AA80" s="39">
        <f t="shared" si="8"/>
        <v>63.071813285457807</v>
      </c>
      <c r="AB80" s="39">
        <f t="shared" si="9"/>
        <v>1917.8368136620822</v>
      </c>
      <c r="AC80">
        <f t="shared" ref="AC80:AC143" si="12">CORREL(J80:J1079,P80:P1079)</f>
        <v>0.99966691135108965</v>
      </c>
      <c r="AD80">
        <f t="shared" si="10"/>
        <v>0.99952692071018245</v>
      </c>
      <c r="AE80">
        <f t="shared" si="11"/>
        <v>40663</v>
      </c>
    </row>
    <row r="81" spans="1:31">
      <c r="A81" s="10">
        <v>80</v>
      </c>
      <c r="B81" s="31">
        <v>40547</v>
      </c>
      <c r="C81" s="10">
        <v>1</v>
      </c>
      <c r="D81" s="10">
        <v>0</v>
      </c>
      <c r="E81" s="10">
        <v>1</v>
      </c>
      <c r="F81" s="10">
        <v>11</v>
      </c>
      <c r="G81" s="10" t="b">
        <v>0</v>
      </c>
      <c r="H81" s="10">
        <v>2</v>
      </c>
      <c r="I81" s="10">
        <v>1</v>
      </c>
      <c r="J81" s="10">
        <v>0.22</v>
      </c>
      <c r="K81" s="10">
        <v>0.21210000000000001</v>
      </c>
      <c r="L81" s="10">
        <v>0.51</v>
      </c>
      <c r="M81" s="10">
        <v>0.29849999999999999</v>
      </c>
      <c r="N81" s="10">
        <v>7</v>
      </c>
      <c r="O81" s="10">
        <v>50</v>
      </c>
      <c r="P81" s="10">
        <v>57</v>
      </c>
      <c r="Q81" s="13" t="s">
        <v>98</v>
      </c>
      <c r="R81" s="13" t="s">
        <v>79</v>
      </c>
      <c r="S81" s="10" t="s">
        <v>80</v>
      </c>
      <c r="T81" s="13" t="s">
        <v>81</v>
      </c>
      <c r="U81" s="13" t="s">
        <v>91</v>
      </c>
      <c r="V81" s="11" t="s">
        <v>87</v>
      </c>
      <c r="W81" s="15" t="s">
        <v>84</v>
      </c>
      <c r="X81" s="10" t="s">
        <v>85</v>
      </c>
      <c r="Y81" s="13" t="s">
        <v>99</v>
      </c>
      <c r="Z81">
        <f t="shared" si="7"/>
        <v>638</v>
      </c>
      <c r="AA81" s="39">
        <f t="shared" si="8"/>
        <v>63.071813285457807</v>
      </c>
      <c r="AB81" s="39">
        <f t="shared" si="9"/>
        <v>1918.8758675895122</v>
      </c>
      <c r="AC81">
        <f t="shared" si="12"/>
        <v>0.9996669165157932</v>
      </c>
      <c r="AD81">
        <f t="shared" si="10"/>
        <v>0.99952704175261253</v>
      </c>
      <c r="AE81">
        <f t="shared" si="11"/>
        <v>40621</v>
      </c>
    </row>
    <row r="82" spans="1:31">
      <c r="A82" s="9">
        <v>81</v>
      </c>
      <c r="B82" s="30">
        <v>40547</v>
      </c>
      <c r="C82" s="9">
        <v>1</v>
      </c>
      <c r="D82" s="9">
        <v>0</v>
      </c>
      <c r="E82" s="9">
        <v>1</v>
      </c>
      <c r="F82" s="9">
        <v>12</v>
      </c>
      <c r="G82" s="9" t="b">
        <v>0</v>
      </c>
      <c r="H82" s="9">
        <v>2</v>
      </c>
      <c r="I82" s="9">
        <v>1</v>
      </c>
      <c r="J82" s="9">
        <v>0.22</v>
      </c>
      <c r="K82" s="9">
        <v>0.2273</v>
      </c>
      <c r="L82" s="9">
        <v>0.51</v>
      </c>
      <c r="M82" s="9">
        <v>0.16420000000000001</v>
      </c>
      <c r="N82" s="9">
        <v>12</v>
      </c>
      <c r="O82" s="9">
        <v>66</v>
      </c>
      <c r="P82" s="9">
        <v>78</v>
      </c>
      <c r="Q82" s="13" t="s">
        <v>98</v>
      </c>
      <c r="R82" s="13" t="s">
        <v>79</v>
      </c>
      <c r="S82" s="9" t="s">
        <v>80</v>
      </c>
      <c r="T82" s="13" t="s">
        <v>81</v>
      </c>
      <c r="U82" s="11" t="s">
        <v>92</v>
      </c>
      <c r="V82" s="13" t="s">
        <v>93</v>
      </c>
      <c r="W82" s="15" t="s">
        <v>84</v>
      </c>
      <c r="X82" s="9" t="s">
        <v>85</v>
      </c>
      <c r="Y82" s="13" t="s">
        <v>99</v>
      </c>
      <c r="Z82">
        <f t="shared" si="7"/>
        <v>637</v>
      </c>
      <c r="AA82" s="39">
        <f t="shared" si="8"/>
        <v>63.082733812949641</v>
      </c>
      <c r="AB82" s="39">
        <f t="shared" si="9"/>
        <v>1919.9172333613844</v>
      </c>
      <c r="AC82">
        <f t="shared" si="12"/>
        <v>0.99966692617635389</v>
      </c>
      <c r="AD82">
        <f t="shared" si="10"/>
        <v>0.99952704381432145</v>
      </c>
      <c r="AE82">
        <f t="shared" si="11"/>
        <v>40564</v>
      </c>
    </row>
    <row r="83" spans="1:31">
      <c r="A83" s="10">
        <v>82</v>
      </c>
      <c r="B83" s="31">
        <v>40547</v>
      </c>
      <c r="C83" s="10">
        <v>1</v>
      </c>
      <c r="D83" s="10">
        <v>0</v>
      </c>
      <c r="E83" s="10">
        <v>1</v>
      </c>
      <c r="F83" s="10">
        <v>13</v>
      </c>
      <c r="G83" s="10" t="b">
        <v>0</v>
      </c>
      <c r="H83" s="10">
        <v>2</v>
      </c>
      <c r="I83" s="10">
        <v>1</v>
      </c>
      <c r="J83" s="10">
        <v>0.24</v>
      </c>
      <c r="K83" s="10">
        <v>0.2273</v>
      </c>
      <c r="L83" s="10">
        <v>0.56000000000000005</v>
      </c>
      <c r="M83" s="10">
        <v>0.19400000000000001</v>
      </c>
      <c r="N83" s="10">
        <v>18</v>
      </c>
      <c r="O83" s="10">
        <v>79</v>
      </c>
      <c r="P83" s="10">
        <v>97</v>
      </c>
      <c r="Q83" s="13" t="s">
        <v>98</v>
      </c>
      <c r="R83" s="13" t="s">
        <v>79</v>
      </c>
      <c r="S83" s="10" t="s">
        <v>80</v>
      </c>
      <c r="T83" s="13" t="s">
        <v>81</v>
      </c>
      <c r="U83" s="11" t="s">
        <v>92</v>
      </c>
      <c r="V83" s="13" t="s">
        <v>93</v>
      </c>
      <c r="W83" s="15" t="s">
        <v>84</v>
      </c>
      <c r="X83" s="10" t="s">
        <v>85</v>
      </c>
      <c r="Y83" s="13" t="s">
        <v>99</v>
      </c>
      <c r="Z83">
        <f t="shared" si="7"/>
        <v>636</v>
      </c>
      <c r="AA83" s="39">
        <f t="shared" si="8"/>
        <v>63.055855855855853</v>
      </c>
      <c r="AB83" s="39">
        <f t="shared" si="9"/>
        <v>1920.9609530387495</v>
      </c>
      <c r="AC83">
        <f t="shared" si="12"/>
        <v>0.99966694989666771</v>
      </c>
      <c r="AD83">
        <f t="shared" si="10"/>
        <v>0.99952713768902424</v>
      </c>
      <c r="AE83">
        <f t="shared" si="11"/>
        <v>40486</v>
      </c>
    </row>
    <row r="84" spans="1:31">
      <c r="A84" s="9">
        <v>83</v>
      </c>
      <c r="B84" s="30">
        <v>40547</v>
      </c>
      <c r="C84" s="9">
        <v>1</v>
      </c>
      <c r="D84" s="9">
        <v>0</v>
      </c>
      <c r="E84" s="9">
        <v>1</v>
      </c>
      <c r="F84" s="9">
        <v>14</v>
      </c>
      <c r="G84" s="9" t="b">
        <v>0</v>
      </c>
      <c r="H84" s="9">
        <v>2</v>
      </c>
      <c r="I84" s="9">
        <v>1</v>
      </c>
      <c r="J84" s="9">
        <v>0.26</v>
      </c>
      <c r="K84" s="9">
        <v>0.2576</v>
      </c>
      <c r="L84" s="9">
        <v>0.52</v>
      </c>
      <c r="M84" s="9">
        <v>0.22389999999999999</v>
      </c>
      <c r="N84" s="9">
        <v>9</v>
      </c>
      <c r="O84" s="9">
        <v>54</v>
      </c>
      <c r="P84" s="9">
        <v>63</v>
      </c>
      <c r="Q84" s="13" t="s">
        <v>98</v>
      </c>
      <c r="R84" s="13" t="s">
        <v>79</v>
      </c>
      <c r="S84" s="9" t="s">
        <v>80</v>
      </c>
      <c r="T84" s="13" t="s">
        <v>81</v>
      </c>
      <c r="U84" s="13" t="s">
        <v>94</v>
      </c>
      <c r="V84" s="11" t="s">
        <v>87</v>
      </c>
      <c r="W84" s="13" t="s">
        <v>90</v>
      </c>
      <c r="X84" s="9" t="s">
        <v>85</v>
      </c>
      <c r="Y84" s="13" t="s">
        <v>99</v>
      </c>
      <c r="Z84">
        <f t="shared" si="7"/>
        <v>635</v>
      </c>
      <c r="AA84" s="39">
        <f t="shared" si="8"/>
        <v>62.994584837545126</v>
      </c>
      <c r="AB84" s="39">
        <f t="shared" si="9"/>
        <v>1922.0067560890418</v>
      </c>
      <c r="AC84">
        <f t="shared" si="12"/>
        <v>0.99966705024380265</v>
      </c>
      <c r="AD84">
        <f t="shared" si="10"/>
        <v>0.99952736537283626</v>
      </c>
      <c r="AE84">
        <f t="shared" si="11"/>
        <v>40389</v>
      </c>
    </row>
    <row r="85" spans="1:31">
      <c r="A85" s="10">
        <v>84</v>
      </c>
      <c r="B85" s="31">
        <v>40547</v>
      </c>
      <c r="C85" s="10">
        <v>1</v>
      </c>
      <c r="D85" s="10">
        <v>0</v>
      </c>
      <c r="E85" s="10">
        <v>1</v>
      </c>
      <c r="F85" s="10">
        <v>15</v>
      </c>
      <c r="G85" s="10" t="b">
        <v>0</v>
      </c>
      <c r="H85" s="10">
        <v>2</v>
      </c>
      <c r="I85" s="10">
        <v>1</v>
      </c>
      <c r="J85" s="10">
        <v>0.28000000000000003</v>
      </c>
      <c r="K85" s="10">
        <v>0.2727</v>
      </c>
      <c r="L85" s="10">
        <v>0.52</v>
      </c>
      <c r="M85" s="10">
        <v>0.25369999999999998</v>
      </c>
      <c r="N85" s="10">
        <v>17</v>
      </c>
      <c r="O85" s="10">
        <v>48</v>
      </c>
      <c r="P85" s="10">
        <v>65</v>
      </c>
      <c r="Q85" s="13" t="s">
        <v>98</v>
      </c>
      <c r="R85" s="13" t="s">
        <v>79</v>
      </c>
      <c r="S85" s="10" t="s">
        <v>80</v>
      </c>
      <c r="T85" s="13" t="s">
        <v>81</v>
      </c>
      <c r="U85" s="13" t="s">
        <v>94</v>
      </c>
      <c r="V85" s="11" t="s">
        <v>87</v>
      </c>
      <c r="W85" s="13" t="s">
        <v>90</v>
      </c>
      <c r="X85" s="10" t="s">
        <v>85</v>
      </c>
      <c r="Y85" s="13" t="s">
        <v>99</v>
      </c>
      <c r="Z85">
        <f t="shared" si="7"/>
        <v>634</v>
      </c>
      <c r="AA85" s="39">
        <f t="shared" si="8"/>
        <v>62.994575045207959</v>
      </c>
      <c r="AB85" s="39">
        <f t="shared" si="9"/>
        <v>1923.0534445766561</v>
      </c>
      <c r="AC85">
        <f t="shared" si="12"/>
        <v>0.99966707702797319</v>
      </c>
      <c r="AD85">
        <f t="shared" si="10"/>
        <v>0.99952737770218103</v>
      </c>
      <c r="AE85">
        <f t="shared" si="11"/>
        <v>40326</v>
      </c>
    </row>
    <row r="86" spans="1:31">
      <c r="A86" s="9">
        <v>85</v>
      </c>
      <c r="B86" s="30">
        <v>40547</v>
      </c>
      <c r="C86" s="9">
        <v>1</v>
      </c>
      <c r="D86" s="9">
        <v>0</v>
      </c>
      <c r="E86" s="9">
        <v>1</v>
      </c>
      <c r="F86" s="9">
        <v>16</v>
      </c>
      <c r="G86" s="9" t="b">
        <v>0</v>
      </c>
      <c r="H86" s="9">
        <v>2</v>
      </c>
      <c r="I86" s="9">
        <v>1</v>
      </c>
      <c r="J86" s="9">
        <v>0.3</v>
      </c>
      <c r="K86" s="9">
        <v>0.28789999999999999</v>
      </c>
      <c r="L86" s="9">
        <v>0.49</v>
      </c>
      <c r="M86" s="9">
        <v>0.25369999999999998</v>
      </c>
      <c r="N86" s="9">
        <v>15</v>
      </c>
      <c r="O86" s="9">
        <v>68</v>
      </c>
      <c r="P86" s="9">
        <v>83</v>
      </c>
      <c r="Q86" s="13" t="s">
        <v>98</v>
      </c>
      <c r="R86" s="13" t="s">
        <v>79</v>
      </c>
      <c r="S86" s="9" t="s">
        <v>80</v>
      </c>
      <c r="T86" s="13" t="s">
        <v>81</v>
      </c>
      <c r="U86" s="13" t="s">
        <v>94</v>
      </c>
      <c r="V86" s="13" t="s">
        <v>93</v>
      </c>
      <c r="W86" s="13" t="s">
        <v>90</v>
      </c>
      <c r="X86" s="9" t="s">
        <v>85</v>
      </c>
      <c r="Y86" s="13" t="s">
        <v>99</v>
      </c>
      <c r="Z86">
        <f t="shared" si="7"/>
        <v>633</v>
      </c>
      <c r="AA86" s="39">
        <f t="shared" si="8"/>
        <v>62.990942028985508</v>
      </c>
      <c r="AB86" s="39">
        <f t="shared" si="9"/>
        <v>1924.1019117248379</v>
      </c>
      <c r="AC86">
        <f t="shared" si="12"/>
        <v>0.999667120554116</v>
      </c>
      <c r="AD86">
        <f t="shared" si="10"/>
        <v>0.99952739619316588</v>
      </c>
      <c r="AE86">
        <f t="shared" si="11"/>
        <v>40261</v>
      </c>
    </row>
    <row r="87" spans="1:31">
      <c r="A87" s="10">
        <v>86</v>
      </c>
      <c r="B87" s="31">
        <v>40547</v>
      </c>
      <c r="C87" s="10">
        <v>1</v>
      </c>
      <c r="D87" s="10">
        <v>0</v>
      </c>
      <c r="E87" s="10">
        <v>1</v>
      </c>
      <c r="F87" s="10">
        <v>17</v>
      </c>
      <c r="G87" s="10" t="b">
        <v>0</v>
      </c>
      <c r="H87" s="10">
        <v>2</v>
      </c>
      <c r="I87" s="10">
        <v>1</v>
      </c>
      <c r="J87" s="10">
        <v>0.28000000000000003</v>
      </c>
      <c r="K87" s="10">
        <v>0.2727</v>
      </c>
      <c r="L87" s="10">
        <v>0.48</v>
      </c>
      <c r="M87" s="10">
        <v>0.22389999999999999</v>
      </c>
      <c r="N87" s="10">
        <v>10</v>
      </c>
      <c r="O87" s="10">
        <v>202</v>
      </c>
      <c r="P87" s="10">
        <v>212</v>
      </c>
      <c r="Q87" s="13" t="s">
        <v>98</v>
      </c>
      <c r="R87" s="13" t="s">
        <v>79</v>
      </c>
      <c r="S87" s="10" t="s">
        <v>80</v>
      </c>
      <c r="T87" s="13" t="s">
        <v>81</v>
      </c>
      <c r="U87" s="15" t="s">
        <v>95</v>
      </c>
      <c r="V87" s="13" t="s">
        <v>93</v>
      </c>
      <c r="W87" s="13" t="s">
        <v>90</v>
      </c>
      <c r="X87" s="10" t="s">
        <v>85</v>
      </c>
      <c r="Y87" s="13" t="s">
        <v>99</v>
      </c>
      <c r="Z87">
        <f t="shared" si="7"/>
        <v>632</v>
      </c>
      <c r="AA87" s="39">
        <f t="shared" si="8"/>
        <v>62.954627949183305</v>
      </c>
      <c r="AB87" s="39">
        <f t="shared" si="9"/>
        <v>1925.1525953053858</v>
      </c>
      <c r="AC87">
        <f t="shared" si="12"/>
        <v>0.99966712396602753</v>
      </c>
      <c r="AD87">
        <f t="shared" si="10"/>
        <v>0.9995275504643234</v>
      </c>
      <c r="AE87">
        <f t="shared" si="11"/>
        <v>40178</v>
      </c>
    </row>
    <row r="88" spans="1:31">
      <c r="A88" s="9">
        <v>87</v>
      </c>
      <c r="B88" s="30">
        <v>40547</v>
      </c>
      <c r="C88" s="9">
        <v>1</v>
      </c>
      <c r="D88" s="9">
        <v>0</v>
      </c>
      <c r="E88" s="9">
        <v>1</v>
      </c>
      <c r="F88" s="9">
        <v>18</v>
      </c>
      <c r="G88" s="9" t="b">
        <v>0</v>
      </c>
      <c r="H88" s="9">
        <v>2</v>
      </c>
      <c r="I88" s="9">
        <v>1</v>
      </c>
      <c r="J88" s="9">
        <v>0.26</v>
      </c>
      <c r="K88" s="9">
        <v>0.2576</v>
      </c>
      <c r="L88" s="9">
        <v>0.48</v>
      </c>
      <c r="M88" s="9">
        <v>0.19400000000000001</v>
      </c>
      <c r="N88" s="9">
        <v>3</v>
      </c>
      <c r="O88" s="9">
        <v>179</v>
      </c>
      <c r="P88" s="9">
        <v>182</v>
      </c>
      <c r="Q88" s="13" t="s">
        <v>98</v>
      </c>
      <c r="R88" s="13" t="s">
        <v>79</v>
      </c>
      <c r="S88" s="9" t="s">
        <v>80</v>
      </c>
      <c r="T88" s="13" t="s">
        <v>81</v>
      </c>
      <c r="U88" s="15" t="s">
        <v>95</v>
      </c>
      <c r="V88" s="13" t="s">
        <v>93</v>
      </c>
      <c r="W88" s="13" t="s">
        <v>90</v>
      </c>
      <c r="X88" s="9" t="s">
        <v>85</v>
      </c>
      <c r="Y88" s="13" t="s">
        <v>99</v>
      </c>
      <c r="Z88">
        <f t="shared" si="7"/>
        <v>631</v>
      </c>
      <c r="AA88" s="39">
        <f t="shared" si="8"/>
        <v>62.683636363636367</v>
      </c>
      <c r="AB88" s="39">
        <f t="shared" si="9"/>
        <v>1926.2031966040709</v>
      </c>
      <c r="AC88">
        <f t="shared" si="12"/>
        <v>0.99966960859416731</v>
      </c>
      <c r="AD88">
        <f t="shared" si="10"/>
        <v>0.99953144311731634</v>
      </c>
      <c r="AE88">
        <f t="shared" si="11"/>
        <v>39966</v>
      </c>
    </row>
    <row r="89" spans="1:31">
      <c r="A89" s="10">
        <v>88</v>
      </c>
      <c r="B89" s="31">
        <v>40547</v>
      </c>
      <c r="C89" s="10">
        <v>1</v>
      </c>
      <c r="D89" s="10">
        <v>0</v>
      </c>
      <c r="E89" s="10">
        <v>1</v>
      </c>
      <c r="F89" s="10">
        <v>19</v>
      </c>
      <c r="G89" s="10" t="b">
        <v>0</v>
      </c>
      <c r="H89" s="10">
        <v>2</v>
      </c>
      <c r="I89" s="10">
        <v>1</v>
      </c>
      <c r="J89" s="10">
        <v>0.24</v>
      </c>
      <c r="K89" s="10">
        <v>0.2576</v>
      </c>
      <c r="L89" s="10">
        <v>0.48</v>
      </c>
      <c r="M89" s="10">
        <v>0.1045</v>
      </c>
      <c r="N89" s="10">
        <v>2</v>
      </c>
      <c r="O89" s="10">
        <v>110</v>
      </c>
      <c r="P89" s="10">
        <v>112</v>
      </c>
      <c r="Q89" s="13" t="s">
        <v>98</v>
      </c>
      <c r="R89" s="13" t="s">
        <v>79</v>
      </c>
      <c r="S89" s="10" t="s">
        <v>80</v>
      </c>
      <c r="T89" s="13" t="s">
        <v>81</v>
      </c>
      <c r="U89" s="15" t="s">
        <v>95</v>
      </c>
      <c r="V89" s="13" t="s">
        <v>93</v>
      </c>
      <c r="W89" s="15" t="s">
        <v>84</v>
      </c>
      <c r="X89" s="10" t="s">
        <v>85</v>
      </c>
      <c r="Y89" s="13" t="s">
        <v>99</v>
      </c>
      <c r="Z89">
        <f t="shared" si="7"/>
        <v>630</v>
      </c>
      <c r="AA89" s="39">
        <f t="shared" si="8"/>
        <v>62.466302367941715</v>
      </c>
      <c r="AB89" s="39">
        <f t="shared" si="9"/>
        <v>1927.2567864140156</v>
      </c>
      <c r="AC89">
        <f t="shared" si="12"/>
        <v>0.99967125310136651</v>
      </c>
      <c r="AD89">
        <f t="shared" si="10"/>
        <v>0.99953403749854453</v>
      </c>
      <c r="AE89">
        <f t="shared" si="11"/>
        <v>39784</v>
      </c>
    </row>
    <row r="90" spans="1:31">
      <c r="A90" s="9">
        <v>89</v>
      </c>
      <c r="B90" s="30">
        <v>40547</v>
      </c>
      <c r="C90" s="9">
        <v>1</v>
      </c>
      <c r="D90" s="9">
        <v>0</v>
      </c>
      <c r="E90" s="9">
        <v>1</v>
      </c>
      <c r="F90" s="9">
        <v>20</v>
      </c>
      <c r="G90" s="9" t="b">
        <v>0</v>
      </c>
      <c r="H90" s="9">
        <v>2</v>
      </c>
      <c r="I90" s="9">
        <v>1</v>
      </c>
      <c r="J90" s="9">
        <v>0.24</v>
      </c>
      <c r="K90" s="9">
        <v>0.2576</v>
      </c>
      <c r="L90" s="9">
        <v>0.48</v>
      </c>
      <c r="M90" s="9">
        <v>0.1045</v>
      </c>
      <c r="N90" s="9">
        <v>1</v>
      </c>
      <c r="O90" s="9">
        <v>53</v>
      </c>
      <c r="P90" s="9">
        <v>54</v>
      </c>
      <c r="Q90" s="13" t="s">
        <v>98</v>
      </c>
      <c r="R90" s="13" t="s">
        <v>79</v>
      </c>
      <c r="S90" s="9" t="s">
        <v>80</v>
      </c>
      <c r="T90" s="13" t="s">
        <v>81</v>
      </c>
      <c r="U90" s="16" t="s">
        <v>97</v>
      </c>
      <c r="V90" s="11" t="s">
        <v>87</v>
      </c>
      <c r="W90" s="15" t="s">
        <v>84</v>
      </c>
      <c r="X90" s="9" t="s">
        <v>85</v>
      </c>
      <c r="Y90" s="13" t="s">
        <v>99</v>
      </c>
      <c r="Z90">
        <f t="shared" si="7"/>
        <v>629</v>
      </c>
      <c r="AA90" s="39">
        <f t="shared" si="8"/>
        <v>62.375912408759127</v>
      </c>
      <c r="AB90" s="39">
        <f t="shared" si="9"/>
        <v>1928.3130742705453</v>
      </c>
      <c r="AC90">
        <f t="shared" si="12"/>
        <v>0.99967150524262516</v>
      </c>
      <c r="AD90">
        <f t="shared" si="10"/>
        <v>0.99953461809727173</v>
      </c>
      <c r="AE90">
        <f t="shared" si="11"/>
        <v>39672</v>
      </c>
    </row>
    <row r="91" spans="1:31">
      <c r="A91" s="10">
        <v>90</v>
      </c>
      <c r="B91" s="31">
        <v>40547</v>
      </c>
      <c r="C91" s="10">
        <v>1</v>
      </c>
      <c r="D91" s="10">
        <v>0</v>
      </c>
      <c r="E91" s="10">
        <v>1</v>
      </c>
      <c r="F91" s="10">
        <v>21</v>
      </c>
      <c r="G91" s="10" t="b">
        <v>0</v>
      </c>
      <c r="H91" s="10">
        <v>2</v>
      </c>
      <c r="I91" s="10">
        <v>1</v>
      </c>
      <c r="J91" s="10">
        <v>0.22</v>
      </c>
      <c r="K91" s="10">
        <v>0.2727</v>
      </c>
      <c r="L91" s="10">
        <v>0.64</v>
      </c>
      <c r="M91" s="10">
        <v>0</v>
      </c>
      <c r="N91" s="10">
        <v>0</v>
      </c>
      <c r="O91" s="10">
        <v>48</v>
      </c>
      <c r="P91" s="10">
        <v>48</v>
      </c>
      <c r="Q91" s="13" t="s">
        <v>98</v>
      </c>
      <c r="R91" s="13" t="s">
        <v>79</v>
      </c>
      <c r="S91" s="10" t="s">
        <v>80</v>
      </c>
      <c r="T91" s="13" t="s">
        <v>81</v>
      </c>
      <c r="U91" s="16" t="s">
        <v>97</v>
      </c>
      <c r="V91" s="11" t="s">
        <v>87</v>
      </c>
      <c r="W91" s="15" t="s">
        <v>84</v>
      </c>
      <c r="X91" s="10" t="s">
        <v>85</v>
      </c>
      <c r="Y91" s="13" t="s">
        <v>99</v>
      </c>
      <c r="Z91">
        <f t="shared" si="7"/>
        <v>628</v>
      </c>
      <c r="AA91" s="39">
        <f t="shared" si="8"/>
        <v>62.391224862888485</v>
      </c>
      <c r="AB91" s="39">
        <f t="shared" si="9"/>
        <v>1929.3697881159876</v>
      </c>
      <c r="AC91">
        <f t="shared" si="12"/>
        <v>0.99967154561739424</v>
      </c>
      <c r="AD91">
        <f t="shared" si="10"/>
        <v>0.99953462081179556</v>
      </c>
      <c r="AE91">
        <f t="shared" si="11"/>
        <v>39618</v>
      </c>
    </row>
    <row r="92" spans="1:31">
      <c r="A92" s="9">
        <v>91</v>
      </c>
      <c r="B92" s="30">
        <v>40547</v>
      </c>
      <c r="C92" s="9">
        <v>1</v>
      </c>
      <c r="D92" s="9">
        <v>0</v>
      </c>
      <c r="E92" s="9">
        <v>1</v>
      </c>
      <c r="F92" s="9">
        <v>22</v>
      </c>
      <c r="G92" s="9" t="b">
        <v>0</v>
      </c>
      <c r="H92" s="9">
        <v>2</v>
      </c>
      <c r="I92" s="9">
        <v>1</v>
      </c>
      <c r="J92" s="9">
        <v>0.22</v>
      </c>
      <c r="K92" s="9">
        <v>0.2576</v>
      </c>
      <c r="L92" s="9">
        <v>0.64</v>
      </c>
      <c r="M92" s="9">
        <v>8.9599999999999999E-2</v>
      </c>
      <c r="N92" s="9">
        <v>1</v>
      </c>
      <c r="O92" s="9">
        <v>34</v>
      </c>
      <c r="P92" s="9">
        <v>35</v>
      </c>
      <c r="Q92" s="13" t="s">
        <v>98</v>
      </c>
      <c r="R92" s="13" t="s">
        <v>79</v>
      </c>
      <c r="S92" s="9" t="s">
        <v>80</v>
      </c>
      <c r="T92" s="13" t="s">
        <v>81</v>
      </c>
      <c r="U92" s="16" t="s">
        <v>97</v>
      </c>
      <c r="V92" s="11" t="s">
        <v>87</v>
      </c>
      <c r="W92" s="15" t="s">
        <v>84</v>
      </c>
      <c r="X92" s="9" t="s">
        <v>85</v>
      </c>
      <c r="Y92" s="13" t="s">
        <v>99</v>
      </c>
      <c r="Z92">
        <f t="shared" si="7"/>
        <v>627</v>
      </c>
      <c r="AA92" s="39">
        <f t="shared" si="8"/>
        <v>62.417582417582416</v>
      </c>
      <c r="AB92" s="39">
        <f t="shared" si="9"/>
        <v>1930.4279955559034</v>
      </c>
      <c r="AC92">
        <f t="shared" si="12"/>
        <v>0.99967158767147213</v>
      </c>
      <c r="AD92">
        <f t="shared" si="10"/>
        <v>0.99953466390603674</v>
      </c>
      <c r="AE92">
        <f t="shared" si="11"/>
        <v>39570</v>
      </c>
    </row>
    <row r="93" spans="1:31">
      <c r="A93" s="10">
        <v>92</v>
      </c>
      <c r="B93" s="31">
        <v>40547</v>
      </c>
      <c r="C93" s="10">
        <v>1</v>
      </c>
      <c r="D93" s="10">
        <v>0</v>
      </c>
      <c r="E93" s="10">
        <v>1</v>
      </c>
      <c r="F93" s="10">
        <v>23</v>
      </c>
      <c r="G93" s="10" t="b">
        <v>0</v>
      </c>
      <c r="H93" s="10">
        <v>2</v>
      </c>
      <c r="I93" s="10">
        <v>1</v>
      </c>
      <c r="J93" s="10">
        <v>0.2</v>
      </c>
      <c r="K93" s="10">
        <v>0.2273</v>
      </c>
      <c r="L93" s="10">
        <v>0.69</v>
      </c>
      <c r="M93" s="10">
        <v>8.9599999999999999E-2</v>
      </c>
      <c r="N93" s="10">
        <v>2</v>
      </c>
      <c r="O93" s="10">
        <v>9</v>
      </c>
      <c r="P93" s="10">
        <v>11</v>
      </c>
      <c r="Q93" s="13" t="s">
        <v>98</v>
      </c>
      <c r="R93" s="13" t="s">
        <v>79</v>
      </c>
      <c r="S93" s="10" t="s">
        <v>80</v>
      </c>
      <c r="T93" s="13" t="s">
        <v>81</v>
      </c>
      <c r="U93" s="16" t="s">
        <v>97</v>
      </c>
      <c r="V93" s="12" t="s">
        <v>83</v>
      </c>
      <c r="W93" s="15" t="s">
        <v>84</v>
      </c>
      <c r="X93" s="10" t="s">
        <v>85</v>
      </c>
      <c r="Y93" s="13" t="s">
        <v>99</v>
      </c>
      <c r="Z93">
        <f t="shared" si="7"/>
        <v>626</v>
      </c>
      <c r="AA93" s="39">
        <f t="shared" si="8"/>
        <v>62.467889908256879</v>
      </c>
      <c r="AB93" s="39">
        <f t="shared" si="9"/>
        <v>1931.4873427641619</v>
      </c>
      <c r="AC93">
        <f t="shared" si="12"/>
        <v>0.99967171984350034</v>
      </c>
      <c r="AD93">
        <f t="shared" si="10"/>
        <v>0.99953479800619727</v>
      </c>
      <c r="AE93">
        <f t="shared" si="11"/>
        <v>39535</v>
      </c>
    </row>
    <row r="94" spans="1:31">
      <c r="A94" s="9">
        <v>93</v>
      </c>
      <c r="B94" s="30">
        <v>40548</v>
      </c>
      <c r="C94" s="9">
        <v>1</v>
      </c>
      <c r="D94" s="9">
        <v>0</v>
      </c>
      <c r="E94" s="9">
        <v>1</v>
      </c>
      <c r="F94" s="9">
        <v>0</v>
      </c>
      <c r="G94" s="9" t="b">
        <v>0</v>
      </c>
      <c r="H94" s="9">
        <v>3</v>
      </c>
      <c r="I94" s="9">
        <v>1</v>
      </c>
      <c r="J94" s="9">
        <v>0.2</v>
      </c>
      <c r="K94" s="9">
        <v>0.2576</v>
      </c>
      <c r="L94" s="9">
        <v>0.64</v>
      </c>
      <c r="M94" s="9">
        <v>0</v>
      </c>
      <c r="N94" s="9">
        <v>0</v>
      </c>
      <c r="O94" s="9">
        <v>6</v>
      </c>
      <c r="P94" s="9">
        <v>6</v>
      </c>
      <c r="Q94" s="13" t="s">
        <v>98</v>
      </c>
      <c r="R94" s="13" t="s">
        <v>79</v>
      </c>
      <c r="S94" s="9" t="s">
        <v>80</v>
      </c>
      <c r="T94" s="13" t="s">
        <v>81</v>
      </c>
      <c r="U94" s="14" t="s">
        <v>82</v>
      </c>
      <c r="V94" s="12" t="s">
        <v>83</v>
      </c>
      <c r="W94" s="15" t="s">
        <v>84</v>
      </c>
      <c r="X94" s="9" t="s">
        <v>85</v>
      </c>
      <c r="Y94" s="13" t="s">
        <v>99</v>
      </c>
      <c r="Z94">
        <f t="shared" si="7"/>
        <v>625</v>
      </c>
      <c r="AA94" s="39">
        <f t="shared" si="8"/>
        <v>62.5625</v>
      </c>
      <c r="AB94" s="39">
        <f t="shared" si="9"/>
        <v>1932.5470667773407</v>
      </c>
      <c r="AC94">
        <f t="shared" si="12"/>
        <v>0.99967206414234733</v>
      </c>
      <c r="AD94">
        <f t="shared" si="10"/>
        <v>0.99953531541435225</v>
      </c>
      <c r="AE94">
        <f t="shared" si="11"/>
        <v>39524</v>
      </c>
    </row>
    <row r="95" spans="1:31">
      <c r="A95" s="10">
        <v>94</v>
      </c>
      <c r="B95" s="31">
        <v>40548</v>
      </c>
      <c r="C95" s="10">
        <v>1</v>
      </c>
      <c r="D95" s="10">
        <v>0</v>
      </c>
      <c r="E95" s="10">
        <v>1</v>
      </c>
      <c r="F95" s="10">
        <v>1</v>
      </c>
      <c r="G95" s="10" t="b">
        <v>0</v>
      </c>
      <c r="H95" s="10">
        <v>3</v>
      </c>
      <c r="I95" s="10">
        <v>1</v>
      </c>
      <c r="J95" s="10">
        <v>0.16</v>
      </c>
      <c r="K95" s="10">
        <v>0.19700000000000001</v>
      </c>
      <c r="L95" s="10">
        <v>0.74</v>
      </c>
      <c r="M95" s="10">
        <v>8.9599999999999999E-2</v>
      </c>
      <c r="N95" s="10">
        <v>0</v>
      </c>
      <c r="O95" s="10">
        <v>6</v>
      </c>
      <c r="P95" s="10">
        <v>6</v>
      </c>
      <c r="Q95" s="13" t="s">
        <v>98</v>
      </c>
      <c r="R95" s="13" t="s">
        <v>79</v>
      </c>
      <c r="S95" s="10" t="s">
        <v>80</v>
      </c>
      <c r="T95" s="13" t="s">
        <v>81</v>
      </c>
      <c r="U95" s="14" t="s">
        <v>82</v>
      </c>
      <c r="V95" s="12" t="s">
        <v>83</v>
      </c>
      <c r="W95" s="15" t="s">
        <v>84</v>
      </c>
      <c r="X95" s="10" t="s">
        <v>85</v>
      </c>
      <c r="Y95" s="13" t="s">
        <v>99</v>
      </c>
      <c r="Z95">
        <f t="shared" si="7"/>
        <v>624</v>
      </c>
      <c r="AA95" s="39">
        <f t="shared" si="8"/>
        <v>62.666666666666664</v>
      </c>
      <c r="AB95" s="39">
        <f t="shared" si="9"/>
        <v>1933.6082098404684</v>
      </c>
      <c r="AC95">
        <f t="shared" si="12"/>
        <v>0.9996724842881799</v>
      </c>
      <c r="AD95">
        <f t="shared" si="10"/>
        <v>0.99953583374115229</v>
      </c>
      <c r="AE95">
        <f t="shared" si="11"/>
        <v>39518</v>
      </c>
    </row>
    <row r="96" spans="1:31">
      <c r="A96" s="9">
        <v>95</v>
      </c>
      <c r="B96" s="30">
        <v>40548</v>
      </c>
      <c r="C96" s="9">
        <v>1</v>
      </c>
      <c r="D96" s="9">
        <v>0</v>
      </c>
      <c r="E96" s="9">
        <v>1</v>
      </c>
      <c r="F96" s="9">
        <v>2</v>
      </c>
      <c r="G96" s="9" t="b">
        <v>0</v>
      </c>
      <c r="H96" s="9">
        <v>3</v>
      </c>
      <c r="I96" s="9">
        <v>1</v>
      </c>
      <c r="J96" s="9">
        <v>0.16</v>
      </c>
      <c r="K96" s="9">
        <v>0.19700000000000001</v>
      </c>
      <c r="L96" s="9">
        <v>0.74</v>
      </c>
      <c r="M96" s="9">
        <v>8.9599999999999999E-2</v>
      </c>
      <c r="N96" s="9">
        <v>0</v>
      </c>
      <c r="O96" s="9">
        <v>2</v>
      </c>
      <c r="P96" s="9">
        <v>2</v>
      </c>
      <c r="Q96" s="13" t="s">
        <v>98</v>
      </c>
      <c r="R96" s="13" t="s">
        <v>79</v>
      </c>
      <c r="S96" s="9" t="s">
        <v>80</v>
      </c>
      <c r="T96" s="13" t="s">
        <v>81</v>
      </c>
      <c r="U96" s="14" t="s">
        <v>82</v>
      </c>
      <c r="V96" s="12" t="s">
        <v>83</v>
      </c>
      <c r="W96" s="15" t="s">
        <v>84</v>
      </c>
      <c r="X96" s="9" t="s">
        <v>85</v>
      </c>
      <c r="Y96" s="13" t="s">
        <v>99</v>
      </c>
      <c r="Z96">
        <f t="shared" si="7"/>
        <v>623</v>
      </c>
      <c r="AA96" s="39">
        <f t="shared" si="8"/>
        <v>62.771217712177119</v>
      </c>
      <c r="AB96" s="39">
        <f t="shared" si="9"/>
        <v>1934.6711027935557</v>
      </c>
      <c r="AC96">
        <f t="shared" si="12"/>
        <v>0.99967274541465734</v>
      </c>
      <c r="AD96">
        <f t="shared" si="10"/>
        <v>0.99953654363300892</v>
      </c>
      <c r="AE96">
        <f t="shared" si="11"/>
        <v>39512</v>
      </c>
    </row>
    <row r="97" spans="1:31">
      <c r="A97" s="10">
        <v>96</v>
      </c>
      <c r="B97" s="31">
        <v>40548</v>
      </c>
      <c r="C97" s="10">
        <v>1</v>
      </c>
      <c r="D97" s="10">
        <v>0</v>
      </c>
      <c r="E97" s="10">
        <v>1</v>
      </c>
      <c r="F97" s="10">
        <v>4</v>
      </c>
      <c r="G97" s="10" t="b">
        <v>0</v>
      </c>
      <c r="H97" s="10">
        <v>3</v>
      </c>
      <c r="I97" s="10">
        <v>1</v>
      </c>
      <c r="J97" s="10">
        <v>0.24</v>
      </c>
      <c r="K97" s="10">
        <v>0.2273</v>
      </c>
      <c r="L97" s="10">
        <v>0.48</v>
      </c>
      <c r="M97" s="10">
        <v>0.22389999999999999</v>
      </c>
      <c r="N97" s="10">
        <v>0</v>
      </c>
      <c r="O97" s="10">
        <v>2</v>
      </c>
      <c r="P97" s="10">
        <v>2</v>
      </c>
      <c r="Q97" s="13" t="s">
        <v>98</v>
      </c>
      <c r="R97" s="13" t="s">
        <v>79</v>
      </c>
      <c r="S97" s="10" t="s">
        <v>80</v>
      </c>
      <c r="T97" s="13" t="s">
        <v>81</v>
      </c>
      <c r="U97" s="14" t="s">
        <v>82</v>
      </c>
      <c r="V97" s="12" t="s">
        <v>83</v>
      </c>
      <c r="W97" s="15" t="s">
        <v>84</v>
      </c>
      <c r="X97" s="10" t="s">
        <v>85</v>
      </c>
      <c r="Y97" s="13" t="s">
        <v>99</v>
      </c>
      <c r="Z97">
        <f t="shared" si="7"/>
        <v>622</v>
      </c>
      <c r="AA97" s="39">
        <f t="shared" si="8"/>
        <v>62.883548983364143</v>
      </c>
      <c r="AB97" s="39">
        <f t="shared" si="9"/>
        <v>1935.7354775853578</v>
      </c>
      <c r="AC97">
        <f t="shared" si="12"/>
        <v>0.99967305924756333</v>
      </c>
      <c r="AD97">
        <f t="shared" si="10"/>
        <v>0.99953733944057477</v>
      </c>
      <c r="AE97">
        <f t="shared" si="11"/>
        <v>39510</v>
      </c>
    </row>
    <row r="98" spans="1:31">
      <c r="A98" s="9">
        <v>97</v>
      </c>
      <c r="B98" s="30">
        <v>40548</v>
      </c>
      <c r="C98" s="9">
        <v>1</v>
      </c>
      <c r="D98" s="9">
        <v>0</v>
      </c>
      <c r="E98" s="9">
        <v>1</v>
      </c>
      <c r="F98" s="9">
        <v>5</v>
      </c>
      <c r="G98" s="9" t="b">
        <v>0</v>
      </c>
      <c r="H98" s="9">
        <v>3</v>
      </c>
      <c r="I98" s="9">
        <v>1</v>
      </c>
      <c r="J98" s="9">
        <v>0.22</v>
      </c>
      <c r="K98" s="9">
        <v>0.2273</v>
      </c>
      <c r="L98" s="9">
        <v>0.47</v>
      </c>
      <c r="M98" s="9">
        <v>0.16420000000000001</v>
      </c>
      <c r="N98" s="9">
        <v>0</v>
      </c>
      <c r="O98" s="9">
        <v>3</v>
      </c>
      <c r="P98" s="9">
        <v>3</v>
      </c>
      <c r="Q98" s="13" t="s">
        <v>98</v>
      </c>
      <c r="R98" s="13" t="s">
        <v>79</v>
      </c>
      <c r="S98" s="9" t="s">
        <v>80</v>
      </c>
      <c r="T98" s="13" t="s">
        <v>81</v>
      </c>
      <c r="U98" s="15" t="s">
        <v>89</v>
      </c>
      <c r="V98" s="12" t="s">
        <v>83</v>
      </c>
      <c r="W98" s="15" t="s">
        <v>84</v>
      </c>
      <c r="X98" s="9" t="s">
        <v>85</v>
      </c>
      <c r="Y98" s="13" t="s">
        <v>99</v>
      </c>
      <c r="Z98">
        <f t="shared" si="7"/>
        <v>621</v>
      </c>
      <c r="AA98" s="39">
        <f t="shared" si="8"/>
        <v>62.996296296296293</v>
      </c>
      <c r="AB98" s="39">
        <f t="shared" si="9"/>
        <v>1936.8016110088038</v>
      </c>
      <c r="AC98">
        <f t="shared" si="12"/>
        <v>0.99967375897112909</v>
      </c>
      <c r="AD98">
        <f t="shared" si="10"/>
        <v>0.99953767150167327</v>
      </c>
      <c r="AE98">
        <f t="shared" si="11"/>
        <v>39508</v>
      </c>
    </row>
    <row r="99" spans="1:31">
      <c r="A99" s="10">
        <v>98</v>
      </c>
      <c r="B99" s="31">
        <v>40548</v>
      </c>
      <c r="C99" s="10">
        <v>1</v>
      </c>
      <c r="D99" s="10">
        <v>0</v>
      </c>
      <c r="E99" s="10">
        <v>1</v>
      </c>
      <c r="F99" s="10">
        <v>6</v>
      </c>
      <c r="G99" s="10" t="b">
        <v>0</v>
      </c>
      <c r="H99" s="10">
        <v>3</v>
      </c>
      <c r="I99" s="10">
        <v>1</v>
      </c>
      <c r="J99" s="10">
        <v>0.2</v>
      </c>
      <c r="K99" s="10">
        <v>0.19700000000000001</v>
      </c>
      <c r="L99" s="10">
        <v>0.47</v>
      </c>
      <c r="M99" s="10">
        <v>0.22389999999999999</v>
      </c>
      <c r="N99" s="10">
        <v>0</v>
      </c>
      <c r="O99" s="10">
        <v>33</v>
      </c>
      <c r="P99" s="10">
        <v>33</v>
      </c>
      <c r="Q99" s="13" t="s">
        <v>98</v>
      </c>
      <c r="R99" s="13" t="s">
        <v>79</v>
      </c>
      <c r="S99" s="10" t="s">
        <v>80</v>
      </c>
      <c r="T99" s="13" t="s">
        <v>81</v>
      </c>
      <c r="U99" s="15" t="s">
        <v>89</v>
      </c>
      <c r="V99" s="11" t="s">
        <v>87</v>
      </c>
      <c r="W99" s="15" t="s">
        <v>84</v>
      </c>
      <c r="X99" s="10" t="s">
        <v>85</v>
      </c>
      <c r="Y99" s="13" t="s">
        <v>99</v>
      </c>
      <c r="Z99">
        <f t="shared" si="7"/>
        <v>620</v>
      </c>
      <c r="AA99" s="39">
        <f t="shared" si="8"/>
        <v>63.10760667903525</v>
      </c>
      <c r="AB99" s="39">
        <f t="shared" si="9"/>
        <v>1937.8695772160906</v>
      </c>
      <c r="AC99">
        <f t="shared" si="12"/>
        <v>0.99967433108897374</v>
      </c>
      <c r="AD99">
        <f t="shared" si="10"/>
        <v>0.99953797678765011</v>
      </c>
      <c r="AE99">
        <f t="shared" si="11"/>
        <v>39505</v>
      </c>
    </row>
    <row r="100" spans="1:31">
      <c r="A100" s="9">
        <v>99</v>
      </c>
      <c r="B100" s="30">
        <v>40548</v>
      </c>
      <c r="C100" s="9">
        <v>1</v>
      </c>
      <c r="D100" s="9">
        <v>0</v>
      </c>
      <c r="E100" s="9">
        <v>1</v>
      </c>
      <c r="F100" s="9">
        <v>7</v>
      </c>
      <c r="G100" s="9" t="b">
        <v>0</v>
      </c>
      <c r="H100" s="9">
        <v>3</v>
      </c>
      <c r="I100" s="9">
        <v>1</v>
      </c>
      <c r="J100" s="9">
        <v>0.18</v>
      </c>
      <c r="K100" s="9">
        <v>0.18179999999999999</v>
      </c>
      <c r="L100" s="9">
        <v>0.43</v>
      </c>
      <c r="M100" s="9">
        <v>0.19400000000000001</v>
      </c>
      <c r="N100" s="9">
        <v>1</v>
      </c>
      <c r="O100" s="9">
        <v>87</v>
      </c>
      <c r="P100" s="9">
        <v>88</v>
      </c>
      <c r="Q100" s="13" t="s">
        <v>98</v>
      </c>
      <c r="R100" s="13" t="s">
        <v>79</v>
      </c>
      <c r="S100" s="9" t="s">
        <v>80</v>
      </c>
      <c r="T100" s="13" t="s">
        <v>81</v>
      </c>
      <c r="U100" s="15" t="s">
        <v>89</v>
      </c>
      <c r="V100" s="13" t="s">
        <v>93</v>
      </c>
      <c r="W100" s="15" t="s">
        <v>84</v>
      </c>
      <c r="X100" s="9" t="s">
        <v>85</v>
      </c>
      <c r="Y100" s="13" t="s">
        <v>99</v>
      </c>
      <c r="Z100">
        <f t="shared" si="7"/>
        <v>619</v>
      </c>
      <c r="AA100" s="39">
        <f t="shared" si="8"/>
        <v>63.163568773234203</v>
      </c>
      <c r="AB100" s="39">
        <f t="shared" si="9"/>
        <v>1938.9411283998847</v>
      </c>
      <c r="AC100">
        <f t="shared" si="12"/>
        <v>0.99967443578838211</v>
      </c>
      <c r="AD100">
        <f t="shared" si="10"/>
        <v>0.99953801190359137</v>
      </c>
      <c r="AE100">
        <f t="shared" si="11"/>
        <v>39472</v>
      </c>
    </row>
    <row r="101" spans="1:31">
      <c r="A101" s="10">
        <v>100</v>
      </c>
      <c r="B101" s="31">
        <v>40548</v>
      </c>
      <c r="C101" s="10">
        <v>1</v>
      </c>
      <c r="D101" s="10">
        <v>0</v>
      </c>
      <c r="E101" s="10">
        <v>1</v>
      </c>
      <c r="F101" s="10">
        <v>8</v>
      </c>
      <c r="G101" s="10" t="b">
        <v>0</v>
      </c>
      <c r="H101" s="10">
        <v>3</v>
      </c>
      <c r="I101" s="10">
        <v>1</v>
      </c>
      <c r="J101" s="10">
        <v>0.2</v>
      </c>
      <c r="K101" s="10">
        <v>0.18179999999999999</v>
      </c>
      <c r="L101" s="10">
        <v>0.4</v>
      </c>
      <c r="M101" s="10">
        <v>0.29849999999999999</v>
      </c>
      <c r="N101" s="10">
        <v>3</v>
      </c>
      <c r="O101" s="10">
        <v>192</v>
      </c>
      <c r="P101" s="10">
        <v>195</v>
      </c>
      <c r="Q101" s="13" t="s">
        <v>98</v>
      </c>
      <c r="R101" s="13" t="s">
        <v>79</v>
      </c>
      <c r="S101" s="10" t="s">
        <v>80</v>
      </c>
      <c r="T101" s="13" t="s">
        <v>81</v>
      </c>
      <c r="U101" s="15" t="s">
        <v>89</v>
      </c>
      <c r="V101" s="13" t="s">
        <v>93</v>
      </c>
      <c r="W101" s="15" t="s">
        <v>84</v>
      </c>
      <c r="X101" s="10" t="s">
        <v>85</v>
      </c>
      <c r="Y101" s="13" t="s">
        <v>99</v>
      </c>
      <c r="Z101">
        <f t="shared" si="7"/>
        <v>618</v>
      </c>
      <c r="AA101" s="39">
        <f t="shared" si="8"/>
        <v>63.117318435754193</v>
      </c>
      <c r="AB101" s="39">
        <f t="shared" si="9"/>
        <v>1940.0164554226278</v>
      </c>
      <c r="AC101">
        <f t="shared" si="12"/>
        <v>0.9996746053984138</v>
      </c>
      <c r="AD101">
        <f t="shared" si="10"/>
        <v>0.99953828887107021</v>
      </c>
      <c r="AE101">
        <f t="shared" si="11"/>
        <v>39384</v>
      </c>
    </row>
    <row r="102" spans="1:31">
      <c r="A102" s="9">
        <v>101</v>
      </c>
      <c r="B102" s="30">
        <v>40548</v>
      </c>
      <c r="C102" s="9">
        <v>1</v>
      </c>
      <c r="D102" s="9">
        <v>0</v>
      </c>
      <c r="E102" s="9">
        <v>1</v>
      </c>
      <c r="F102" s="9">
        <v>9</v>
      </c>
      <c r="G102" s="9" t="b">
        <v>0</v>
      </c>
      <c r="H102" s="9">
        <v>3</v>
      </c>
      <c r="I102" s="9">
        <v>1</v>
      </c>
      <c r="J102" s="9">
        <v>0.22</v>
      </c>
      <c r="K102" s="9">
        <v>0.19700000000000001</v>
      </c>
      <c r="L102" s="9">
        <v>0.37</v>
      </c>
      <c r="M102" s="9">
        <v>0.32840000000000003</v>
      </c>
      <c r="N102" s="9">
        <v>6</v>
      </c>
      <c r="O102" s="9">
        <v>109</v>
      </c>
      <c r="P102" s="9">
        <v>115</v>
      </c>
      <c r="Q102" s="13" t="s">
        <v>98</v>
      </c>
      <c r="R102" s="13" t="s">
        <v>79</v>
      </c>
      <c r="S102" s="9" t="s">
        <v>80</v>
      </c>
      <c r="T102" s="13" t="s">
        <v>81</v>
      </c>
      <c r="U102" s="15" t="s">
        <v>89</v>
      </c>
      <c r="V102" s="13" t="s">
        <v>93</v>
      </c>
      <c r="W102" s="15" t="s">
        <v>84</v>
      </c>
      <c r="X102" s="9" t="s">
        <v>85</v>
      </c>
      <c r="Y102" s="13" t="s">
        <v>99</v>
      </c>
      <c r="Z102">
        <f t="shared" si="7"/>
        <v>617</v>
      </c>
      <c r="AA102" s="39">
        <f t="shared" si="8"/>
        <v>62.871268656716417</v>
      </c>
      <c r="AB102" s="39">
        <f t="shared" si="9"/>
        <v>1941.0924952743133</v>
      </c>
      <c r="AC102">
        <f t="shared" si="12"/>
        <v>0.99967730712587832</v>
      </c>
      <c r="AD102">
        <f t="shared" si="10"/>
        <v>0.9995417619725645</v>
      </c>
      <c r="AE102">
        <f t="shared" si="11"/>
        <v>39189</v>
      </c>
    </row>
    <row r="103" spans="1:31">
      <c r="A103" s="10">
        <v>102</v>
      </c>
      <c r="B103" s="31">
        <v>40548</v>
      </c>
      <c r="C103" s="10">
        <v>1</v>
      </c>
      <c r="D103" s="10">
        <v>0</v>
      </c>
      <c r="E103" s="10">
        <v>1</v>
      </c>
      <c r="F103" s="10">
        <v>10</v>
      </c>
      <c r="G103" s="10" t="b">
        <v>0</v>
      </c>
      <c r="H103" s="10">
        <v>3</v>
      </c>
      <c r="I103" s="10">
        <v>1</v>
      </c>
      <c r="J103" s="10">
        <v>0.22</v>
      </c>
      <c r="K103" s="10">
        <v>0.19700000000000001</v>
      </c>
      <c r="L103" s="10">
        <v>0.37</v>
      </c>
      <c r="M103" s="10">
        <v>0.32840000000000003</v>
      </c>
      <c r="N103" s="10">
        <v>4</v>
      </c>
      <c r="O103" s="10">
        <v>53</v>
      </c>
      <c r="P103" s="10">
        <v>57</v>
      </c>
      <c r="Q103" s="13" t="s">
        <v>98</v>
      </c>
      <c r="R103" s="13" t="s">
        <v>79</v>
      </c>
      <c r="S103" s="10" t="s">
        <v>80</v>
      </c>
      <c r="T103" s="13" t="s">
        <v>81</v>
      </c>
      <c r="U103" s="13" t="s">
        <v>91</v>
      </c>
      <c r="V103" s="11" t="s">
        <v>87</v>
      </c>
      <c r="W103" s="15" t="s">
        <v>84</v>
      </c>
      <c r="X103" s="10" t="s">
        <v>85</v>
      </c>
      <c r="Y103" s="13" t="s">
        <v>99</v>
      </c>
      <c r="Z103">
        <f t="shared" si="7"/>
        <v>616</v>
      </c>
      <c r="AA103" s="39">
        <f t="shared" si="8"/>
        <v>62.773831775700934</v>
      </c>
      <c r="AB103" s="39">
        <f t="shared" si="9"/>
        <v>1942.1717570991661</v>
      </c>
      <c r="AC103">
        <f t="shared" si="12"/>
        <v>0.99967767282510622</v>
      </c>
      <c r="AD103">
        <f t="shared" si="10"/>
        <v>0.99954262720338016</v>
      </c>
      <c r="AE103">
        <f t="shared" si="11"/>
        <v>39074</v>
      </c>
    </row>
    <row r="104" spans="1:31">
      <c r="A104" s="9">
        <v>103</v>
      </c>
      <c r="B104" s="30">
        <v>40548</v>
      </c>
      <c r="C104" s="9">
        <v>1</v>
      </c>
      <c r="D104" s="9">
        <v>0</v>
      </c>
      <c r="E104" s="9">
        <v>1</v>
      </c>
      <c r="F104" s="9">
        <v>11</v>
      </c>
      <c r="G104" s="9" t="b">
        <v>0</v>
      </c>
      <c r="H104" s="9">
        <v>3</v>
      </c>
      <c r="I104" s="9">
        <v>1</v>
      </c>
      <c r="J104" s="9">
        <v>0.26</v>
      </c>
      <c r="K104" s="9">
        <v>0.2273</v>
      </c>
      <c r="L104" s="9">
        <v>0.33</v>
      </c>
      <c r="M104" s="9">
        <v>0.32840000000000003</v>
      </c>
      <c r="N104" s="9">
        <v>12</v>
      </c>
      <c r="O104" s="9">
        <v>34</v>
      </c>
      <c r="P104" s="9">
        <v>46</v>
      </c>
      <c r="Q104" s="13" t="s">
        <v>98</v>
      </c>
      <c r="R104" s="13" t="s">
        <v>79</v>
      </c>
      <c r="S104" s="9" t="s">
        <v>80</v>
      </c>
      <c r="T104" s="13" t="s">
        <v>81</v>
      </c>
      <c r="U104" s="13" t="s">
        <v>91</v>
      </c>
      <c r="V104" s="11" t="s">
        <v>87</v>
      </c>
      <c r="W104" s="13" t="s">
        <v>90</v>
      </c>
      <c r="X104" s="9" t="s">
        <v>85</v>
      </c>
      <c r="Y104" s="13" t="s">
        <v>99</v>
      </c>
      <c r="Z104">
        <f t="shared" si="7"/>
        <v>615</v>
      </c>
      <c r="AA104" s="39">
        <f t="shared" si="8"/>
        <v>62.784644194756552</v>
      </c>
      <c r="AB104" s="39">
        <f t="shared" si="9"/>
        <v>1943.2515618871453</v>
      </c>
      <c r="AC104">
        <f t="shared" si="12"/>
        <v>0.99967768227545983</v>
      </c>
      <c r="AD104">
        <f t="shared" si="10"/>
        <v>0.99954267785041517</v>
      </c>
      <c r="AE104">
        <f t="shared" si="11"/>
        <v>39017</v>
      </c>
    </row>
    <row r="105" spans="1:31">
      <c r="A105" s="10">
        <v>104</v>
      </c>
      <c r="B105" s="31">
        <v>40548</v>
      </c>
      <c r="C105" s="10">
        <v>1</v>
      </c>
      <c r="D105" s="10">
        <v>0</v>
      </c>
      <c r="E105" s="10">
        <v>1</v>
      </c>
      <c r="F105" s="10">
        <v>12</v>
      </c>
      <c r="G105" s="10" t="b">
        <v>0</v>
      </c>
      <c r="H105" s="10">
        <v>3</v>
      </c>
      <c r="I105" s="10">
        <v>1</v>
      </c>
      <c r="J105" s="10">
        <v>0.26</v>
      </c>
      <c r="K105" s="10">
        <v>0.2273</v>
      </c>
      <c r="L105" s="10">
        <v>0.33</v>
      </c>
      <c r="M105" s="10">
        <v>0.32840000000000003</v>
      </c>
      <c r="N105" s="10">
        <v>5</v>
      </c>
      <c r="O105" s="10">
        <v>74</v>
      </c>
      <c r="P105" s="10">
        <v>79</v>
      </c>
      <c r="Q105" s="13" t="s">
        <v>98</v>
      </c>
      <c r="R105" s="13" t="s">
        <v>79</v>
      </c>
      <c r="S105" s="10" t="s">
        <v>80</v>
      </c>
      <c r="T105" s="13" t="s">
        <v>81</v>
      </c>
      <c r="U105" s="11" t="s">
        <v>92</v>
      </c>
      <c r="V105" s="13" t="s">
        <v>93</v>
      </c>
      <c r="W105" s="13" t="s">
        <v>90</v>
      </c>
      <c r="X105" s="10" t="s">
        <v>85</v>
      </c>
      <c r="Y105" s="13" t="s">
        <v>99</v>
      </c>
      <c r="Z105">
        <f t="shared" si="7"/>
        <v>614</v>
      </c>
      <c r="AA105" s="39">
        <f t="shared" si="8"/>
        <v>62.816135084427771</v>
      </c>
      <c r="AB105" s="39">
        <f t="shared" si="9"/>
        <v>1944.3327124549205</v>
      </c>
      <c r="AC105">
        <f t="shared" si="12"/>
        <v>0.99967781917430798</v>
      </c>
      <c r="AD105">
        <f t="shared" si="10"/>
        <v>0.99954269708393317</v>
      </c>
      <c r="AE105">
        <f t="shared" si="11"/>
        <v>38971</v>
      </c>
    </row>
    <row r="106" spans="1:31">
      <c r="A106" s="9">
        <v>105</v>
      </c>
      <c r="B106" s="30">
        <v>40548</v>
      </c>
      <c r="C106" s="9">
        <v>1</v>
      </c>
      <c r="D106" s="9">
        <v>0</v>
      </c>
      <c r="E106" s="9">
        <v>1</v>
      </c>
      <c r="F106" s="9">
        <v>13</v>
      </c>
      <c r="G106" s="9" t="b">
        <v>0</v>
      </c>
      <c r="H106" s="9">
        <v>3</v>
      </c>
      <c r="I106" s="9">
        <v>1</v>
      </c>
      <c r="J106" s="9">
        <v>0.28000000000000003</v>
      </c>
      <c r="K106" s="9">
        <v>0.2576</v>
      </c>
      <c r="L106" s="9">
        <v>0.3</v>
      </c>
      <c r="M106" s="9">
        <v>0.29849999999999999</v>
      </c>
      <c r="N106" s="9">
        <v>6</v>
      </c>
      <c r="O106" s="9">
        <v>65</v>
      </c>
      <c r="P106" s="9">
        <v>71</v>
      </c>
      <c r="Q106" s="13" t="s">
        <v>98</v>
      </c>
      <c r="R106" s="13" t="s">
        <v>79</v>
      </c>
      <c r="S106" s="9" t="s">
        <v>80</v>
      </c>
      <c r="T106" s="13" t="s">
        <v>81</v>
      </c>
      <c r="U106" s="11" t="s">
        <v>92</v>
      </c>
      <c r="V106" s="13" t="s">
        <v>93</v>
      </c>
      <c r="W106" s="13" t="s">
        <v>90</v>
      </c>
      <c r="X106" s="9" t="s">
        <v>85</v>
      </c>
      <c r="Y106" s="13" t="s">
        <v>99</v>
      </c>
      <c r="Z106">
        <f t="shared" si="7"/>
        <v>613</v>
      </c>
      <c r="AA106" s="39">
        <f t="shared" si="8"/>
        <v>62.785714285714285</v>
      </c>
      <c r="AB106" s="39">
        <f t="shared" si="9"/>
        <v>1945.4168352973634</v>
      </c>
      <c r="AC106">
        <f t="shared" si="12"/>
        <v>0.99967781987012905</v>
      </c>
      <c r="AD106">
        <f t="shared" si="10"/>
        <v>0.99954299143753977</v>
      </c>
      <c r="AE106">
        <f t="shared" si="11"/>
        <v>38892</v>
      </c>
    </row>
    <row r="107" spans="1:31">
      <c r="A107" s="10">
        <v>106</v>
      </c>
      <c r="B107" s="31">
        <v>40548</v>
      </c>
      <c r="C107" s="10">
        <v>1</v>
      </c>
      <c r="D107" s="10">
        <v>0</v>
      </c>
      <c r="E107" s="10">
        <v>1</v>
      </c>
      <c r="F107" s="10">
        <v>14</v>
      </c>
      <c r="G107" s="10" t="b">
        <v>0</v>
      </c>
      <c r="H107" s="10">
        <v>3</v>
      </c>
      <c r="I107" s="10">
        <v>1</v>
      </c>
      <c r="J107" s="10">
        <v>0.3</v>
      </c>
      <c r="K107" s="10">
        <v>0.28789999999999999</v>
      </c>
      <c r="L107" s="10">
        <v>0.28000000000000003</v>
      </c>
      <c r="M107" s="10">
        <v>0.19400000000000001</v>
      </c>
      <c r="N107" s="10">
        <v>10</v>
      </c>
      <c r="O107" s="10">
        <v>52</v>
      </c>
      <c r="P107" s="10">
        <v>62</v>
      </c>
      <c r="Q107" s="13" t="s">
        <v>98</v>
      </c>
      <c r="R107" s="13" t="s">
        <v>79</v>
      </c>
      <c r="S107" s="10" t="s">
        <v>80</v>
      </c>
      <c r="T107" s="13" t="s">
        <v>81</v>
      </c>
      <c r="U107" s="13" t="s">
        <v>94</v>
      </c>
      <c r="V107" s="11" t="s">
        <v>87</v>
      </c>
      <c r="W107" s="13" t="s">
        <v>90</v>
      </c>
      <c r="X107" s="10" t="s">
        <v>85</v>
      </c>
      <c r="Y107" s="13" t="s">
        <v>99</v>
      </c>
      <c r="Z107">
        <f t="shared" si="7"/>
        <v>612</v>
      </c>
      <c r="AA107" s="39">
        <f t="shared" si="8"/>
        <v>62.770244821092277</v>
      </c>
      <c r="AB107" s="39">
        <f t="shared" si="9"/>
        <v>1946.5025480981508</v>
      </c>
      <c r="AC107">
        <f t="shared" si="12"/>
        <v>0.99967783814828493</v>
      </c>
      <c r="AD107">
        <f t="shared" si="10"/>
        <v>0.99954322402742135</v>
      </c>
      <c r="AE107">
        <f t="shared" si="11"/>
        <v>38821</v>
      </c>
    </row>
    <row r="108" spans="1:31">
      <c r="A108" s="9">
        <v>107</v>
      </c>
      <c r="B108" s="30">
        <v>40548</v>
      </c>
      <c r="C108" s="9">
        <v>1</v>
      </c>
      <c r="D108" s="9">
        <v>0</v>
      </c>
      <c r="E108" s="9">
        <v>1</v>
      </c>
      <c r="F108" s="9">
        <v>15</v>
      </c>
      <c r="G108" s="9" t="b">
        <v>0</v>
      </c>
      <c r="H108" s="9">
        <v>3</v>
      </c>
      <c r="I108" s="9">
        <v>1</v>
      </c>
      <c r="J108" s="9">
        <v>0.3</v>
      </c>
      <c r="K108" s="9">
        <v>0.28789999999999999</v>
      </c>
      <c r="L108" s="9">
        <v>0.28000000000000003</v>
      </c>
      <c r="M108" s="9">
        <v>0.19400000000000001</v>
      </c>
      <c r="N108" s="9">
        <v>7</v>
      </c>
      <c r="O108" s="9">
        <v>55</v>
      </c>
      <c r="P108" s="9">
        <v>62</v>
      </c>
      <c r="Q108" s="13" t="s">
        <v>98</v>
      </c>
      <c r="R108" s="13" t="s">
        <v>79</v>
      </c>
      <c r="S108" s="9" t="s">
        <v>80</v>
      </c>
      <c r="T108" s="13" t="s">
        <v>81</v>
      </c>
      <c r="U108" s="13" t="s">
        <v>94</v>
      </c>
      <c r="V108" s="11" t="s">
        <v>87</v>
      </c>
      <c r="W108" s="13" t="s">
        <v>90</v>
      </c>
      <c r="X108" s="9" t="s">
        <v>85</v>
      </c>
      <c r="Y108" s="13" t="s">
        <v>99</v>
      </c>
      <c r="Z108">
        <f t="shared" si="7"/>
        <v>611</v>
      </c>
      <c r="AA108" s="39">
        <f t="shared" si="8"/>
        <v>62.771698113207549</v>
      </c>
      <c r="AB108" s="39">
        <f t="shared" si="9"/>
        <v>1947.5897825482459</v>
      </c>
      <c r="AC108">
        <f t="shared" si="12"/>
        <v>0.99967793669921234</v>
      </c>
      <c r="AD108">
        <f t="shared" si="10"/>
        <v>0.99954338204028026</v>
      </c>
      <c r="AE108">
        <f t="shared" si="11"/>
        <v>38759</v>
      </c>
    </row>
    <row r="109" spans="1:31">
      <c r="A109" s="10">
        <v>108</v>
      </c>
      <c r="B109" s="31">
        <v>40548</v>
      </c>
      <c r="C109" s="10">
        <v>1</v>
      </c>
      <c r="D109" s="10">
        <v>0</v>
      </c>
      <c r="E109" s="10">
        <v>1</v>
      </c>
      <c r="F109" s="10">
        <v>16</v>
      </c>
      <c r="G109" s="10" t="b">
        <v>0</v>
      </c>
      <c r="H109" s="10">
        <v>3</v>
      </c>
      <c r="I109" s="10">
        <v>1</v>
      </c>
      <c r="J109" s="10">
        <v>0.3</v>
      </c>
      <c r="K109" s="10">
        <v>0.31819999999999998</v>
      </c>
      <c r="L109" s="10">
        <v>0.28000000000000003</v>
      </c>
      <c r="M109" s="10">
        <v>8.9599999999999999E-2</v>
      </c>
      <c r="N109" s="10">
        <v>4</v>
      </c>
      <c r="O109" s="10">
        <v>85</v>
      </c>
      <c r="P109" s="10">
        <v>89</v>
      </c>
      <c r="Q109" s="13" t="s">
        <v>98</v>
      </c>
      <c r="R109" s="13" t="s">
        <v>79</v>
      </c>
      <c r="S109" s="10" t="s">
        <v>80</v>
      </c>
      <c r="T109" s="13" t="s">
        <v>81</v>
      </c>
      <c r="U109" s="13" t="s">
        <v>94</v>
      </c>
      <c r="V109" s="13" t="s">
        <v>93</v>
      </c>
      <c r="W109" s="13" t="s">
        <v>90</v>
      </c>
      <c r="X109" s="10" t="s">
        <v>85</v>
      </c>
      <c r="Y109" s="13" t="s">
        <v>99</v>
      </c>
      <c r="Z109">
        <f t="shared" si="7"/>
        <v>610</v>
      </c>
      <c r="AA109" s="39">
        <f t="shared" si="8"/>
        <v>62.773156899810964</v>
      </c>
      <c r="AB109" s="39">
        <f t="shared" si="9"/>
        <v>1948.6788408864718</v>
      </c>
      <c r="AC109">
        <f t="shared" si="12"/>
        <v>0.99967803547090439</v>
      </c>
      <c r="AD109">
        <f t="shared" si="10"/>
        <v>0.99954354040781834</v>
      </c>
      <c r="AE109">
        <f t="shared" si="11"/>
        <v>38697</v>
      </c>
    </row>
    <row r="110" spans="1:31">
      <c r="A110" s="9">
        <v>109</v>
      </c>
      <c r="B110" s="30">
        <v>40548</v>
      </c>
      <c r="C110" s="9">
        <v>1</v>
      </c>
      <c r="D110" s="9">
        <v>0</v>
      </c>
      <c r="E110" s="9">
        <v>1</v>
      </c>
      <c r="F110" s="9">
        <v>17</v>
      </c>
      <c r="G110" s="9" t="b">
        <v>0</v>
      </c>
      <c r="H110" s="9">
        <v>3</v>
      </c>
      <c r="I110" s="9">
        <v>1</v>
      </c>
      <c r="J110" s="9">
        <v>0.24</v>
      </c>
      <c r="K110" s="9">
        <v>0.2273</v>
      </c>
      <c r="L110" s="9">
        <v>0.38</v>
      </c>
      <c r="M110" s="9">
        <v>0.19400000000000001</v>
      </c>
      <c r="N110" s="9">
        <v>4</v>
      </c>
      <c r="O110" s="9">
        <v>186</v>
      </c>
      <c r="P110" s="9">
        <v>190</v>
      </c>
      <c r="Q110" s="13" t="s">
        <v>98</v>
      </c>
      <c r="R110" s="13" t="s">
        <v>79</v>
      </c>
      <c r="S110" s="9" t="s">
        <v>80</v>
      </c>
      <c r="T110" s="13" t="s">
        <v>81</v>
      </c>
      <c r="U110" s="15" t="s">
        <v>95</v>
      </c>
      <c r="V110" s="13" t="s">
        <v>93</v>
      </c>
      <c r="W110" s="15" t="s">
        <v>84</v>
      </c>
      <c r="X110" s="9" t="s">
        <v>85</v>
      </c>
      <c r="Y110" s="13" t="s">
        <v>99</v>
      </c>
      <c r="Z110">
        <f t="shared" si="7"/>
        <v>609</v>
      </c>
      <c r="AA110" s="39">
        <f t="shared" si="8"/>
        <v>62.723484848484851</v>
      </c>
      <c r="AB110" s="39">
        <f t="shared" si="9"/>
        <v>1949.770485959383</v>
      </c>
      <c r="AC110">
        <f t="shared" si="12"/>
        <v>0.99967803551852097</v>
      </c>
      <c r="AD110">
        <f t="shared" si="10"/>
        <v>0.99954406901729731</v>
      </c>
      <c r="AE110">
        <f t="shared" si="11"/>
        <v>38608</v>
      </c>
    </row>
    <row r="111" spans="1:31">
      <c r="A111" s="10">
        <v>110</v>
      </c>
      <c r="B111" s="31">
        <v>40548</v>
      </c>
      <c r="C111" s="10">
        <v>1</v>
      </c>
      <c r="D111" s="10">
        <v>0</v>
      </c>
      <c r="E111" s="10">
        <v>1</v>
      </c>
      <c r="F111" s="10">
        <v>18</v>
      </c>
      <c r="G111" s="10" t="b">
        <v>0</v>
      </c>
      <c r="H111" s="10">
        <v>3</v>
      </c>
      <c r="I111" s="10">
        <v>1</v>
      </c>
      <c r="J111" s="10">
        <v>0.24</v>
      </c>
      <c r="K111" s="10">
        <v>0.2424</v>
      </c>
      <c r="L111" s="10">
        <v>0.38</v>
      </c>
      <c r="M111" s="10">
        <v>0.1343</v>
      </c>
      <c r="N111" s="10">
        <v>3</v>
      </c>
      <c r="O111" s="10">
        <v>166</v>
      </c>
      <c r="P111" s="10">
        <v>169</v>
      </c>
      <c r="Q111" s="13" t="s">
        <v>98</v>
      </c>
      <c r="R111" s="13" t="s">
        <v>79</v>
      </c>
      <c r="S111" s="10" t="s">
        <v>80</v>
      </c>
      <c r="T111" s="13" t="s">
        <v>81</v>
      </c>
      <c r="U111" s="15" t="s">
        <v>95</v>
      </c>
      <c r="V111" s="13" t="s">
        <v>93</v>
      </c>
      <c r="W111" s="15" t="s">
        <v>84</v>
      </c>
      <c r="X111" s="10" t="s">
        <v>85</v>
      </c>
      <c r="Y111" s="13" t="s">
        <v>99</v>
      </c>
      <c r="Z111">
        <f t="shared" si="7"/>
        <v>608</v>
      </c>
      <c r="AA111" s="39">
        <f t="shared" si="8"/>
        <v>62.481973434535107</v>
      </c>
      <c r="AB111" s="39">
        <f t="shared" si="9"/>
        <v>1950.8630831894538</v>
      </c>
      <c r="AC111">
        <f t="shared" si="12"/>
        <v>0.99968012786788463</v>
      </c>
      <c r="AD111">
        <f t="shared" si="10"/>
        <v>0.99954743110698507</v>
      </c>
      <c r="AE111">
        <f t="shared" si="11"/>
        <v>38418</v>
      </c>
    </row>
    <row r="112" spans="1:31">
      <c r="A112" s="9">
        <v>111</v>
      </c>
      <c r="B112" s="30">
        <v>40548</v>
      </c>
      <c r="C112" s="9">
        <v>1</v>
      </c>
      <c r="D112" s="9">
        <v>0</v>
      </c>
      <c r="E112" s="9">
        <v>1</v>
      </c>
      <c r="F112" s="9">
        <v>19</v>
      </c>
      <c r="G112" s="9" t="b">
        <v>0</v>
      </c>
      <c r="H112" s="9">
        <v>3</v>
      </c>
      <c r="I112" s="9">
        <v>1</v>
      </c>
      <c r="J112" s="9">
        <v>0.24</v>
      </c>
      <c r="K112" s="9">
        <v>0.2576</v>
      </c>
      <c r="L112" s="9">
        <v>0.38</v>
      </c>
      <c r="M112" s="9">
        <v>0.1045</v>
      </c>
      <c r="N112" s="9">
        <v>5</v>
      </c>
      <c r="O112" s="9">
        <v>127</v>
      </c>
      <c r="P112" s="9">
        <v>132</v>
      </c>
      <c r="Q112" s="13" t="s">
        <v>98</v>
      </c>
      <c r="R112" s="13" t="s">
        <v>79</v>
      </c>
      <c r="S112" s="9" t="s">
        <v>80</v>
      </c>
      <c r="T112" s="13" t="s">
        <v>81</v>
      </c>
      <c r="U112" s="15" t="s">
        <v>95</v>
      </c>
      <c r="V112" s="13" t="s">
        <v>93</v>
      </c>
      <c r="W112" s="15" t="s">
        <v>84</v>
      </c>
      <c r="X112" s="9" t="s">
        <v>85</v>
      </c>
      <c r="Y112" s="13" t="s">
        <v>99</v>
      </c>
      <c r="Z112">
        <f t="shared" si="7"/>
        <v>607</v>
      </c>
      <c r="AA112" s="39">
        <f t="shared" si="8"/>
        <v>62.279467680608363</v>
      </c>
      <c r="AB112" s="39">
        <f t="shared" si="9"/>
        <v>1951.958188234961</v>
      </c>
      <c r="AC112">
        <f t="shared" si="12"/>
        <v>0.9996815511122118</v>
      </c>
      <c r="AD112">
        <f t="shared" si="10"/>
        <v>0.9995499291901061</v>
      </c>
      <c r="AE112">
        <f t="shared" si="11"/>
        <v>38249</v>
      </c>
    </row>
    <row r="113" spans="1:31">
      <c r="A113" s="10">
        <v>112</v>
      </c>
      <c r="B113" s="31">
        <v>40548</v>
      </c>
      <c r="C113" s="10">
        <v>1</v>
      </c>
      <c r="D113" s="10">
        <v>0</v>
      </c>
      <c r="E113" s="10">
        <v>1</v>
      </c>
      <c r="F113" s="10">
        <v>20</v>
      </c>
      <c r="G113" s="10" t="b">
        <v>0</v>
      </c>
      <c r="H113" s="10">
        <v>3</v>
      </c>
      <c r="I113" s="10">
        <v>1</v>
      </c>
      <c r="J113" s="10">
        <v>0.22</v>
      </c>
      <c r="K113" s="10">
        <v>0.2273</v>
      </c>
      <c r="L113" s="10">
        <v>0.47</v>
      </c>
      <c r="M113" s="10">
        <v>0.16420000000000001</v>
      </c>
      <c r="N113" s="10">
        <v>7</v>
      </c>
      <c r="O113" s="10">
        <v>82</v>
      </c>
      <c r="P113" s="10">
        <v>89</v>
      </c>
      <c r="Q113" s="13" t="s">
        <v>98</v>
      </c>
      <c r="R113" s="13" t="s">
        <v>79</v>
      </c>
      <c r="S113" s="10" t="s">
        <v>80</v>
      </c>
      <c r="T113" s="13" t="s">
        <v>81</v>
      </c>
      <c r="U113" s="16" t="s">
        <v>97</v>
      </c>
      <c r="V113" s="13" t="s">
        <v>93</v>
      </c>
      <c r="W113" s="15" t="s">
        <v>84</v>
      </c>
      <c r="X113" s="10" t="s">
        <v>85</v>
      </c>
      <c r="Y113" s="13" t="s">
        <v>99</v>
      </c>
      <c r="Z113">
        <f t="shared" si="7"/>
        <v>606</v>
      </c>
      <c r="AA113" s="39">
        <f t="shared" si="8"/>
        <v>62.146666666666668</v>
      </c>
      <c r="AB113" s="39">
        <f t="shared" si="9"/>
        <v>1953.0557012582199</v>
      </c>
      <c r="AC113">
        <f t="shared" si="12"/>
        <v>0.99968210584733341</v>
      </c>
      <c r="AD113">
        <f t="shared" si="10"/>
        <v>0.99955121231827437</v>
      </c>
      <c r="AE113">
        <f t="shared" si="11"/>
        <v>38117</v>
      </c>
    </row>
    <row r="114" spans="1:31">
      <c r="A114" s="9">
        <v>113</v>
      </c>
      <c r="B114" s="30">
        <v>40548</v>
      </c>
      <c r="C114" s="9">
        <v>1</v>
      </c>
      <c r="D114" s="9">
        <v>0</v>
      </c>
      <c r="E114" s="9">
        <v>1</v>
      </c>
      <c r="F114" s="9">
        <v>21</v>
      </c>
      <c r="G114" s="9" t="b">
        <v>0</v>
      </c>
      <c r="H114" s="9">
        <v>3</v>
      </c>
      <c r="I114" s="9">
        <v>1</v>
      </c>
      <c r="J114" s="9">
        <v>0.2</v>
      </c>
      <c r="K114" s="9">
        <v>0.19700000000000001</v>
      </c>
      <c r="L114" s="9">
        <v>0.51</v>
      </c>
      <c r="M114" s="9">
        <v>0.19400000000000001</v>
      </c>
      <c r="N114" s="9">
        <v>3</v>
      </c>
      <c r="O114" s="9">
        <v>40</v>
      </c>
      <c r="P114" s="9">
        <v>43</v>
      </c>
      <c r="Q114" s="13" t="s">
        <v>98</v>
      </c>
      <c r="R114" s="13" t="s">
        <v>79</v>
      </c>
      <c r="S114" s="9" t="s">
        <v>80</v>
      </c>
      <c r="T114" s="13" t="s">
        <v>81</v>
      </c>
      <c r="U114" s="16" t="s">
        <v>97</v>
      </c>
      <c r="V114" s="11" t="s">
        <v>87</v>
      </c>
      <c r="W114" s="15" t="s">
        <v>84</v>
      </c>
      <c r="X114" s="9" t="s">
        <v>85</v>
      </c>
      <c r="Y114" s="13" t="s">
        <v>99</v>
      </c>
      <c r="Z114">
        <f t="shared" si="7"/>
        <v>605</v>
      </c>
      <c r="AA114" s="39">
        <f t="shared" si="8"/>
        <v>62.095419847328245</v>
      </c>
      <c r="AB114" s="39">
        <f t="shared" si="9"/>
        <v>1954.1547287208246</v>
      </c>
      <c r="AC114">
        <f t="shared" si="12"/>
        <v>0.99968219096163025</v>
      </c>
      <c r="AD114">
        <f t="shared" si="10"/>
        <v>0.99955146417871565</v>
      </c>
      <c r="AE114">
        <f t="shared" si="11"/>
        <v>38028</v>
      </c>
    </row>
    <row r="115" spans="1:31">
      <c r="A115" s="10">
        <v>114</v>
      </c>
      <c r="B115" s="31">
        <v>40548</v>
      </c>
      <c r="C115" s="10">
        <v>1</v>
      </c>
      <c r="D115" s="10">
        <v>0</v>
      </c>
      <c r="E115" s="10">
        <v>1</v>
      </c>
      <c r="F115" s="10">
        <v>22</v>
      </c>
      <c r="G115" s="10" t="b">
        <v>0</v>
      </c>
      <c r="H115" s="10">
        <v>3</v>
      </c>
      <c r="I115" s="10">
        <v>1</v>
      </c>
      <c r="J115" s="10">
        <v>0.18</v>
      </c>
      <c r="K115" s="10">
        <v>0.19700000000000001</v>
      </c>
      <c r="L115" s="10">
        <v>0.55000000000000004</v>
      </c>
      <c r="M115" s="10">
        <v>0.1343</v>
      </c>
      <c r="N115" s="10">
        <v>1</v>
      </c>
      <c r="O115" s="10">
        <v>41</v>
      </c>
      <c r="P115" s="10">
        <v>42</v>
      </c>
      <c r="Q115" s="13" t="s">
        <v>98</v>
      </c>
      <c r="R115" s="13" t="s">
        <v>79</v>
      </c>
      <c r="S115" s="10" t="s">
        <v>80</v>
      </c>
      <c r="T115" s="13" t="s">
        <v>81</v>
      </c>
      <c r="U115" s="16" t="s">
        <v>97</v>
      </c>
      <c r="V115" s="11" t="s">
        <v>87</v>
      </c>
      <c r="W115" s="15" t="s">
        <v>84</v>
      </c>
      <c r="X115" s="10" t="s">
        <v>85</v>
      </c>
      <c r="Y115" s="13" t="s">
        <v>99</v>
      </c>
      <c r="Z115">
        <f t="shared" si="7"/>
        <v>604</v>
      </c>
      <c r="AA115" s="39">
        <f t="shared" si="8"/>
        <v>62.131931166347989</v>
      </c>
      <c r="AB115" s="39">
        <f t="shared" si="9"/>
        <v>1955.2540681735495</v>
      </c>
      <c r="AC115">
        <f t="shared" si="12"/>
        <v>0.99968222950291663</v>
      </c>
      <c r="AD115">
        <f t="shared" si="10"/>
        <v>0.99955147434560598</v>
      </c>
      <c r="AE115">
        <f t="shared" si="11"/>
        <v>37985</v>
      </c>
    </row>
    <row r="116" spans="1:31">
      <c r="A116" s="9">
        <v>115</v>
      </c>
      <c r="B116" s="30">
        <v>40548</v>
      </c>
      <c r="C116" s="9">
        <v>1</v>
      </c>
      <c r="D116" s="9">
        <v>0</v>
      </c>
      <c r="E116" s="9">
        <v>1</v>
      </c>
      <c r="F116" s="9">
        <v>23</v>
      </c>
      <c r="G116" s="9" t="b">
        <v>0</v>
      </c>
      <c r="H116" s="9">
        <v>3</v>
      </c>
      <c r="I116" s="9">
        <v>1</v>
      </c>
      <c r="J116" s="9">
        <v>0.2</v>
      </c>
      <c r="K116" s="9">
        <v>0.2576</v>
      </c>
      <c r="L116" s="9">
        <v>0.47</v>
      </c>
      <c r="M116" s="9">
        <v>0</v>
      </c>
      <c r="N116" s="9">
        <v>1</v>
      </c>
      <c r="O116" s="9">
        <v>18</v>
      </c>
      <c r="P116" s="9">
        <v>19</v>
      </c>
      <c r="Q116" s="13" t="s">
        <v>98</v>
      </c>
      <c r="R116" s="13" t="s">
        <v>79</v>
      </c>
      <c r="S116" s="9" t="s">
        <v>80</v>
      </c>
      <c r="T116" s="13" t="s">
        <v>81</v>
      </c>
      <c r="U116" s="16" t="s">
        <v>97</v>
      </c>
      <c r="V116" s="12" t="s">
        <v>83</v>
      </c>
      <c r="W116" s="15" t="s">
        <v>84</v>
      </c>
      <c r="X116" s="9" t="s">
        <v>85</v>
      </c>
      <c r="Y116" s="13" t="s">
        <v>99</v>
      </c>
      <c r="Z116">
        <f t="shared" si="7"/>
        <v>603</v>
      </c>
      <c r="AA116" s="39">
        <f t="shared" si="8"/>
        <v>62.170498084291189</v>
      </c>
      <c r="AB116" s="39">
        <f t="shared" si="9"/>
        <v>1956.3552178225914</v>
      </c>
      <c r="AC116">
        <f t="shared" si="12"/>
        <v>0.99968224887575674</v>
      </c>
      <c r="AD116">
        <f t="shared" si="10"/>
        <v>0.99955150100201817</v>
      </c>
      <c r="AE116">
        <f t="shared" si="11"/>
        <v>37943</v>
      </c>
    </row>
    <row r="117" spans="1:31">
      <c r="A117" s="10">
        <v>116</v>
      </c>
      <c r="B117" s="31">
        <v>40549</v>
      </c>
      <c r="C117" s="10">
        <v>1</v>
      </c>
      <c r="D117" s="10">
        <v>0</v>
      </c>
      <c r="E117" s="10">
        <v>1</v>
      </c>
      <c r="F117" s="10">
        <v>0</v>
      </c>
      <c r="G117" s="10" t="b">
        <v>0</v>
      </c>
      <c r="H117" s="10">
        <v>4</v>
      </c>
      <c r="I117" s="10">
        <v>1</v>
      </c>
      <c r="J117" s="10">
        <v>0.18</v>
      </c>
      <c r="K117" s="10">
        <v>0.2424</v>
      </c>
      <c r="L117" s="10">
        <v>0.55000000000000004</v>
      </c>
      <c r="M117" s="10">
        <v>0</v>
      </c>
      <c r="N117" s="10">
        <v>0</v>
      </c>
      <c r="O117" s="10">
        <v>11</v>
      </c>
      <c r="P117" s="10">
        <v>11</v>
      </c>
      <c r="Q117" s="13" t="s">
        <v>98</v>
      </c>
      <c r="R117" s="13" t="s">
        <v>79</v>
      </c>
      <c r="S117" s="10" t="s">
        <v>80</v>
      </c>
      <c r="T117" s="13" t="s">
        <v>81</v>
      </c>
      <c r="U117" s="14" t="s">
        <v>82</v>
      </c>
      <c r="V117" s="12" t="s">
        <v>83</v>
      </c>
      <c r="W117" s="15" t="s">
        <v>84</v>
      </c>
      <c r="X117" s="10" t="s">
        <v>85</v>
      </c>
      <c r="Y117" s="13" t="s">
        <v>99</v>
      </c>
      <c r="Z117">
        <f t="shared" si="7"/>
        <v>602</v>
      </c>
      <c r="AA117" s="39">
        <f t="shared" si="8"/>
        <v>62.253358925143957</v>
      </c>
      <c r="AB117" s="39">
        <f t="shared" si="9"/>
        <v>1957.4569820823033</v>
      </c>
      <c r="AC117">
        <f t="shared" si="12"/>
        <v>0.99968248784763825</v>
      </c>
      <c r="AD117">
        <f t="shared" si="10"/>
        <v>0.99955162090597416</v>
      </c>
      <c r="AE117">
        <f t="shared" si="11"/>
        <v>37924</v>
      </c>
    </row>
    <row r="118" spans="1:31">
      <c r="A118" s="9">
        <v>117</v>
      </c>
      <c r="B118" s="30">
        <v>40549</v>
      </c>
      <c r="C118" s="9">
        <v>1</v>
      </c>
      <c r="D118" s="9">
        <v>0</v>
      </c>
      <c r="E118" s="9">
        <v>1</v>
      </c>
      <c r="F118" s="9">
        <v>1</v>
      </c>
      <c r="G118" s="9" t="b">
        <v>0</v>
      </c>
      <c r="H118" s="9">
        <v>4</v>
      </c>
      <c r="I118" s="9">
        <v>1</v>
      </c>
      <c r="J118" s="9">
        <v>0.16</v>
      </c>
      <c r="K118" s="9">
        <v>0.2273</v>
      </c>
      <c r="L118" s="9">
        <v>0.64</v>
      </c>
      <c r="M118" s="9">
        <v>0</v>
      </c>
      <c r="N118" s="9">
        <v>0</v>
      </c>
      <c r="O118" s="9">
        <v>4</v>
      </c>
      <c r="P118" s="9">
        <v>4</v>
      </c>
      <c r="Q118" s="13" t="s">
        <v>98</v>
      </c>
      <c r="R118" s="13" t="s">
        <v>79</v>
      </c>
      <c r="S118" s="9" t="s">
        <v>80</v>
      </c>
      <c r="T118" s="13" t="s">
        <v>81</v>
      </c>
      <c r="U118" s="14" t="s">
        <v>82</v>
      </c>
      <c r="V118" s="12" t="s">
        <v>83</v>
      </c>
      <c r="W118" s="15" t="s">
        <v>84</v>
      </c>
      <c r="X118" s="9" t="s">
        <v>85</v>
      </c>
      <c r="Y118" s="13" t="s">
        <v>99</v>
      </c>
      <c r="Z118">
        <f t="shared" si="7"/>
        <v>601</v>
      </c>
      <c r="AA118" s="39">
        <f t="shared" si="8"/>
        <v>62.351923076923079</v>
      </c>
      <c r="AB118" s="39">
        <f t="shared" si="9"/>
        <v>1958.5601033250891</v>
      </c>
      <c r="AC118">
        <f t="shared" si="12"/>
        <v>0.9996827558624416</v>
      </c>
      <c r="AD118">
        <f t="shared" si="10"/>
        <v>0.99955191437589908</v>
      </c>
      <c r="AE118">
        <f t="shared" si="11"/>
        <v>37913</v>
      </c>
    </row>
    <row r="119" spans="1:31">
      <c r="A119" s="10">
        <v>118</v>
      </c>
      <c r="B119" s="31">
        <v>40549</v>
      </c>
      <c r="C119" s="10">
        <v>1</v>
      </c>
      <c r="D119" s="10">
        <v>0</v>
      </c>
      <c r="E119" s="10">
        <v>1</v>
      </c>
      <c r="F119" s="10">
        <v>2</v>
      </c>
      <c r="G119" s="10" t="b">
        <v>0</v>
      </c>
      <c r="H119" s="10">
        <v>4</v>
      </c>
      <c r="I119" s="10">
        <v>1</v>
      </c>
      <c r="J119" s="10">
        <v>0.16</v>
      </c>
      <c r="K119" s="10">
        <v>0.2273</v>
      </c>
      <c r="L119" s="10">
        <v>0.64</v>
      </c>
      <c r="M119" s="10">
        <v>0</v>
      </c>
      <c r="N119" s="10">
        <v>0</v>
      </c>
      <c r="O119" s="10">
        <v>2</v>
      </c>
      <c r="P119" s="10">
        <v>2</v>
      </c>
      <c r="Q119" s="13" t="s">
        <v>98</v>
      </c>
      <c r="R119" s="13" t="s">
        <v>79</v>
      </c>
      <c r="S119" s="10" t="s">
        <v>80</v>
      </c>
      <c r="T119" s="13" t="s">
        <v>81</v>
      </c>
      <c r="U119" s="14" t="s">
        <v>82</v>
      </c>
      <c r="V119" s="12" t="s">
        <v>83</v>
      </c>
      <c r="W119" s="15" t="s">
        <v>84</v>
      </c>
      <c r="X119" s="10" t="s">
        <v>85</v>
      </c>
      <c r="Y119" s="13" t="s">
        <v>99</v>
      </c>
      <c r="Z119">
        <f t="shared" si="7"/>
        <v>600</v>
      </c>
      <c r="AA119" s="39">
        <f t="shared" si="8"/>
        <v>62.46435452793834</v>
      </c>
      <c r="AB119" s="39">
        <f t="shared" si="9"/>
        <v>1959.6646172607993</v>
      </c>
      <c r="AC119">
        <f t="shared" si="12"/>
        <v>0.9996830414773884</v>
      </c>
      <c r="AD119">
        <f t="shared" si="10"/>
        <v>0.99955245774996593</v>
      </c>
      <c r="AE119">
        <f t="shared" si="11"/>
        <v>37909</v>
      </c>
    </row>
    <row r="120" spans="1:31">
      <c r="A120" s="9">
        <v>119</v>
      </c>
      <c r="B120" s="30">
        <v>40549</v>
      </c>
      <c r="C120" s="9">
        <v>1</v>
      </c>
      <c r="D120" s="9">
        <v>0</v>
      </c>
      <c r="E120" s="9">
        <v>1</v>
      </c>
      <c r="F120" s="9">
        <v>4</v>
      </c>
      <c r="G120" s="9" t="b">
        <v>0</v>
      </c>
      <c r="H120" s="9">
        <v>4</v>
      </c>
      <c r="I120" s="9">
        <v>2</v>
      </c>
      <c r="J120" s="9">
        <v>0.16</v>
      </c>
      <c r="K120" s="9">
        <v>0.19700000000000001</v>
      </c>
      <c r="L120" s="9">
        <v>0.64</v>
      </c>
      <c r="M120" s="9">
        <v>8.9599999999999999E-2</v>
      </c>
      <c r="N120" s="9">
        <v>0</v>
      </c>
      <c r="O120" s="9">
        <v>1</v>
      </c>
      <c r="P120" s="9">
        <v>1</v>
      </c>
      <c r="Q120" s="13" t="s">
        <v>98</v>
      </c>
      <c r="R120" s="13" t="s">
        <v>79</v>
      </c>
      <c r="S120" s="9" t="s">
        <v>80</v>
      </c>
      <c r="T120" s="11" t="s">
        <v>88</v>
      </c>
      <c r="U120" s="14" t="s">
        <v>82</v>
      </c>
      <c r="V120" s="12" t="s">
        <v>83</v>
      </c>
      <c r="W120" s="15" t="s">
        <v>84</v>
      </c>
      <c r="X120" s="9" t="s">
        <v>85</v>
      </c>
      <c r="Y120" s="13" t="s">
        <v>99</v>
      </c>
      <c r="Z120">
        <f t="shared" si="7"/>
        <v>599</v>
      </c>
      <c r="AA120" s="39">
        <f t="shared" si="8"/>
        <v>62.581081081081081</v>
      </c>
      <c r="AB120" s="39">
        <f t="shared" si="9"/>
        <v>1960.7708609438753</v>
      </c>
      <c r="AC120">
        <f t="shared" si="12"/>
        <v>0.99968335435625055</v>
      </c>
      <c r="AD120">
        <f t="shared" si="10"/>
        <v>0.99955303882337576</v>
      </c>
      <c r="AE120">
        <f t="shared" si="11"/>
        <v>37907</v>
      </c>
    </row>
    <row r="121" spans="1:31">
      <c r="A121" s="10">
        <v>120</v>
      </c>
      <c r="B121" s="31">
        <v>40549</v>
      </c>
      <c r="C121" s="10">
        <v>1</v>
      </c>
      <c r="D121" s="10">
        <v>0</v>
      </c>
      <c r="E121" s="10">
        <v>1</v>
      </c>
      <c r="F121" s="10">
        <v>5</v>
      </c>
      <c r="G121" s="10" t="b">
        <v>0</v>
      </c>
      <c r="H121" s="10">
        <v>4</v>
      </c>
      <c r="I121" s="10">
        <v>2</v>
      </c>
      <c r="J121" s="10">
        <v>0.14000000000000001</v>
      </c>
      <c r="K121" s="10">
        <v>0.18179999999999999</v>
      </c>
      <c r="L121" s="10">
        <v>0.69</v>
      </c>
      <c r="M121" s="10">
        <v>8.9599999999999999E-2</v>
      </c>
      <c r="N121" s="10">
        <v>0</v>
      </c>
      <c r="O121" s="10">
        <v>4</v>
      </c>
      <c r="P121" s="10">
        <v>4</v>
      </c>
      <c r="Q121" s="13" t="s">
        <v>98</v>
      </c>
      <c r="R121" s="13" t="s">
        <v>79</v>
      </c>
      <c r="S121" s="10" t="s">
        <v>80</v>
      </c>
      <c r="T121" s="11" t="s">
        <v>88</v>
      </c>
      <c r="U121" s="15" t="s">
        <v>89</v>
      </c>
      <c r="V121" s="12" t="s">
        <v>83</v>
      </c>
      <c r="W121" s="15" t="s">
        <v>84</v>
      </c>
      <c r="X121" s="10" t="s">
        <v>85</v>
      </c>
      <c r="Y121" s="13" t="s">
        <v>99</v>
      </c>
      <c r="Z121">
        <f t="shared" si="7"/>
        <v>598</v>
      </c>
      <c r="AA121" s="39">
        <f t="shared" si="8"/>
        <v>62.581081081081081</v>
      </c>
      <c r="AB121" s="39">
        <f t="shared" si="9"/>
        <v>1961.8789086819347</v>
      </c>
      <c r="AC121">
        <f t="shared" si="12"/>
        <v>0.99968368171343058</v>
      </c>
      <c r="AD121">
        <f t="shared" si="10"/>
        <v>0.99955363991582991</v>
      </c>
      <c r="AE121">
        <f t="shared" si="11"/>
        <v>37906</v>
      </c>
    </row>
    <row r="122" spans="1:31">
      <c r="A122" s="9">
        <v>121</v>
      </c>
      <c r="B122" s="30">
        <v>40549</v>
      </c>
      <c r="C122" s="9">
        <v>1</v>
      </c>
      <c r="D122" s="9">
        <v>0</v>
      </c>
      <c r="E122" s="9">
        <v>1</v>
      </c>
      <c r="F122" s="9">
        <v>6</v>
      </c>
      <c r="G122" s="9" t="b">
        <v>0</v>
      </c>
      <c r="H122" s="9">
        <v>4</v>
      </c>
      <c r="I122" s="9">
        <v>2</v>
      </c>
      <c r="J122" s="9">
        <v>0.14000000000000001</v>
      </c>
      <c r="K122" s="9">
        <v>0.16669999999999999</v>
      </c>
      <c r="L122" s="9">
        <v>0.63</v>
      </c>
      <c r="M122" s="9">
        <v>0.1045</v>
      </c>
      <c r="N122" s="9">
        <v>0</v>
      </c>
      <c r="O122" s="9">
        <v>36</v>
      </c>
      <c r="P122" s="9">
        <v>36</v>
      </c>
      <c r="Q122" s="13" t="s">
        <v>98</v>
      </c>
      <c r="R122" s="13" t="s">
        <v>79</v>
      </c>
      <c r="S122" s="9" t="s">
        <v>80</v>
      </c>
      <c r="T122" s="11" t="s">
        <v>88</v>
      </c>
      <c r="U122" s="15" t="s">
        <v>89</v>
      </c>
      <c r="V122" s="11" t="s">
        <v>87</v>
      </c>
      <c r="W122" s="15" t="s">
        <v>84</v>
      </c>
      <c r="X122" s="9" t="s">
        <v>85</v>
      </c>
      <c r="Y122" s="13" t="s">
        <v>99</v>
      </c>
      <c r="Z122">
        <f t="shared" si="7"/>
        <v>597</v>
      </c>
      <c r="AA122" s="39">
        <f t="shared" si="8"/>
        <v>62.581081081081081</v>
      </c>
      <c r="AB122" s="39">
        <f t="shared" si="9"/>
        <v>1962.9890500872802</v>
      </c>
      <c r="AC122">
        <f t="shared" si="12"/>
        <v>0.99968390010660135</v>
      </c>
      <c r="AD122">
        <f t="shared" si="10"/>
        <v>0.99955428093813337</v>
      </c>
      <c r="AE122">
        <f t="shared" si="11"/>
        <v>37902</v>
      </c>
    </row>
    <row r="123" spans="1:31">
      <c r="A123" s="10">
        <v>122</v>
      </c>
      <c r="B123" s="31">
        <v>40549</v>
      </c>
      <c r="C123" s="10">
        <v>1</v>
      </c>
      <c r="D123" s="10">
        <v>0</v>
      </c>
      <c r="E123" s="10">
        <v>1</v>
      </c>
      <c r="F123" s="10">
        <v>7</v>
      </c>
      <c r="G123" s="10" t="b">
        <v>0</v>
      </c>
      <c r="H123" s="10">
        <v>4</v>
      </c>
      <c r="I123" s="10">
        <v>2</v>
      </c>
      <c r="J123" s="10">
        <v>0.16</v>
      </c>
      <c r="K123" s="10">
        <v>0.2273</v>
      </c>
      <c r="L123" s="10">
        <v>0.59</v>
      </c>
      <c r="M123" s="10">
        <v>0</v>
      </c>
      <c r="N123" s="10">
        <v>0</v>
      </c>
      <c r="O123" s="10">
        <v>95</v>
      </c>
      <c r="P123" s="10">
        <v>95</v>
      </c>
      <c r="Q123" s="13" t="s">
        <v>98</v>
      </c>
      <c r="R123" s="13" t="s">
        <v>79</v>
      </c>
      <c r="S123" s="10" t="s">
        <v>80</v>
      </c>
      <c r="T123" s="11" t="s">
        <v>88</v>
      </c>
      <c r="U123" s="15" t="s">
        <v>89</v>
      </c>
      <c r="V123" s="13" t="s">
        <v>93</v>
      </c>
      <c r="W123" s="15" t="s">
        <v>84</v>
      </c>
      <c r="X123" s="10" t="s">
        <v>85</v>
      </c>
      <c r="Y123" s="13" t="s">
        <v>99</v>
      </c>
      <c r="Z123">
        <f t="shared" si="7"/>
        <v>596</v>
      </c>
      <c r="AA123" s="39">
        <f t="shared" si="8"/>
        <v>62.581081081081081</v>
      </c>
      <c r="AB123" s="39">
        <f t="shared" si="9"/>
        <v>1964.1030300041691</v>
      </c>
      <c r="AC123">
        <f t="shared" si="12"/>
        <v>0.9996839058383914</v>
      </c>
      <c r="AD123">
        <f t="shared" si="10"/>
        <v>0.99955439610318264</v>
      </c>
      <c r="AE123">
        <f t="shared" si="11"/>
        <v>37866</v>
      </c>
    </row>
    <row r="124" spans="1:31">
      <c r="A124" s="9">
        <v>123</v>
      </c>
      <c r="B124" s="30">
        <v>40549</v>
      </c>
      <c r="C124" s="9">
        <v>1</v>
      </c>
      <c r="D124" s="9">
        <v>0</v>
      </c>
      <c r="E124" s="9">
        <v>1</v>
      </c>
      <c r="F124" s="9">
        <v>8</v>
      </c>
      <c r="G124" s="9" t="b">
        <v>0</v>
      </c>
      <c r="H124" s="9">
        <v>4</v>
      </c>
      <c r="I124" s="9">
        <v>1</v>
      </c>
      <c r="J124" s="9">
        <v>0.16</v>
      </c>
      <c r="K124" s="9">
        <v>0.2273</v>
      </c>
      <c r="L124" s="9">
        <v>0.59</v>
      </c>
      <c r="M124" s="9">
        <v>0</v>
      </c>
      <c r="N124" s="9">
        <v>3</v>
      </c>
      <c r="O124" s="9">
        <v>216</v>
      </c>
      <c r="P124" s="9">
        <v>219</v>
      </c>
      <c r="Q124" s="13" t="s">
        <v>98</v>
      </c>
      <c r="R124" s="13" t="s">
        <v>79</v>
      </c>
      <c r="S124" s="9" t="s">
        <v>80</v>
      </c>
      <c r="T124" s="13" t="s">
        <v>81</v>
      </c>
      <c r="U124" s="15" t="s">
        <v>89</v>
      </c>
      <c r="V124" s="13" t="s">
        <v>93</v>
      </c>
      <c r="W124" s="15" t="s">
        <v>84</v>
      </c>
      <c r="X124" s="9" t="s">
        <v>85</v>
      </c>
      <c r="Y124" s="13" t="s">
        <v>99</v>
      </c>
      <c r="Z124">
        <f t="shared" si="7"/>
        <v>595</v>
      </c>
      <c r="AA124" s="39">
        <f t="shared" si="8"/>
        <v>62.581081081081081</v>
      </c>
      <c r="AB124" s="39">
        <f t="shared" si="9"/>
        <v>1965.2209552769104</v>
      </c>
      <c r="AC124">
        <f t="shared" si="12"/>
        <v>0.99968422791159939</v>
      </c>
      <c r="AD124">
        <f t="shared" si="10"/>
        <v>0.99955457607014286</v>
      </c>
      <c r="AE124">
        <f t="shared" si="11"/>
        <v>37771</v>
      </c>
    </row>
    <row r="125" spans="1:31">
      <c r="A125" s="10">
        <v>124</v>
      </c>
      <c r="B125" s="31">
        <v>40549</v>
      </c>
      <c r="C125" s="10">
        <v>1</v>
      </c>
      <c r="D125" s="10">
        <v>0</v>
      </c>
      <c r="E125" s="10">
        <v>1</v>
      </c>
      <c r="F125" s="10">
        <v>9</v>
      </c>
      <c r="G125" s="10" t="b">
        <v>0</v>
      </c>
      <c r="H125" s="10">
        <v>4</v>
      </c>
      <c r="I125" s="10">
        <v>2</v>
      </c>
      <c r="J125" s="10">
        <v>0.18</v>
      </c>
      <c r="K125" s="10">
        <v>0.2424</v>
      </c>
      <c r="L125" s="10">
        <v>0.51</v>
      </c>
      <c r="M125" s="10">
        <v>0</v>
      </c>
      <c r="N125" s="10">
        <v>6</v>
      </c>
      <c r="O125" s="10">
        <v>116</v>
      </c>
      <c r="P125" s="10">
        <v>122</v>
      </c>
      <c r="Q125" s="13" t="s">
        <v>98</v>
      </c>
      <c r="R125" s="13" t="s">
        <v>79</v>
      </c>
      <c r="S125" s="10" t="s">
        <v>80</v>
      </c>
      <c r="T125" s="11" t="s">
        <v>88</v>
      </c>
      <c r="U125" s="15" t="s">
        <v>89</v>
      </c>
      <c r="V125" s="13" t="s">
        <v>93</v>
      </c>
      <c r="W125" s="15" t="s">
        <v>84</v>
      </c>
      <c r="X125" s="10" t="s">
        <v>85</v>
      </c>
      <c r="Y125" s="13" t="s">
        <v>99</v>
      </c>
      <c r="Z125">
        <f t="shared" si="7"/>
        <v>594</v>
      </c>
      <c r="AA125" s="39">
        <f t="shared" si="8"/>
        <v>62.278529980657638</v>
      </c>
      <c r="AB125" s="39">
        <f t="shared" si="9"/>
        <v>1966.3385111955145</v>
      </c>
      <c r="AC125">
        <f t="shared" si="12"/>
        <v>0.99968853299891314</v>
      </c>
      <c r="AD125">
        <f t="shared" si="10"/>
        <v>0.99955830668494083</v>
      </c>
      <c r="AE125">
        <f t="shared" si="11"/>
        <v>37552</v>
      </c>
    </row>
    <row r="126" spans="1:31">
      <c r="A126" s="9">
        <v>125</v>
      </c>
      <c r="B126" s="30">
        <v>40549</v>
      </c>
      <c r="C126" s="9">
        <v>1</v>
      </c>
      <c r="D126" s="9">
        <v>0</v>
      </c>
      <c r="E126" s="9">
        <v>1</v>
      </c>
      <c r="F126" s="9">
        <v>10</v>
      </c>
      <c r="G126" s="9" t="b">
        <v>0</v>
      </c>
      <c r="H126" s="9">
        <v>4</v>
      </c>
      <c r="I126" s="9">
        <v>1</v>
      </c>
      <c r="J126" s="9">
        <v>0.2</v>
      </c>
      <c r="K126" s="9">
        <v>0.2576</v>
      </c>
      <c r="L126" s="9">
        <v>0.47</v>
      </c>
      <c r="M126" s="9">
        <v>0</v>
      </c>
      <c r="N126" s="9">
        <v>3</v>
      </c>
      <c r="O126" s="9">
        <v>42</v>
      </c>
      <c r="P126" s="9">
        <v>45</v>
      </c>
      <c r="Q126" s="13" t="s">
        <v>98</v>
      </c>
      <c r="R126" s="13" t="s">
        <v>79</v>
      </c>
      <c r="S126" s="9" t="s">
        <v>80</v>
      </c>
      <c r="T126" s="13" t="s">
        <v>81</v>
      </c>
      <c r="U126" s="13" t="s">
        <v>91</v>
      </c>
      <c r="V126" s="11" t="s">
        <v>87</v>
      </c>
      <c r="W126" s="15" t="s">
        <v>84</v>
      </c>
      <c r="X126" s="9" t="s">
        <v>85</v>
      </c>
      <c r="Y126" s="13" t="s">
        <v>99</v>
      </c>
      <c r="Z126">
        <f t="shared" si="7"/>
        <v>593</v>
      </c>
      <c r="AA126" s="39">
        <f t="shared" si="8"/>
        <v>62.278529980657638</v>
      </c>
      <c r="AB126" s="39">
        <f t="shared" si="9"/>
        <v>1967.4605274062271</v>
      </c>
      <c r="AC126">
        <f t="shared" si="12"/>
        <v>0.99968922171442087</v>
      </c>
      <c r="AD126">
        <f t="shared" si="10"/>
        <v>0.99955903339440155</v>
      </c>
      <c r="AE126">
        <f t="shared" si="11"/>
        <v>37430</v>
      </c>
    </row>
    <row r="127" spans="1:31">
      <c r="A127" s="10">
        <v>126</v>
      </c>
      <c r="B127" s="31">
        <v>40549</v>
      </c>
      <c r="C127" s="10">
        <v>1</v>
      </c>
      <c r="D127" s="10">
        <v>0</v>
      </c>
      <c r="E127" s="10">
        <v>1</v>
      </c>
      <c r="F127" s="10">
        <v>11</v>
      </c>
      <c r="G127" s="10" t="b">
        <v>0</v>
      </c>
      <c r="H127" s="10">
        <v>4</v>
      </c>
      <c r="I127" s="10">
        <v>1</v>
      </c>
      <c r="J127" s="10">
        <v>0.22</v>
      </c>
      <c r="K127" s="10">
        <v>0.2576</v>
      </c>
      <c r="L127" s="10">
        <v>0.44</v>
      </c>
      <c r="M127" s="10">
        <v>8.9599999999999999E-2</v>
      </c>
      <c r="N127" s="10">
        <v>2</v>
      </c>
      <c r="O127" s="10">
        <v>57</v>
      </c>
      <c r="P127" s="10">
        <v>59</v>
      </c>
      <c r="Q127" s="13" t="s">
        <v>98</v>
      </c>
      <c r="R127" s="13" t="s">
        <v>79</v>
      </c>
      <c r="S127" s="10" t="s">
        <v>80</v>
      </c>
      <c r="T127" s="13" t="s">
        <v>81</v>
      </c>
      <c r="U127" s="13" t="s">
        <v>91</v>
      </c>
      <c r="V127" s="11" t="s">
        <v>87</v>
      </c>
      <c r="W127" s="15" t="s">
        <v>84</v>
      </c>
      <c r="X127" s="10" t="s">
        <v>85</v>
      </c>
      <c r="Y127" s="13" t="s">
        <v>99</v>
      </c>
      <c r="Z127">
        <f t="shared" si="7"/>
        <v>592</v>
      </c>
      <c r="AA127" s="39">
        <f t="shared" si="8"/>
        <v>62.312015503875969</v>
      </c>
      <c r="AB127" s="39">
        <f t="shared" si="9"/>
        <v>1968.582599462547</v>
      </c>
      <c r="AC127">
        <f t="shared" si="12"/>
        <v>0.99968925128520347</v>
      </c>
      <c r="AD127">
        <f t="shared" si="10"/>
        <v>0.99955903368922305</v>
      </c>
      <c r="AE127">
        <f t="shared" si="11"/>
        <v>37385</v>
      </c>
    </row>
    <row r="128" spans="1:31">
      <c r="A128" s="9">
        <v>127</v>
      </c>
      <c r="B128" s="30">
        <v>40549</v>
      </c>
      <c r="C128" s="9">
        <v>1</v>
      </c>
      <c r="D128" s="9">
        <v>0</v>
      </c>
      <c r="E128" s="9">
        <v>1</v>
      </c>
      <c r="F128" s="9">
        <v>12</v>
      </c>
      <c r="G128" s="9" t="b">
        <v>0</v>
      </c>
      <c r="H128" s="9">
        <v>4</v>
      </c>
      <c r="I128" s="9">
        <v>1</v>
      </c>
      <c r="J128" s="9">
        <v>0.26</v>
      </c>
      <c r="K128" s="9">
        <v>0.28789999999999999</v>
      </c>
      <c r="L128" s="9">
        <v>0.35</v>
      </c>
      <c r="M128" s="9">
        <v>0</v>
      </c>
      <c r="N128" s="9">
        <v>6</v>
      </c>
      <c r="O128" s="9">
        <v>78</v>
      </c>
      <c r="P128" s="9">
        <v>84</v>
      </c>
      <c r="Q128" s="13" t="s">
        <v>98</v>
      </c>
      <c r="R128" s="13" t="s">
        <v>79</v>
      </c>
      <c r="S128" s="9" t="s">
        <v>80</v>
      </c>
      <c r="T128" s="13" t="s">
        <v>81</v>
      </c>
      <c r="U128" s="11" t="s">
        <v>92</v>
      </c>
      <c r="V128" s="13" t="s">
        <v>93</v>
      </c>
      <c r="W128" s="13" t="s">
        <v>90</v>
      </c>
      <c r="X128" s="9" t="s">
        <v>85</v>
      </c>
      <c r="Y128" s="13" t="s">
        <v>99</v>
      </c>
      <c r="Z128">
        <f t="shared" si="7"/>
        <v>591</v>
      </c>
      <c r="AA128" s="39">
        <f t="shared" si="8"/>
        <v>62.318446601941744</v>
      </c>
      <c r="AB128" s="39">
        <f t="shared" si="9"/>
        <v>1969.7071903788162</v>
      </c>
      <c r="AC128">
        <f t="shared" si="12"/>
        <v>0.999689256146304</v>
      </c>
      <c r="AD128">
        <f t="shared" si="10"/>
        <v>0.99955906302100839</v>
      </c>
      <c r="AE128">
        <f t="shared" si="11"/>
        <v>37326</v>
      </c>
    </row>
    <row r="129" spans="1:31">
      <c r="A129" s="10">
        <v>128</v>
      </c>
      <c r="B129" s="31">
        <v>40549</v>
      </c>
      <c r="C129" s="10">
        <v>1</v>
      </c>
      <c r="D129" s="10">
        <v>0</v>
      </c>
      <c r="E129" s="10">
        <v>1</v>
      </c>
      <c r="F129" s="10">
        <v>13</v>
      </c>
      <c r="G129" s="10" t="b">
        <v>0</v>
      </c>
      <c r="H129" s="10">
        <v>4</v>
      </c>
      <c r="I129" s="10">
        <v>1</v>
      </c>
      <c r="J129" s="10">
        <v>0.26</v>
      </c>
      <c r="K129" s="10">
        <v>0.2727</v>
      </c>
      <c r="L129" s="10">
        <v>0.35</v>
      </c>
      <c r="M129" s="10">
        <v>0.1045</v>
      </c>
      <c r="N129" s="10">
        <v>12</v>
      </c>
      <c r="O129" s="10">
        <v>55</v>
      </c>
      <c r="P129" s="10">
        <v>67</v>
      </c>
      <c r="Q129" s="13" t="s">
        <v>98</v>
      </c>
      <c r="R129" s="13" t="s">
        <v>79</v>
      </c>
      <c r="S129" s="10" t="s">
        <v>80</v>
      </c>
      <c r="T129" s="13" t="s">
        <v>81</v>
      </c>
      <c r="U129" s="11" t="s">
        <v>92</v>
      </c>
      <c r="V129" s="11" t="s">
        <v>87</v>
      </c>
      <c r="W129" s="13" t="s">
        <v>90</v>
      </c>
      <c r="X129" s="10" t="s">
        <v>85</v>
      </c>
      <c r="Y129" s="13" t="s">
        <v>99</v>
      </c>
      <c r="Z129">
        <f t="shared" si="7"/>
        <v>590</v>
      </c>
      <c r="AA129" s="39">
        <f t="shared" si="8"/>
        <v>62.276264591439691</v>
      </c>
      <c r="AB129" s="39">
        <f t="shared" si="9"/>
        <v>1970.8344947145447</v>
      </c>
      <c r="AC129">
        <f t="shared" si="12"/>
        <v>0.99968926473640729</v>
      </c>
      <c r="AD129">
        <f t="shared" si="10"/>
        <v>0.99955940666944754</v>
      </c>
      <c r="AE129">
        <f t="shared" si="11"/>
        <v>37242</v>
      </c>
    </row>
    <row r="130" spans="1:31">
      <c r="A130" s="9">
        <v>129</v>
      </c>
      <c r="B130" s="30">
        <v>40549</v>
      </c>
      <c r="C130" s="9">
        <v>1</v>
      </c>
      <c r="D130" s="9">
        <v>0</v>
      </c>
      <c r="E130" s="9">
        <v>1</v>
      </c>
      <c r="F130" s="9">
        <v>14</v>
      </c>
      <c r="G130" s="9" t="b">
        <v>0</v>
      </c>
      <c r="H130" s="9">
        <v>4</v>
      </c>
      <c r="I130" s="9">
        <v>1</v>
      </c>
      <c r="J130" s="9">
        <v>0.28000000000000003</v>
      </c>
      <c r="K130" s="9">
        <v>0.2727</v>
      </c>
      <c r="L130" s="9">
        <v>0.36</v>
      </c>
      <c r="M130" s="9">
        <v>0.16420000000000001</v>
      </c>
      <c r="N130" s="9">
        <v>11</v>
      </c>
      <c r="O130" s="9">
        <v>59</v>
      </c>
      <c r="P130" s="9">
        <v>70</v>
      </c>
      <c r="Q130" s="13" t="s">
        <v>98</v>
      </c>
      <c r="R130" s="13" t="s">
        <v>79</v>
      </c>
      <c r="S130" s="9" t="s">
        <v>80</v>
      </c>
      <c r="T130" s="13" t="s">
        <v>81</v>
      </c>
      <c r="U130" s="13" t="s">
        <v>94</v>
      </c>
      <c r="V130" s="13" t="s">
        <v>93</v>
      </c>
      <c r="W130" s="13" t="s">
        <v>90</v>
      </c>
      <c r="X130" s="9" t="s">
        <v>85</v>
      </c>
      <c r="Y130" s="13" t="s">
        <v>99</v>
      </c>
      <c r="Z130">
        <f t="shared" ref="Z130:Z193" si="13">COUNTIF(Q130:Q1129,"Weekday")</f>
        <v>589</v>
      </c>
      <c r="AA130" s="39">
        <f t="shared" ref="AA130:AA193" si="14">AVERAGEIF(T130:T1129,"Clear",P130:P1129)</f>
        <v>62.267056530214425</v>
      </c>
      <c r="AB130" s="39">
        <f t="shared" ref="AB130:AB193" si="15">STDEV(P130:P1129)</f>
        <v>1971.9632425841214</v>
      </c>
      <c r="AC130">
        <f t="shared" si="12"/>
        <v>0.99968927718041223</v>
      </c>
      <c r="AD130">
        <f t="shared" ref="AD130:AD193" si="16">CORREL(L130:L1129,P130:P1129)</f>
        <v>0.99955955099220684</v>
      </c>
      <c r="AE130">
        <f t="shared" ref="AE130:AE193" si="17">SUMIF(Q130:Q1129,"Weekday",P130:P1129)</f>
        <v>37175</v>
      </c>
    </row>
    <row r="131" spans="1:31">
      <c r="A131" s="10">
        <v>130</v>
      </c>
      <c r="B131" s="31">
        <v>40549</v>
      </c>
      <c r="C131" s="10">
        <v>1</v>
      </c>
      <c r="D131" s="10">
        <v>0</v>
      </c>
      <c r="E131" s="10">
        <v>1</v>
      </c>
      <c r="F131" s="10">
        <v>15</v>
      </c>
      <c r="G131" s="10" t="b">
        <v>0</v>
      </c>
      <c r="H131" s="10">
        <v>4</v>
      </c>
      <c r="I131" s="10">
        <v>1</v>
      </c>
      <c r="J131" s="10">
        <v>0.28000000000000003</v>
      </c>
      <c r="K131" s="10">
        <v>0.2727</v>
      </c>
      <c r="L131" s="10">
        <v>0.36</v>
      </c>
      <c r="M131" s="10">
        <v>0</v>
      </c>
      <c r="N131" s="10">
        <v>8</v>
      </c>
      <c r="O131" s="10">
        <v>54</v>
      </c>
      <c r="P131" s="10">
        <v>62</v>
      </c>
      <c r="Q131" s="13" t="s">
        <v>98</v>
      </c>
      <c r="R131" s="13" t="s">
        <v>79</v>
      </c>
      <c r="S131" s="10" t="s">
        <v>80</v>
      </c>
      <c r="T131" s="13" t="s">
        <v>81</v>
      </c>
      <c r="U131" s="13" t="s">
        <v>94</v>
      </c>
      <c r="V131" s="11" t="s">
        <v>87</v>
      </c>
      <c r="W131" s="13" t="s">
        <v>90</v>
      </c>
      <c r="X131" s="10" t="s">
        <v>85</v>
      </c>
      <c r="Y131" s="13" t="s">
        <v>99</v>
      </c>
      <c r="Z131">
        <f t="shared" si="13"/>
        <v>588</v>
      </c>
      <c r="AA131" s="39">
        <f t="shared" si="14"/>
        <v>62.251953125</v>
      </c>
      <c r="AB131" s="39">
        <f t="shared" si="15"/>
        <v>1973.0940316844346</v>
      </c>
      <c r="AC131">
        <f t="shared" si="12"/>
        <v>0.99968929804974704</v>
      </c>
      <c r="AD131">
        <f t="shared" si="16"/>
        <v>0.99955971479111128</v>
      </c>
      <c r="AE131">
        <f t="shared" si="17"/>
        <v>37105</v>
      </c>
    </row>
    <row r="132" spans="1:31">
      <c r="A132" s="9">
        <v>131</v>
      </c>
      <c r="B132" s="30">
        <v>40549</v>
      </c>
      <c r="C132" s="9">
        <v>1</v>
      </c>
      <c r="D132" s="9">
        <v>0</v>
      </c>
      <c r="E132" s="9">
        <v>1</v>
      </c>
      <c r="F132" s="9">
        <v>16</v>
      </c>
      <c r="G132" s="9" t="b">
        <v>0</v>
      </c>
      <c r="H132" s="9">
        <v>4</v>
      </c>
      <c r="I132" s="9">
        <v>1</v>
      </c>
      <c r="J132" s="9">
        <v>0.26</v>
      </c>
      <c r="K132" s="9">
        <v>0.2576</v>
      </c>
      <c r="L132" s="9">
        <v>0.38</v>
      </c>
      <c r="M132" s="9">
        <v>0.16420000000000001</v>
      </c>
      <c r="N132" s="9">
        <v>12</v>
      </c>
      <c r="O132" s="9">
        <v>74</v>
      </c>
      <c r="P132" s="9">
        <v>86</v>
      </c>
      <c r="Q132" s="13" t="s">
        <v>98</v>
      </c>
      <c r="R132" s="13" t="s">
        <v>79</v>
      </c>
      <c r="S132" s="9" t="s">
        <v>80</v>
      </c>
      <c r="T132" s="13" t="s">
        <v>81</v>
      </c>
      <c r="U132" s="13" t="s">
        <v>94</v>
      </c>
      <c r="V132" s="13" t="s">
        <v>93</v>
      </c>
      <c r="W132" s="13" t="s">
        <v>90</v>
      </c>
      <c r="X132" s="9" t="s">
        <v>85</v>
      </c>
      <c r="Y132" s="13" t="s">
        <v>99</v>
      </c>
      <c r="Z132">
        <f t="shared" si="13"/>
        <v>587</v>
      </c>
      <c r="AA132" s="39">
        <f t="shared" si="14"/>
        <v>62.252446183953033</v>
      </c>
      <c r="AB132" s="39">
        <f t="shared" si="15"/>
        <v>1974.2264905628126</v>
      </c>
      <c r="AC132">
        <f t="shared" si="12"/>
        <v>0.99968935664041436</v>
      </c>
      <c r="AD132">
        <f t="shared" si="16"/>
        <v>0.99955980941320133</v>
      </c>
      <c r="AE132">
        <f t="shared" si="17"/>
        <v>37043</v>
      </c>
    </row>
    <row r="133" spans="1:31">
      <c r="A133" s="10">
        <v>132</v>
      </c>
      <c r="B133" s="31">
        <v>40549</v>
      </c>
      <c r="C133" s="10">
        <v>1</v>
      </c>
      <c r="D133" s="10">
        <v>0</v>
      </c>
      <c r="E133" s="10">
        <v>1</v>
      </c>
      <c r="F133" s="10">
        <v>17</v>
      </c>
      <c r="G133" s="10" t="b">
        <v>0</v>
      </c>
      <c r="H133" s="10">
        <v>4</v>
      </c>
      <c r="I133" s="10">
        <v>1</v>
      </c>
      <c r="J133" s="10">
        <v>0.22</v>
      </c>
      <c r="K133" s="10">
        <v>0.2273</v>
      </c>
      <c r="L133" s="10">
        <v>0.51</v>
      </c>
      <c r="M133" s="10">
        <v>0.16420000000000001</v>
      </c>
      <c r="N133" s="10">
        <v>9</v>
      </c>
      <c r="O133" s="10">
        <v>163</v>
      </c>
      <c r="P133" s="10">
        <v>172</v>
      </c>
      <c r="Q133" s="13" t="s">
        <v>98</v>
      </c>
      <c r="R133" s="13" t="s">
        <v>79</v>
      </c>
      <c r="S133" s="10" t="s">
        <v>80</v>
      </c>
      <c r="T133" s="13" t="s">
        <v>81</v>
      </c>
      <c r="U133" s="15" t="s">
        <v>95</v>
      </c>
      <c r="V133" s="13" t="s">
        <v>93</v>
      </c>
      <c r="W133" s="15" t="s">
        <v>84</v>
      </c>
      <c r="X133" s="10" t="s">
        <v>85</v>
      </c>
      <c r="Y133" s="13" t="s">
        <v>99</v>
      </c>
      <c r="Z133">
        <f t="shared" si="13"/>
        <v>586</v>
      </c>
      <c r="AA133" s="39">
        <f t="shared" si="14"/>
        <v>62.205882352941174</v>
      </c>
      <c r="AB133" s="39">
        <f t="shared" si="15"/>
        <v>1975.3616243901292</v>
      </c>
      <c r="AC133">
        <f t="shared" si="12"/>
        <v>0.99968937027035443</v>
      </c>
      <c r="AD133">
        <f t="shared" si="16"/>
        <v>0.99956014116417868</v>
      </c>
      <c r="AE133">
        <f t="shared" si="17"/>
        <v>36957</v>
      </c>
    </row>
    <row r="134" spans="1:31">
      <c r="A134" s="9">
        <v>133</v>
      </c>
      <c r="B134" s="30">
        <v>40549</v>
      </c>
      <c r="C134" s="9">
        <v>1</v>
      </c>
      <c r="D134" s="9">
        <v>0</v>
      </c>
      <c r="E134" s="9">
        <v>1</v>
      </c>
      <c r="F134" s="9">
        <v>18</v>
      </c>
      <c r="G134" s="9" t="b">
        <v>0</v>
      </c>
      <c r="H134" s="9">
        <v>4</v>
      </c>
      <c r="I134" s="9">
        <v>1</v>
      </c>
      <c r="J134" s="9">
        <v>0.22</v>
      </c>
      <c r="K134" s="9">
        <v>0.2273</v>
      </c>
      <c r="L134" s="9">
        <v>0.51</v>
      </c>
      <c r="M134" s="9">
        <v>0.1343</v>
      </c>
      <c r="N134" s="9">
        <v>5</v>
      </c>
      <c r="O134" s="9">
        <v>158</v>
      </c>
      <c r="P134" s="9">
        <v>163</v>
      </c>
      <c r="Q134" s="13" t="s">
        <v>98</v>
      </c>
      <c r="R134" s="13" t="s">
        <v>79</v>
      </c>
      <c r="S134" s="9" t="s">
        <v>80</v>
      </c>
      <c r="T134" s="13" t="s">
        <v>81</v>
      </c>
      <c r="U134" s="15" t="s">
        <v>95</v>
      </c>
      <c r="V134" s="13" t="s">
        <v>93</v>
      </c>
      <c r="W134" s="15" t="s">
        <v>84</v>
      </c>
      <c r="X134" s="9" t="s">
        <v>85</v>
      </c>
      <c r="Y134" s="13" t="s">
        <v>99</v>
      </c>
      <c r="Z134">
        <f t="shared" si="13"/>
        <v>585</v>
      </c>
      <c r="AA134" s="39">
        <f t="shared" si="14"/>
        <v>61.990176817288798</v>
      </c>
      <c r="AB134" s="39">
        <f t="shared" si="15"/>
        <v>1976.4985520196485</v>
      </c>
      <c r="AC134">
        <f t="shared" si="12"/>
        <v>0.99969106058316348</v>
      </c>
      <c r="AD134">
        <f t="shared" si="16"/>
        <v>0.99956228371886002</v>
      </c>
      <c r="AE134">
        <f t="shared" si="17"/>
        <v>36785</v>
      </c>
    </row>
    <row r="135" spans="1:31">
      <c r="A135" s="10">
        <v>134</v>
      </c>
      <c r="B135" s="31">
        <v>40549</v>
      </c>
      <c r="C135" s="10">
        <v>1</v>
      </c>
      <c r="D135" s="10">
        <v>0</v>
      </c>
      <c r="E135" s="10">
        <v>1</v>
      </c>
      <c r="F135" s="10">
        <v>19</v>
      </c>
      <c r="G135" s="10" t="b">
        <v>0</v>
      </c>
      <c r="H135" s="10">
        <v>4</v>
      </c>
      <c r="I135" s="10">
        <v>1</v>
      </c>
      <c r="J135" s="10">
        <v>0.22</v>
      </c>
      <c r="K135" s="10">
        <v>0.2576</v>
      </c>
      <c r="L135" s="10">
        <v>0.55000000000000004</v>
      </c>
      <c r="M135" s="10">
        <v>8.9599999999999999E-2</v>
      </c>
      <c r="N135" s="10">
        <v>3</v>
      </c>
      <c r="O135" s="10">
        <v>109</v>
      </c>
      <c r="P135" s="10">
        <v>112</v>
      </c>
      <c r="Q135" s="13" t="s">
        <v>98</v>
      </c>
      <c r="R135" s="13" t="s">
        <v>79</v>
      </c>
      <c r="S135" s="10" t="s">
        <v>80</v>
      </c>
      <c r="T135" s="13" t="s">
        <v>81</v>
      </c>
      <c r="U135" s="15" t="s">
        <v>95</v>
      </c>
      <c r="V135" s="13" t="s">
        <v>93</v>
      </c>
      <c r="W135" s="15" t="s">
        <v>84</v>
      </c>
      <c r="X135" s="10" t="s">
        <v>85</v>
      </c>
      <c r="Y135" s="13" t="s">
        <v>99</v>
      </c>
      <c r="Z135">
        <f t="shared" si="13"/>
        <v>584</v>
      </c>
      <c r="AA135" s="39">
        <f t="shared" si="14"/>
        <v>61.791338582677163</v>
      </c>
      <c r="AB135" s="39">
        <f t="shared" si="15"/>
        <v>1977.6376650345494</v>
      </c>
      <c r="AC135">
        <f t="shared" si="12"/>
        <v>0.99969248209746497</v>
      </c>
      <c r="AD135">
        <f t="shared" si="16"/>
        <v>0.9995641226922467</v>
      </c>
      <c r="AE135">
        <f t="shared" si="17"/>
        <v>36622</v>
      </c>
    </row>
    <row r="136" spans="1:31">
      <c r="A136" s="9">
        <v>135</v>
      </c>
      <c r="B136" s="30">
        <v>40549</v>
      </c>
      <c r="C136" s="9">
        <v>1</v>
      </c>
      <c r="D136" s="9">
        <v>0</v>
      </c>
      <c r="E136" s="9">
        <v>1</v>
      </c>
      <c r="F136" s="9">
        <v>20</v>
      </c>
      <c r="G136" s="9" t="b">
        <v>0</v>
      </c>
      <c r="H136" s="9">
        <v>4</v>
      </c>
      <c r="I136" s="9">
        <v>1</v>
      </c>
      <c r="J136" s="9">
        <v>0.2</v>
      </c>
      <c r="K136" s="9">
        <v>0.21210000000000001</v>
      </c>
      <c r="L136" s="9">
        <v>0.51</v>
      </c>
      <c r="M136" s="9">
        <v>0.16420000000000001</v>
      </c>
      <c r="N136" s="9">
        <v>3</v>
      </c>
      <c r="O136" s="9">
        <v>66</v>
      </c>
      <c r="P136" s="9">
        <v>69</v>
      </c>
      <c r="Q136" s="13" t="s">
        <v>98</v>
      </c>
      <c r="R136" s="13" t="s">
        <v>79</v>
      </c>
      <c r="S136" s="9" t="s">
        <v>80</v>
      </c>
      <c r="T136" s="13" t="s">
        <v>81</v>
      </c>
      <c r="U136" s="16" t="s">
        <v>97</v>
      </c>
      <c r="V136" s="13" t="s">
        <v>93</v>
      </c>
      <c r="W136" s="15" t="s">
        <v>84</v>
      </c>
      <c r="X136" s="9" t="s">
        <v>85</v>
      </c>
      <c r="Y136" s="13" t="s">
        <v>99</v>
      </c>
      <c r="Z136">
        <f t="shared" si="13"/>
        <v>583</v>
      </c>
      <c r="AA136" s="39">
        <f t="shared" si="14"/>
        <v>61.692307692307693</v>
      </c>
      <c r="AB136" s="39">
        <f t="shared" si="15"/>
        <v>1978.779104809526</v>
      </c>
      <c r="AC136">
        <f t="shared" si="12"/>
        <v>0.99969281150146183</v>
      </c>
      <c r="AD136">
        <f t="shared" si="16"/>
        <v>0.99956459777416096</v>
      </c>
      <c r="AE136">
        <f t="shared" si="17"/>
        <v>36510</v>
      </c>
    </row>
    <row r="137" spans="1:31">
      <c r="A137" s="10">
        <v>136</v>
      </c>
      <c r="B137" s="31">
        <v>40549</v>
      </c>
      <c r="C137" s="10">
        <v>1</v>
      </c>
      <c r="D137" s="10">
        <v>0</v>
      </c>
      <c r="E137" s="10">
        <v>1</v>
      </c>
      <c r="F137" s="10">
        <v>21</v>
      </c>
      <c r="G137" s="10" t="b">
        <v>0</v>
      </c>
      <c r="H137" s="10">
        <v>4</v>
      </c>
      <c r="I137" s="10">
        <v>2</v>
      </c>
      <c r="J137" s="10">
        <v>0.22</v>
      </c>
      <c r="K137" s="10">
        <v>0.21210000000000001</v>
      </c>
      <c r="L137" s="10">
        <v>0.55000000000000004</v>
      </c>
      <c r="M137" s="10">
        <v>0.22389999999999999</v>
      </c>
      <c r="N137" s="10">
        <v>0</v>
      </c>
      <c r="O137" s="10">
        <v>48</v>
      </c>
      <c r="P137" s="10">
        <v>48</v>
      </c>
      <c r="Q137" s="13" t="s">
        <v>98</v>
      </c>
      <c r="R137" s="13" t="s">
        <v>79</v>
      </c>
      <c r="S137" s="10" t="s">
        <v>80</v>
      </c>
      <c r="T137" s="11" t="s">
        <v>88</v>
      </c>
      <c r="U137" s="16" t="s">
        <v>97</v>
      </c>
      <c r="V137" s="11" t="s">
        <v>87</v>
      </c>
      <c r="W137" s="15" t="s">
        <v>84</v>
      </c>
      <c r="X137" s="10" t="s">
        <v>85</v>
      </c>
      <c r="Y137" s="13" t="s">
        <v>99</v>
      </c>
      <c r="Z137">
        <f t="shared" si="13"/>
        <v>582</v>
      </c>
      <c r="AA137" s="39">
        <f t="shared" si="14"/>
        <v>61.677865612648219</v>
      </c>
      <c r="AB137" s="39">
        <f t="shared" si="15"/>
        <v>1979.9216409501043</v>
      </c>
      <c r="AC137">
        <f t="shared" si="12"/>
        <v>0.9996928258267529</v>
      </c>
      <c r="AD137">
        <f t="shared" si="16"/>
        <v>0.99956464408652002</v>
      </c>
      <c r="AE137">
        <f t="shared" si="17"/>
        <v>36441</v>
      </c>
    </row>
    <row r="138" spans="1:31">
      <c r="A138" s="9">
        <v>137</v>
      </c>
      <c r="B138" s="30">
        <v>40549</v>
      </c>
      <c r="C138" s="9">
        <v>1</v>
      </c>
      <c r="D138" s="9">
        <v>0</v>
      </c>
      <c r="E138" s="9">
        <v>1</v>
      </c>
      <c r="F138" s="9">
        <v>22</v>
      </c>
      <c r="G138" s="9" t="b">
        <v>0</v>
      </c>
      <c r="H138" s="9">
        <v>4</v>
      </c>
      <c r="I138" s="9">
        <v>2</v>
      </c>
      <c r="J138" s="9">
        <v>0.22</v>
      </c>
      <c r="K138" s="9">
        <v>0.21210000000000001</v>
      </c>
      <c r="L138" s="9">
        <v>0.51</v>
      </c>
      <c r="M138" s="9">
        <v>0.28360000000000002</v>
      </c>
      <c r="N138" s="9">
        <v>1</v>
      </c>
      <c r="O138" s="9">
        <v>51</v>
      </c>
      <c r="P138" s="9">
        <v>52</v>
      </c>
      <c r="Q138" s="13" t="s">
        <v>98</v>
      </c>
      <c r="R138" s="13" t="s">
        <v>79</v>
      </c>
      <c r="S138" s="9" t="s">
        <v>80</v>
      </c>
      <c r="T138" s="11" t="s">
        <v>88</v>
      </c>
      <c r="U138" s="16" t="s">
        <v>97</v>
      </c>
      <c r="V138" s="11" t="s">
        <v>87</v>
      </c>
      <c r="W138" s="15" t="s">
        <v>84</v>
      </c>
      <c r="X138" s="9" t="s">
        <v>85</v>
      </c>
      <c r="Y138" s="13" t="s">
        <v>99</v>
      </c>
      <c r="Z138">
        <f t="shared" si="13"/>
        <v>581</v>
      </c>
      <c r="AA138" s="39">
        <f t="shared" si="14"/>
        <v>61.677865612648219</v>
      </c>
      <c r="AB138" s="39">
        <f t="shared" si="15"/>
        <v>1981.0653334365691</v>
      </c>
      <c r="AC138">
        <f t="shared" si="12"/>
        <v>0.99969286647689348</v>
      </c>
      <c r="AD138">
        <f t="shared" si="16"/>
        <v>0.99956465095850022</v>
      </c>
      <c r="AE138">
        <f t="shared" si="17"/>
        <v>36393</v>
      </c>
    </row>
    <row r="139" spans="1:31">
      <c r="A139" s="10">
        <v>138</v>
      </c>
      <c r="B139" s="31">
        <v>40549</v>
      </c>
      <c r="C139" s="10">
        <v>1</v>
      </c>
      <c r="D139" s="10">
        <v>0</v>
      </c>
      <c r="E139" s="10">
        <v>1</v>
      </c>
      <c r="F139" s="10">
        <v>23</v>
      </c>
      <c r="G139" s="10" t="b">
        <v>0</v>
      </c>
      <c r="H139" s="10">
        <v>4</v>
      </c>
      <c r="I139" s="10">
        <v>2</v>
      </c>
      <c r="J139" s="10">
        <v>0.2</v>
      </c>
      <c r="K139" s="10">
        <v>0.19700000000000001</v>
      </c>
      <c r="L139" s="10">
        <v>0.59</v>
      </c>
      <c r="M139" s="10">
        <v>0.19400000000000001</v>
      </c>
      <c r="N139" s="10">
        <v>4</v>
      </c>
      <c r="O139" s="10">
        <v>19</v>
      </c>
      <c r="P139" s="10">
        <v>23</v>
      </c>
      <c r="Q139" s="13" t="s">
        <v>98</v>
      </c>
      <c r="R139" s="13" t="s">
        <v>79</v>
      </c>
      <c r="S139" s="10" t="s">
        <v>80</v>
      </c>
      <c r="T139" s="11" t="s">
        <v>88</v>
      </c>
      <c r="U139" s="16" t="s">
        <v>97</v>
      </c>
      <c r="V139" s="12" t="s">
        <v>83</v>
      </c>
      <c r="W139" s="15" t="s">
        <v>84</v>
      </c>
      <c r="X139" s="10" t="s">
        <v>85</v>
      </c>
      <c r="Y139" s="13" t="s">
        <v>99</v>
      </c>
      <c r="Z139">
        <f t="shared" si="13"/>
        <v>580</v>
      </c>
      <c r="AA139" s="39">
        <f t="shared" si="14"/>
        <v>61.677865612648219</v>
      </c>
      <c r="AB139" s="39">
        <f t="shared" si="15"/>
        <v>1982.2111875075716</v>
      </c>
      <c r="AC139">
        <f t="shared" si="12"/>
        <v>0.99969288988415173</v>
      </c>
      <c r="AD139">
        <f t="shared" si="16"/>
        <v>0.9995646503533745</v>
      </c>
      <c r="AE139">
        <f t="shared" si="17"/>
        <v>36341</v>
      </c>
    </row>
    <row r="140" spans="1:31">
      <c r="A140" s="9">
        <v>139</v>
      </c>
      <c r="B140" s="30">
        <v>40550</v>
      </c>
      <c r="C140" s="9">
        <v>1</v>
      </c>
      <c r="D140" s="9">
        <v>0</v>
      </c>
      <c r="E140" s="9">
        <v>1</v>
      </c>
      <c r="F140" s="9">
        <v>0</v>
      </c>
      <c r="G140" s="9" t="b">
        <v>0</v>
      </c>
      <c r="H140" s="9">
        <v>5</v>
      </c>
      <c r="I140" s="9">
        <v>2</v>
      </c>
      <c r="J140" s="9">
        <v>0.2</v>
      </c>
      <c r="K140" s="9">
        <v>0.19700000000000001</v>
      </c>
      <c r="L140" s="9">
        <v>0.64</v>
      </c>
      <c r="M140" s="9">
        <v>0.19400000000000001</v>
      </c>
      <c r="N140" s="9">
        <v>4</v>
      </c>
      <c r="O140" s="9">
        <v>13</v>
      </c>
      <c r="P140" s="9">
        <v>17</v>
      </c>
      <c r="Q140" s="13" t="s">
        <v>98</v>
      </c>
      <c r="R140" s="13" t="s">
        <v>79</v>
      </c>
      <c r="S140" s="9" t="s">
        <v>80</v>
      </c>
      <c r="T140" s="11" t="s">
        <v>88</v>
      </c>
      <c r="U140" s="14" t="s">
        <v>82</v>
      </c>
      <c r="V140" s="12" t="s">
        <v>83</v>
      </c>
      <c r="W140" s="15" t="s">
        <v>84</v>
      </c>
      <c r="X140" s="9" t="s">
        <v>85</v>
      </c>
      <c r="Y140" s="13" t="s">
        <v>99</v>
      </c>
      <c r="Z140">
        <f t="shared" si="13"/>
        <v>579</v>
      </c>
      <c r="AA140" s="39">
        <f t="shared" si="14"/>
        <v>61.677865612648219</v>
      </c>
      <c r="AB140" s="39">
        <f t="shared" si="15"/>
        <v>1983.3575319301813</v>
      </c>
      <c r="AC140">
        <f t="shared" si="12"/>
        <v>0.99969308109382038</v>
      </c>
      <c r="AD140">
        <f t="shared" si="16"/>
        <v>0.99956484260343603</v>
      </c>
      <c r="AE140">
        <f t="shared" si="17"/>
        <v>36318</v>
      </c>
    </row>
    <row r="141" spans="1:31">
      <c r="A141" s="10">
        <v>140</v>
      </c>
      <c r="B141" s="31">
        <v>40550</v>
      </c>
      <c r="C141" s="10">
        <v>1</v>
      </c>
      <c r="D141" s="10">
        <v>0</v>
      </c>
      <c r="E141" s="10">
        <v>1</v>
      </c>
      <c r="F141" s="10">
        <v>1</v>
      </c>
      <c r="G141" s="10" t="b">
        <v>0</v>
      </c>
      <c r="H141" s="10">
        <v>5</v>
      </c>
      <c r="I141" s="10">
        <v>2</v>
      </c>
      <c r="J141" s="10">
        <v>0.2</v>
      </c>
      <c r="K141" s="10">
        <v>0.19700000000000001</v>
      </c>
      <c r="L141" s="10">
        <v>0.69</v>
      </c>
      <c r="M141" s="10">
        <v>0.22389999999999999</v>
      </c>
      <c r="N141" s="10">
        <v>2</v>
      </c>
      <c r="O141" s="10">
        <v>5</v>
      </c>
      <c r="P141" s="10">
        <v>7</v>
      </c>
      <c r="Q141" s="13" t="s">
        <v>98</v>
      </c>
      <c r="R141" s="13" t="s">
        <v>79</v>
      </c>
      <c r="S141" s="10" t="s">
        <v>80</v>
      </c>
      <c r="T141" s="11" t="s">
        <v>88</v>
      </c>
      <c r="U141" s="14" t="s">
        <v>82</v>
      </c>
      <c r="V141" s="12" t="s">
        <v>83</v>
      </c>
      <c r="W141" s="15" t="s">
        <v>84</v>
      </c>
      <c r="X141" s="10" t="s">
        <v>85</v>
      </c>
      <c r="Y141" s="13" t="s">
        <v>99</v>
      </c>
      <c r="Z141">
        <f t="shared" si="13"/>
        <v>578</v>
      </c>
      <c r="AA141" s="39">
        <f t="shared" si="14"/>
        <v>61.677865612648219</v>
      </c>
      <c r="AB141" s="39">
        <f t="shared" si="15"/>
        <v>1984.5054949737662</v>
      </c>
      <c r="AC141">
        <f t="shared" si="12"/>
        <v>0.99969334194940329</v>
      </c>
      <c r="AD141">
        <f t="shared" si="16"/>
        <v>0.99956517084409202</v>
      </c>
      <c r="AE141">
        <f t="shared" si="17"/>
        <v>36301</v>
      </c>
    </row>
    <row r="142" spans="1:31">
      <c r="A142" s="9">
        <v>141</v>
      </c>
      <c r="B142" s="30">
        <v>40550</v>
      </c>
      <c r="C142" s="9">
        <v>1</v>
      </c>
      <c r="D142" s="9">
        <v>0</v>
      </c>
      <c r="E142" s="9">
        <v>1</v>
      </c>
      <c r="F142" s="9">
        <v>2</v>
      </c>
      <c r="G142" s="9" t="b">
        <v>0</v>
      </c>
      <c r="H142" s="9">
        <v>5</v>
      </c>
      <c r="I142" s="9">
        <v>2</v>
      </c>
      <c r="J142" s="9">
        <v>0.2</v>
      </c>
      <c r="K142" s="9">
        <v>0.19700000000000001</v>
      </c>
      <c r="L142" s="9">
        <v>0.69</v>
      </c>
      <c r="M142" s="9">
        <v>0.22389999999999999</v>
      </c>
      <c r="N142" s="9">
        <v>0</v>
      </c>
      <c r="O142" s="9">
        <v>1</v>
      </c>
      <c r="P142" s="9">
        <v>1</v>
      </c>
      <c r="Q142" s="13" t="s">
        <v>98</v>
      </c>
      <c r="R142" s="13" t="s">
        <v>79</v>
      </c>
      <c r="S142" s="9" t="s">
        <v>80</v>
      </c>
      <c r="T142" s="11" t="s">
        <v>88</v>
      </c>
      <c r="U142" s="14" t="s">
        <v>82</v>
      </c>
      <c r="V142" s="12" t="s">
        <v>83</v>
      </c>
      <c r="W142" s="15" t="s">
        <v>84</v>
      </c>
      <c r="X142" s="9" t="s">
        <v>85</v>
      </c>
      <c r="Y142" s="13" t="s">
        <v>99</v>
      </c>
      <c r="Z142">
        <f t="shared" si="13"/>
        <v>577</v>
      </c>
      <c r="AA142" s="39">
        <f t="shared" si="14"/>
        <v>61.677865612648219</v>
      </c>
      <c r="AB142" s="39">
        <f t="shared" si="15"/>
        <v>1985.6547847569534</v>
      </c>
      <c r="AC142">
        <f t="shared" si="12"/>
        <v>0.99969374250600307</v>
      </c>
      <c r="AD142">
        <f t="shared" si="16"/>
        <v>0.99956574247049301</v>
      </c>
      <c r="AE142">
        <f t="shared" si="17"/>
        <v>36294</v>
      </c>
    </row>
    <row r="143" spans="1:31">
      <c r="A143" s="10">
        <v>142</v>
      </c>
      <c r="B143" s="31">
        <v>40550</v>
      </c>
      <c r="C143" s="10">
        <v>1</v>
      </c>
      <c r="D143" s="10">
        <v>0</v>
      </c>
      <c r="E143" s="10">
        <v>1</v>
      </c>
      <c r="F143" s="10">
        <v>4</v>
      </c>
      <c r="G143" s="10" t="b">
        <v>0</v>
      </c>
      <c r="H143" s="10">
        <v>5</v>
      </c>
      <c r="I143" s="10">
        <v>2</v>
      </c>
      <c r="J143" s="10">
        <v>0.2</v>
      </c>
      <c r="K143" s="10">
        <v>0.21210000000000001</v>
      </c>
      <c r="L143" s="10">
        <v>0.69</v>
      </c>
      <c r="M143" s="10">
        <v>0.1343</v>
      </c>
      <c r="N143" s="10">
        <v>0</v>
      </c>
      <c r="O143" s="10">
        <v>1</v>
      </c>
      <c r="P143" s="10">
        <v>1</v>
      </c>
      <c r="Q143" s="13" t="s">
        <v>98</v>
      </c>
      <c r="R143" s="13" t="s">
        <v>79</v>
      </c>
      <c r="S143" s="10" t="s">
        <v>80</v>
      </c>
      <c r="T143" s="11" t="s">
        <v>88</v>
      </c>
      <c r="U143" s="14" t="s">
        <v>82</v>
      </c>
      <c r="V143" s="12" t="s">
        <v>83</v>
      </c>
      <c r="W143" s="15" t="s">
        <v>84</v>
      </c>
      <c r="X143" s="10" t="s">
        <v>85</v>
      </c>
      <c r="Y143" s="13" t="s">
        <v>99</v>
      </c>
      <c r="Z143">
        <f t="shared" si="13"/>
        <v>576</v>
      </c>
      <c r="AA143" s="39">
        <f t="shared" si="14"/>
        <v>61.677865612648219</v>
      </c>
      <c r="AB143" s="39">
        <f t="shared" si="15"/>
        <v>1986.8056433997783</v>
      </c>
      <c r="AC143">
        <f t="shared" si="12"/>
        <v>0.99969424173002253</v>
      </c>
      <c r="AD143">
        <f t="shared" si="16"/>
        <v>0.99956643112486054</v>
      </c>
      <c r="AE143">
        <f t="shared" si="17"/>
        <v>36293</v>
      </c>
    </row>
    <row r="144" spans="1:31">
      <c r="A144" s="9">
        <v>143</v>
      </c>
      <c r="B144" s="30">
        <v>40550</v>
      </c>
      <c r="C144" s="9">
        <v>1</v>
      </c>
      <c r="D144" s="9">
        <v>0</v>
      </c>
      <c r="E144" s="9">
        <v>1</v>
      </c>
      <c r="F144" s="9">
        <v>5</v>
      </c>
      <c r="G144" s="9" t="b">
        <v>0</v>
      </c>
      <c r="H144" s="9">
        <v>5</v>
      </c>
      <c r="I144" s="9">
        <v>3</v>
      </c>
      <c r="J144" s="9">
        <v>0.22</v>
      </c>
      <c r="K144" s="9">
        <v>0.2727</v>
      </c>
      <c r="L144" s="9">
        <v>0.55000000000000004</v>
      </c>
      <c r="M144" s="9">
        <v>0</v>
      </c>
      <c r="N144" s="9">
        <v>0</v>
      </c>
      <c r="O144" s="9">
        <v>5</v>
      </c>
      <c r="P144" s="9">
        <v>5</v>
      </c>
      <c r="Q144" s="13" t="s">
        <v>98</v>
      </c>
      <c r="R144" s="13" t="s">
        <v>79</v>
      </c>
      <c r="S144" s="9" t="s">
        <v>80</v>
      </c>
      <c r="T144" s="12" t="s">
        <v>96</v>
      </c>
      <c r="U144" s="15" t="s">
        <v>89</v>
      </c>
      <c r="V144" s="12" t="s">
        <v>83</v>
      </c>
      <c r="W144" s="15" t="s">
        <v>84</v>
      </c>
      <c r="X144" s="9" t="s">
        <v>85</v>
      </c>
      <c r="Y144" s="13" t="s">
        <v>99</v>
      </c>
      <c r="Z144">
        <f t="shared" si="13"/>
        <v>575</v>
      </c>
      <c r="AA144" s="39">
        <f t="shared" si="14"/>
        <v>61.677865612648219</v>
      </c>
      <c r="AB144" s="39">
        <f t="shared" si="15"/>
        <v>1987.9585054009983</v>
      </c>
      <c r="AC144">
        <f t="shared" ref="AC144:AC207" si="18">CORREL(J144:J1143,P144:P1143)</f>
        <v>0.99969474212210085</v>
      </c>
      <c r="AD144">
        <f t="shared" si="16"/>
        <v>0.99956712138986126</v>
      </c>
      <c r="AE144">
        <f t="shared" si="17"/>
        <v>36292</v>
      </c>
    </row>
    <row r="145" spans="1:31">
      <c r="A145" s="10">
        <v>144</v>
      </c>
      <c r="B145" s="31">
        <v>40550</v>
      </c>
      <c r="C145" s="10">
        <v>1</v>
      </c>
      <c r="D145" s="10">
        <v>0</v>
      </c>
      <c r="E145" s="10">
        <v>1</v>
      </c>
      <c r="F145" s="10">
        <v>6</v>
      </c>
      <c r="G145" s="10" t="b">
        <v>0</v>
      </c>
      <c r="H145" s="10">
        <v>5</v>
      </c>
      <c r="I145" s="10">
        <v>2</v>
      </c>
      <c r="J145" s="10">
        <v>0.2</v>
      </c>
      <c r="K145" s="10">
        <v>0.2576</v>
      </c>
      <c r="L145" s="10">
        <v>0.69</v>
      </c>
      <c r="M145" s="10">
        <v>0</v>
      </c>
      <c r="N145" s="10">
        <v>8</v>
      </c>
      <c r="O145" s="10">
        <v>26</v>
      </c>
      <c r="P145" s="10">
        <v>34</v>
      </c>
      <c r="Q145" s="13" t="s">
        <v>98</v>
      </c>
      <c r="R145" s="13" t="s">
        <v>79</v>
      </c>
      <c r="S145" s="10" t="s">
        <v>80</v>
      </c>
      <c r="T145" s="11" t="s">
        <v>88</v>
      </c>
      <c r="U145" s="15" t="s">
        <v>89</v>
      </c>
      <c r="V145" s="11" t="s">
        <v>87</v>
      </c>
      <c r="W145" s="15" t="s">
        <v>84</v>
      </c>
      <c r="X145" s="10" t="s">
        <v>85</v>
      </c>
      <c r="Y145" s="13" t="s">
        <v>99</v>
      </c>
      <c r="Z145">
        <f t="shared" si="13"/>
        <v>574</v>
      </c>
      <c r="AA145" s="39">
        <f t="shared" si="14"/>
        <v>61.677865612648219</v>
      </c>
      <c r="AB145" s="39">
        <f t="shared" si="15"/>
        <v>1989.1136667517781</v>
      </c>
      <c r="AC145">
        <f t="shared" si="18"/>
        <v>0.99969527284680171</v>
      </c>
      <c r="AD145">
        <f t="shared" si="16"/>
        <v>0.99956749663786604</v>
      </c>
      <c r="AE145">
        <f t="shared" si="17"/>
        <v>36287</v>
      </c>
    </row>
    <row r="146" spans="1:31">
      <c r="A146" s="9">
        <v>145</v>
      </c>
      <c r="B146" s="30">
        <v>40550</v>
      </c>
      <c r="C146" s="9">
        <v>1</v>
      </c>
      <c r="D146" s="9">
        <v>0</v>
      </c>
      <c r="E146" s="9">
        <v>1</v>
      </c>
      <c r="F146" s="9">
        <v>7</v>
      </c>
      <c r="G146" s="9" t="b">
        <v>0</v>
      </c>
      <c r="H146" s="9">
        <v>5</v>
      </c>
      <c r="I146" s="9">
        <v>1</v>
      </c>
      <c r="J146" s="9">
        <v>0.2</v>
      </c>
      <c r="K146" s="9">
        <v>0.21210000000000001</v>
      </c>
      <c r="L146" s="9">
        <v>0.69</v>
      </c>
      <c r="M146" s="9">
        <v>0.1343</v>
      </c>
      <c r="N146" s="9">
        <v>8</v>
      </c>
      <c r="O146" s="9">
        <v>76</v>
      </c>
      <c r="P146" s="9">
        <v>84</v>
      </c>
      <c r="Q146" s="13" t="s">
        <v>98</v>
      </c>
      <c r="R146" s="13" t="s">
        <v>79</v>
      </c>
      <c r="S146" s="9" t="s">
        <v>80</v>
      </c>
      <c r="T146" s="13" t="s">
        <v>81</v>
      </c>
      <c r="U146" s="15" t="s">
        <v>89</v>
      </c>
      <c r="V146" s="13" t="s">
        <v>93</v>
      </c>
      <c r="W146" s="15" t="s">
        <v>84</v>
      </c>
      <c r="X146" s="9" t="s">
        <v>85</v>
      </c>
      <c r="Y146" s="13" t="s">
        <v>99</v>
      </c>
      <c r="Z146">
        <f t="shared" si="13"/>
        <v>573</v>
      </c>
      <c r="AA146" s="39">
        <f t="shared" si="14"/>
        <v>61.677865612648219</v>
      </c>
      <c r="AB146" s="39">
        <f t="shared" si="15"/>
        <v>1990.2726703459728</v>
      </c>
      <c r="AC146">
        <f t="shared" si="18"/>
        <v>0.99969536758191846</v>
      </c>
      <c r="AD146">
        <f t="shared" si="16"/>
        <v>0.99956768274740515</v>
      </c>
      <c r="AE146">
        <f t="shared" si="17"/>
        <v>36253</v>
      </c>
    </row>
    <row r="147" spans="1:31">
      <c r="A147" s="10">
        <v>146</v>
      </c>
      <c r="B147" s="31">
        <v>40550</v>
      </c>
      <c r="C147" s="10">
        <v>1</v>
      </c>
      <c r="D147" s="10">
        <v>0</v>
      </c>
      <c r="E147" s="10">
        <v>1</v>
      </c>
      <c r="F147" s="10">
        <v>8</v>
      </c>
      <c r="G147" s="10" t="b">
        <v>0</v>
      </c>
      <c r="H147" s="10">
        <v>5</v>
      </c>
      <c r="I147" s="10">
        <v>1</v>
      </c>
      <c r="J147" s="10">
        <v>0.2</v>
      </c>
      <c r="K147" s="10">
        <v>0.19700000000000001</v>
      </c>
      <c r="L147" s="10">
        <v>0.51</v>
      </c>
      <c r="M147" s="10">
        <v>0.25369999999999998</v>
      </c>
      <c r="N147" s="10">
        <v>20</v>
      </c>
      <c r="O147" s="10">
        <v>190</v>
      </c>
      <c r="P147" s="10">
        <v>210</v>
      </c>
      <c r="Q147" s="13" t="s">
        <v>98</v>
      </c>
      <c r="R147" s="13" t="s">
        <v>79</v>
      </c>
      <c r="S147" s="10" t="s">
        <v>80</v>
      </c>
      <c r="T147" s="13" t="s">
        <v>81</v>
      </c>
      <c r="U147" s="15" t="s">
        <v>89</v>
      </c>
      <c r="V147" s="13" t="s">
        <v>93</v>
      </c>
      <c r="W147" s="15" t="s">
        <v>84</v>
      </c>
      <c r="X147" s="10" t="s">
        <v>85</v>
      </c>
      <c r="Y147" s="13" t="s">
        <v>99</v>
      </c>
      <c r="Z147">
        <f t="shared" si="13"/>
        <v>572</v>
      </c>
      <c r="AA147" s="39">
        <f t="shared" si="14"/>
        <v>61.633663366336634</v>
      </c>
      <c r="AB147" s="39">
        <f t="shared" si="15"/>
        <v>1991.4356946215901</v>
      </c>
      <c r="AC147">
        <f t="shared" si="18"/>
        <v>0.99969545634445434</v>
      </c>
      <c r="AD147">
        <f t="shared" si="16"/>
        <v>0.99956771295390767</v>
      </c>
      <c r="AE147">
        <f t="shared" si="17"/>
        <v>36169</v>
      </c>
    </row>
    <row r="148" spans="1:31">
      <c r="A148" s="9">
        <v>147</v>
      </c>
      <c r="B148" s="30">
        <v>40550</v>
      </c>
      <c r="C148" s="9">
        <v>1</v>
      </c>
      <c r="D148" s="9">
        <v>0</v>
      </c>
      <c r="E148" s="9">
        <v>1</v>
      </c>
      <c r="F148" s="9">
        <v>9</v>
      </c>
      <c r="G148" s="9" t="b">
        <v>0</v>
      </c>
      <c r="H148" s="9">
        <v>5</v>
      </c>
      <c r="I148" s="9">
        <v>1</v>
      </c>
      <c r="J148" s="9">
        <v>0.2</v>
      </c>
      <c r="K148" s="9">
        <v>0.18179999999999999</v>
      </c>
      <c r="L148" s="9">
        <v>0.47</v>
      </c>
      <c r="M148" s="9">
        <v>0.29849999999999999</v>
      </c>
      <c r="N148" s="9">
        <v>9</v>
      </c>
      <c r="O148" s="9">
        <v>125</v>
      </c>
      <c r="P148" s="9">
        <v>134</v>
      </c>
      <c r="Q148" s="13" t="s">
        <v>98</v>
      </c>
      <c r="R148" s="13" t="s">
        <v>79</v>
      </c>
      <c r="S148" s="9" t="s">
        <v>80</v>
      </c>
      <c r="T148" s="13" t="s">
        <v>81</v>
      </c>
      <c r="U148" s="15" t="s">
        <v>89</v>
      </c>
      <c r="V148" s="13" t="s">
        <v>93</v>
      </c>
      <c r="W148" s="15" t="s">
        <v>84</v>
      </c>
      <c r="X148" s="9" t="s">
        <v>85</v>
      </c>
      <c r="Y148" s="13" t="s">
        <v>99</v>
      </c>
      <c r="Z148">
        <f t="shared" si="13"/>
        <v>571</v>
      </c>
      <c r="AA148" s="39">
        <f t="shared" si="14"/>
        <v>61.339285714285715</v>
      </c>
      <c r="AB148" s="39">
        <f t="shared" si="15"/>
        <v>1992.5992640073162</v>
      </c>
      <c r="AC148">
        <f t="shared" si="18"/>
        <v>0.99969880365781549</v>
      </c>
      <c r="AD148">
        <f t="shared" si="16"/>
        <v>0.99957141724755372</v>
      </c>
      <c r="AE148">
        <f t="shared" si="17"/>
        <v>35959</v>
      </c>
    </row>
    <row r="149" spans="1:31">
      <c r="A149" s="10">
        <v>148</v>
      </c>
      <c r="B149" s="31">
        <v>40550</v>
      </c>
      <c r="C149" s="10">
        <v>1</v>
      </c>
      <c r="D149" s="10">
        <v>0</v>
      </c>
      <c r="E149" s="10">
        <v>1</v>
      </c>
      <c r="F149" s="10">
        <v>10</v>
      </c>
      <c r="G149" s="10" t="b">
        <v>0</v>
      </c>
      <c r="H149" s="10">
        <v>5</v>
      </c>
      <c r="I149" s="10">
        <v>1</v>
      </c>
      <c r="J149" s="10">
        <v>0.22</v>
      </c>
      <c r="K149" s="10">
        <v>0.19700000000000001</v>
      </c>
      <c r="L149" s="10">
        <v>0.37</v>
      </c>
      <c r="M149" s="10">
        <v>0.32840000000000003</v>
      </c>
      <c r="N149" s="10">
        <v>16</v>
      </c>
      <c r="O149" s="10">
        <v>47</v>
      </c>
      <c r="P149" s="10">
        <v>63</v>
      </c>
      <c r="Q149" s="13" t="s">
        <v>98</v>
      </c>
      <c r="R149" s="13" t="s">
        <v>79</v>
      </c>
      <c r="S149" s="10" t="s">
        <v>80</v>
      </c>
      <c r="T149" s="13" t="s">
        <v>81</v>
      </c>
      <c r="U149" s="13" t="s">
        <v>91</v>
      </c>
      <c r="V149" s="11" t="s">
        <v>87</v>
      </c>
      <c r="W149" s="15" t="s">
        <v>84</v>
      </c>
      <c r="X149" s="10" t="s">
        <v>85</v>
      </c>
      <c r="Y149" s="13" t="s">
        <v>99</v>
      </c>
      <c r="Z149">
        <f t="shared" si="13"/>
        <v>570</v>
      </c>
      <c r="AA149" s="39">
        <f t="shared" si="14"/>
        <v>61.194831013916499</v>
      </c>
      <c r="AB149" s="39">
        <f t="shared" si="15"/>
        <v>1993.7669011696175</v>
      </c>
      <c r="AC149">
        <f t="shared" si="18"/>
        <v>0.99969962867864515</v>
      </c>
      <c r="AD149">
        <f t="shared" si="16"/>
        <v>0.99957252428229848</v>
      </c>
      <c r="AE149">
        <f t="shared" si="17"/>
        <v>35825</v>
      </c>
    </row>
    <row r="150" spans="1:31">
      <c r="A150" s="9">
        <v>149</v>
      </c>
      <c r="B150" s="30">
        <v>40550</v>
      </c>
      <c r="C150" s="9">
        <v>1</v>
      </c>
      <c r="D150" s="9">
        <v>0</v>
      </c>
      <c r="E150" s="9">
        <v>1</v>
      </c>
      <c r="F150" s="9">
        <v>11</v>
      </c>
      <c r="G150" s="9" t="b">
        <v>0</v>
      </c>
      <c r="H150" s="9">
        <v>5</v>
      </c>
      <c r="I150" s="9">
        <v>2</v>
      </c>
      <c r="J150" s="9">
        <v>0.2</v>
      </c>
      <c r="K150" s="9">
        <v>0.19700000000000001</v>
      </c>
      <c r="L150" s="9">
        <v>0.4</v>
      </c>
      <c r="M150" s="9">
        <v>0.22389999999999999</v>
      </c>
      <c r="N150" s="9">
        <v>19</v>
      </c>
      <c r="O150" s="9">
        <v>48</v>
      </c>
      <c r="P150" s="9">
        <v>67</v>
      </c>
      <c r="Q150" s="13" t="s">
        <v>98</v>
      </c>
      <c r="R150" s="13" t="s">
        <v>79</v>
      </c>
      <c r="S150" s="9" t="s">
        <v>80</v>
      </c>
      <c r="T150" s="11" t="s">
        <v>88</v>
      </c>
      <c r="U150" s="13" t="s">
        <v>91</v>
      </c>
      <c r="V150" s="11" t="s">
        <v>87</v>
      </c>
      <c r="W150" s="15" t="s">
        <v>84</v>
      </c>
      <c r="X150" s="9" t="s">
        <v>85</v>
      </c>
      <c r="Y150" s="13" t="s">
        <v>99</v>
      </c>
      <c r="Z150">
        <f t="shared" si="13"/>
        <v>569</v>
      </c>
      <c r="AA150" s="39">
        <f t="shared" si="14"/>
        <v>61.191235059760956</v>
      </c>
      <c r="AB150" s="39">
        <f t="shared" si="15"/>
        <v>1994.9354135378355</v>
      </c>
      <c r="AC150">
        <f t="shared" si="18"/>
        <v>0.99969962881369456</v>
      </c>
      <c r="AD150">
        <f t="shared" si="16"/>
        <v>0.99957262121359713</v>
      </c>
      <c r="AE150">
        <f t="shared" si="17"/>
        <v>35762</v>
      </c>
    </row>
    <row r="151" spans="1:31">
      <c r="A151" s="10">
        <v>150</v>
      </c>
      <c r="B151" s="31">
        <v>40550</v>
      </c>
      <c r="C151" s="10">
        <v>1</v>
      </c>
      <c r="D151" s="10">
        <v>0</v>
      </c>
      <c r="E151" s="10">
        <v>1</v>
      </c>
      <c r="F151" s="10">
        <v>12</v>
      </c>
      <c r="G151" s="10" t="b">
        <v>0</v>
      </c>
      <c r="H151" s="10">
        <v>5</v>
      </c>
      <c r="I151" s="10">
        <v>2</v>
      </c>
      <c r="J151" s="10">
        <v>0.2</v>
      </c>
      <c r="K151" s="10">
        <v>0.19700000000000001</v>
      </c>
      <c r="L151" s="10">
        <v>0.37</v>
      </c>
      <c r="M151" s="10">
        <v>0.25369999999999998</v>
      </c>
      <c r="N151" s="10">
        <v>9</v>
      </c>
      <c r="O151" s="10">
        <v>50</v>
      </c>
      <c r="P151" s="10">
        <v>59</v>
      </c>
      <c r="Q151" s="13" t="s">
        <v>98</v>
      </c>
      <c r="R151" s="13" t="s">
        <v>79</v>
      </c>
      <c r="S151" s="10" t="s">
        <v>80</v>
      </c>
      <c r="T151" s="11" t="s">
        <v>88</v>
      </c>
      <c r="U151" s="11" t="s">
        <v>92</v>
      </c>
      <c r="V151" s="11" t="s">
        <v>87</v>
      </c>
      <c r="W151" s="15" t="s">
        <v>84</v>
      </c>
      <c r="X151" s="10" t="s">
        <v>85</v>
      </c>
      <c r="Y151" s="13" t="s">
        <v>99</v>
      </c>
      <c r="Z151">
        <f t="shared" si="13"/>
        <v>568</v>
      </c>
      <c r="AA151" s="39">
        <f t="shared" si="14"/>
        <v>61.191235059760956</v>
      </c>
      <c r="AB151" s="39">
        <f t="shared" si="15"/>
        <v>1996.1061285159863</v>
      </c>
      <c r="AC151">
        <f t="shared" si="18"/>
        <v>0.99969963754995272</v>
      </c>
      <c r="AD151">
        <f t="shared" si="16"/>
        <v>0.99957272616031834</v>
      </c>
      <c r="AE151">
        <f t="shared" si="17"/>
        <v>35695</v>
      </c>
    </row>
    <row r="152" spans="1:31">
      <c r="A152" s="9">
        <v>151</v>
      </c>
      <c r="B152" s="30">
        <v>40550</v>
      </c>
      <c r="C152" s="9">
        <v>1</v>
      </c>
      <c r="D152" s="9">
        <v>0</v>
      </c>
      <c r="E152" s="9">
        <v>1</v>
      </c>
      <c r="F152" s="9">
        <v>13</v>
      </c>
      <c r="G152" s="9" t="b">
        <v>0</v>
      </c>
      <c r="H152" s="9">
        <v>5</v>
      </c>
      <c r="I152" s="9">
        <v>2</v>
      </c>
      <c r="J152" s="9">
        <v>0.2</v>
      </c>
      <c r="K152" s="9">
        <v>0.18179999999999999</v>
      </c>
      <c r="L152" s="9">
        <v>0.37</v>
      </c>
      <c r="M152" s="9">
        <v>0.28360000000000002</v>
      </c>
      <c r="N152" s="9">
        <v>9</v>
      </c>
      <c r="O152" s="9">
        <v>64</v>
      </c>
      <c r="P152" s="9">
        <v>73</v>
      </c>
      <c r="Q152" s="13" t="s">
        <v>98</v>
      </c>
      <c r="R152" s="13" t="s">
        <v>79</v>
      </c>
      <c r="S152" s="9" t="s">
        <v>80</v>
      </c>
      <c r="T152" s="11" t="s">
        <v>88</v>
      </c>
      <c r="U152" s="11" t="s">
        <v>92</v>
      </c>
      <c r="V152" s="13" t="s">
        <v>93</v>
      </c>
      <c r="W152" s="15" t="s">
        <v>84</v>
      </c>
      <c r="X152" s="9" t="s">
        <v>85</v>
      </c>
      <c r="Y152" s="13" t="s">
        <v>99</v>
      </c>
      <c r="Z152">
        <f t="shared" si="13"/>
        <v>567</v>
      </c>
      <c r="AA152" s="39">
        <f t="shared" si="14"/>
        <v>61.191235059760956</v>
      </c>
      <c r="AB152" s="39">
        <f t="shared" si="15"/>
        <v>1997.278605730791</v>
      </c>
      <c r="AC152">
        <f t="shared" si="18"/>
        <v>0.99969963714535937</v>
      </c>
      <c r="AD152">
        <f t="shared" si="16"/>
        <v>0.99957279543213484</v>
      </c>
      <c r="AE152">
        <f t="shared" si="17"/>
        <v>35636</v>
      </c>
    </row>
    <row r="153" spans="1:31">
      <c r="A153" s="10">
        <v>152</v>
      </c>
      <c r="B153" s="31">
        <v>40550</v>
      </c>
      <c r="C153" s="10">
        <v>1</v>
      </c>
      <c r="D153" s="10">
        <v>0</v>
      </c>
      <c r="E153" s="10">
        <v>1</v>
      </c>
      <c r="F153" s="10">
        <v>14</v>
      </c>
      <c r="G153" s="10" t="b">
        <v>0</v>
      </c>
      <c r="H153" s="10">
        <v>5</v>
      </c>
      <c r="I153" s="10">
        <v>2</v>
      </c>
      <c r="J153" s="10">
        <v>0.2</v>
      </c>
      <c r="K153" s="10">
        <v>0.19700000000000001</v>
      </c>
      <c r="L153" s="10">
        <v>0.4</v>
      </c>
      <c r="M153" s="10">
        <v>0.25369999999999998</v>
      </c>
      <c r="N153" s="10">
        <v>7</v>
      </c>
      <c r="O153" s="10">
        <v>43</v>
      </c>
      <c r="P153" s="10">
        <v>50</v>
      </c>
      <c r="Q153" s="13" t="s">
        <v>98</v>
      </c>
      <c r="R153" s="13" t="s">
        <v>79</v>
      </c>
      <c r="S153" s="10" t="s">
        <v>80</v>
      </c>
      <c r="T153" s="11" t="s">
        <v>88</v>
      </c>
      <c r="U153" s="13" t="s">
        <v>94</v>
      </c>
      <c r="V153" s="11" t="s">
        <v>87</v>
      </c>
      <c r="W153" s="15" t="s">
        <v>84</v>
      </c>
      <c r="X153" s="10" t="s">
        <v>85</v>
      </c>
      <c r="Y153" s="13" t="s">
        <v>99</v>
      </c>
      <c r="Z153">
        <f t="shared" si="13"/>
        <v>566</v>
      </c>
      <c r="AA153" s="39">
        <f t="shared" si="14"/>
        <v>61.191235059760956</v>
      </c>
      <c r="AB153" s="39">
        <f t="shared" si="15"/>
        <v>1998.4536548543492</v>
      </c>
      <c r="AC153">
        <f t="shared" si="18"/>
        <v>0.99969966516926601</v>
      </c>
      <c r="AD153">
        <f t="shared" si="16"/>
        <v>0.99957298407372663</v>
      </c>
      <c r="AE153">
        <f t="shared" si="17"/>
        <v>35563</v>
      </c>
    </row>
    <row r="154" spans="1:31">
      <c r="A154" s="9">
        <v>153</v>
      </c>
      <c r="B154" s="30">
        <v>40550</v>
      </c>
      <c r="C154" s="9">
        <v>1</v>
      </c>
      <c r="D154" s="9">
        <v>0</v>
      </c>
      <c r="E154" s="9">
        <v>1</v>
      </c>
      <c r="F154" s="9">
        <v>15</v>
      </c>
      <c r="G154" s="9" t="b">
        <v>0</v>
      </c>
      <c r="H154" s="9">
        <v>5</v>
      </c>
      <c r="I154" s="9">
        <v>2</v>
      </c>
      <c r="J154" s="9">
        <v>0.2</v>
      </c>
      <c r="K154" s="9">
        <v>0.21210000000000001</v>
      </c>
      <c r="L154" s="9">
        <v>0.37</v>
      </c>
      <c r="M154" s="9">
        <v>0.16420000000000001</v>
      </c>
      <c r="N154" s="9">
        <v>9</v>
      </c>
      <c r="O154" s="9">
        <v>63</v>
      </c>
      <c r="P154" s="9">
        <v>72</v>
      </c>
      <c r="Q154" s="13" t="s">
        <v>98</v>
      </c>
      <c r="R154" s="13" t="s">
        <v>79</v>
      </c>
      <c r="S154" s="9" t="s">
        <v>80</v>
      </c>
      <c r="T154" s="11" t="s">
        <v>88</v>
      </c>
      <c r="U154" s="13" t="s">
        <v>94</v>
      </c>
      <c r="V154" s="13" t="s">
        <v>93</v>
      </c>
      <c r="W154" s="15" t="s">
        <v>84</v>
      </c>
      <c r="X154" s="9" t="s">
        <v>85</v>
      </c>
      <c r="Y154" s="13" t="s">
        <v>99</v>
      </c>
      <c r="Z154">
        <f t="shared" si="13"/>
        <v>565</v>
      </c>
      <c r="AA154" s="39">
        <f t="shared" si="14"/>
        <v>61.191235059760956</v>
      </c>
      <c r="AB154" s="39">
        <f t="shared" si="15"/>
        <v>1999.6298908775952</v>
      </c>
      <c r="AC154">
        <f t="shared" si="18"/>
        <v>0.99969967699378526</v>
      </c>
      <c r="AD154">
        <f t="shared" si="16"/>
        <v>0.99957299754770912</v>
      </c>
      <c r="AE154">
        <f t="shared" si="17"/>
        <v>35513</v>
      </c>
    </row>
    <row r="155" spans="1:31">
      <c r="A155" s="10">
        <v>154</v>
      </c>
      <c r="B155" s="31">
        <v>40550</v>
      </c>
      <c r="C155" s="10">
        <v>1</v>
      </c>
      <c r="D155" s="10">
        <v>0</v>
      </c>
      <c r="E155" s="10">
        <v>1</v>
      </c>
      <c r="F155" s="10">
        <v>16</v>
      </c>
      <c r="G155" s="10" t="b">
        <v>0</v>
      </c>
      <c r="H155" s="10">
        <v>5</v>
      </c>
      <c r="I155" s="10">
        <v>2</v>
      </c>
      <c r="J155" s="10">
        <v>0.2</v>
      </c>
      <c r="K155" s="10">
        <v>0.21210000000000001</v>
      </c>
      <c r="L155" s="10">
        <v>0.37</v>
      </c>
      <c r="M155" s="10">
        <v>0.16420000000000001</v>
      </c>
      <c r="N155" s="10">
        <v>5</v>
      </c>
      <c r="O155" s="10">
        <v>82</v>
      </c>
      <c r="P155" s="10">
        <v>87</v>
      </c>
      <c r="Q155" s="13" t="s">
        <v>98</v>
      </c>
      <c r="R155" s="13" t="s">
        <v>79</v>
      </c>
      <c r="S155" s="10" t="s">
        <v>80</v>
      </c>
      <c r="T155" s="11" t="s">
        <v>88</v>
      </c>
      <c r="U155" s="13" t="s">
        <v>94</v>
      </c>
      <c r="V155" s="13" t="s">
        <v>93</v>
      </c>
      <c r="W155" s="15" t="s">
        <v>84</v>
      </c>
      <c r="X155" s="10" t="s">
        <v>85</v>
      </c>
      <c r="Y155" s="13" t="s">
        <v>99</v>
      </c>
      <c r="Z155">
        <f t="shared" si="13"/>
        <v>564</v>
      </c>
      <c r="AA155" s="39">
        <f t="shared" si="14"/>
        <v>61.191235059760956</v>
      </c>
      <c r="AB155" s="39">
        <f t="shared" si="15"/>
        <v>2000.8090652355424</v>
      </c>
      <c r="AC155">
        <f t="shared" si="18"/>
        <v>0.99969970108793704</v>
      </c>
      <c r="AD155">
        <f t="shared" si="16"/>
        <v>0.99957317630767073</v>
      </c>
      <c r="AE155">
        <f t="shared" si="17"/>
        <v>35441</v>
      </c>
    </row>
    <row r="156" spans="1:31">
      <c r="A156" s="9">
        <v>155</v>
      </c>
      <c r="B156" s="30">
        <v>40550</v>
      </c>
      <c r="C156" s="9">
        <v>1</v>
      </c>
      <c r="D156" s="9">
        <v>0</v>
      </c>
      <c r="E156" s="9">
        <v>1</v>
      </c>
      <c r="F156" s="9">
        <v>17</v>
      </c>
      <c r="G156" s="9" t="b">
        <v>0</v>
      </c>
      <c r="H156" s="9">
        <v>5</v>
      </c>
      <c r="I156" s="9">
        <v>2</v>
      </c>
      <c r="J156" s="9">
        <v>0.2</v>
      </c>
      <c r="K156" s="9">
        <v>0.2576</v>
      </c>
      <c r="L156" s="9">
        <v>0.37</v>
      </c>
      <c r="M156" s="9">
        <v>0</v>
      </c>
      <c r="N156" s="9">
        <v>9</v>
      </c>
      <c r="O156" s="9">
        <v>178</v>
      </c>
      <c r="P156" s="9">
        <v>187</v>
      </c>
      <c r="Q156" s="13" t="s">
        <v>98</v>
      </c>
      <c r="R156" s="13" t="s">
        <v>79</v>
      </c>
      <c r="S156" s="9" t="s">
        <v>80</v>
      </c>
      <c r="T156" s="11" t="s">
        <v>88</v>
      </c>
      <c r="U156" s="15" t="s">
        <v>95</v>
      </c>
      <c r="V156" s="13" t="s">
        <v>93</v>
      </c>
      <c r="W156" s="15" t="s">
        <v>84</v>
      </c>
      <c r="X156" s="9" t="s">
        <v>85</v>
      </c>
      <c r="Y156" s="13" t="s">
        <v>99</v>
      </c>
      <c r="Z156">
        <f t="shared" si="13"/>
        <v>563</v>
      </c>
      <c r="AA156" s="39">
        <f t="shared" si="14"/>
        <v>61.191235059760956</v>
      </c>
      <c r="AB156" s="39">
        <f t="shared" si="15"/>
        <v>2001.9907506794752</v>
      </c>
      <c r="AC156">
        <f t="shared" si="18"/>
        <v>0.99969981556570331</v>
      </c>
      <c r="AD156">
        <f t="shared" si="16"/>
        <v>0.99957354340043858</v>
      </c>
      <c r="AE156">
        <f t="shared" si="17"/>
        <v>35354</v>
      </c>
    </row>
    <row r="157" spans="1:31">
      <c r="A157" s="10">
        <v>156</v>
      </c>
      <c r="B157" s="31">
        <v>40550</v>
      </c>
      <c r="C157" s="10">
        <v>1</v>
      </c>
      <c r="D157" s="10">
        <v>0</v>
      </c>
      <c r="E157" s="10">
        <v>1</v>
      </c>
      <c r="F157" s="10">
        <v>18</v>
      </c>
      <c r="G157" s="10" t="b">
        <v>0</v>
      </c>
      <c r="H157" s="10">
        <v>5</v>
      </c>
      <c r="I157" s="10">
        <v>1</v>
      </c>
      <c r="J157" s="10">
        <v>0.2</v>
      </c>
      <c r="K157" s="10">
        <v>0.2273</v>
      </c>
      <c r="L157" s="10">
        <v>0.4</v>
      </c>
      <c r="M157" s="10">
        <v>8.9599999999999999E-2</v>
      </c>
      <c r="N157" s="10">
        <v>7</v>
      </c>
      <c r="O157" s="10">
        <v>116</v>
      </c>
      <c r="P157" s="10">
        <v>123</v>
      </c>
      <c r="Q157" s="13" t="s">
        <v>98</v>
      </c>
      <c r="R157" s="13" t="s">
        <v>79</v>
      </c>
      <c r="S157" s="10" t="s">
        <v>80</v>
      </c>
      <c r="T157" s="13" t="s">
        <v>81</v>
      </c>
      <c r="U157" s="15" t="s">
        <v>95</v>
      </c>
      <c r="V157" s="13" t="s">
        <v>93</v>
      </c>
      <c r="W157" s="15" t="s">
        <v>84</v>
      </c>
      <c r="X157" s="10" t="s">
        <v>85</v>
      </c>
      <c r="Y157" s="13" t="s">
        <v>99</v>
      </c>
      <c r="Z157">
        <f t="shared" si="13"/>
        <v>562</v>
      </c>
      <c r="AA157" s="39">
        <f t="shared" si="14"/>
        <v>61.191235059760956</v>
      </c>
      <c r="AB157" s="39">
        <f t="shared" si="15"/>
        <v>2003.1739528586463</v>
      </c>
      <c r="AC157">
        <f t="shared" si="18"/>
        <v>0.99970223075767672</v>
      </c>
      <c r="AD157">
        <f t="shared" si="16"/>
        <v>0.99957686291580017</v>
      </c>
      <c r="AE157">
        <f t="shared" si="17"/>
        <v>35167</v>
      </c>
    </row>
    <row r="158" spans="1:31">
      <c r="A158" s="9">
        <v>157</v>
      </c>
      <c r="B158" s="30">
        <v>40550</v>
      </c>
      <c r="C158" s="9">
        <v>1</v>
      </c>
      <c r="D158" s="9">
        <v>0</v>
      </c>
      <c r="E158" s="9">
        <v>1</v>
      </c>
      <c r="F158" s="9">
        <v>19</v>
      </c>
      <c r="G158" s="9" t="b">
        <v>0</v>
      </c>
      <c r="H158" s="9">
        <v>5</v>
      </c>
      <c r="I158" s="9">
        <v>1</v>
      </c>
      <c r="J158" s="9">
        <v>0.16</v>
      </c>
      <c r="K158" s="9">
        <v>0.19700000000000001</v>
      </c>
      <c r="L158" s="9">
        <v>0.55000000000000004</v>
      </c>
      <c r="M158" s="9">
        <v>8.9599999999999999E-2</v>
      </c>
      <c r="N158" s="9">
        <v>3</v>
      </c>
      <c r="O158" s="9">
        <v>92</v>
      </c>
      <c r="P158" s="9">
        <v>95</v>
      </c>
      <c r="Q158" s="13" t="s">
        <v>98</v>
      </c>
      <c r="R158" s="13" t="s">
        <v>79</v>
      </c>
      <c r="S158" s="9" t="s">
        <v>80</v>
      </c>
      <c r="T158" s="13" t="s">
        <v>81</v>
      </c>
      <c r="U158" s="15" t="s">
        <v>95</v>
      </c>
      <c r="V158" s="13" t="s">
        <v>93</v>
      </c>
      <c r="W158" s="15" t="s">
        <v>84</v>
      </c>
      <c r="X158" s="9" t="s">
        <v>85</v>
      </c>
      <c r="Y158" s="13" t="s">
        <v>99</v>
      </c>
      <c r="Z158">
        <f t="shared" si="13"/>
        <v>561</v>
      </c>
      <c r="AA158" s="39">
        <f t="shared" si="14"/>
        <v>61.067864271457083</v>
      </c>
      <c r="AB158" s="39">
        <f t="shared" si="15"/>
        <v>2004.3603109256353</v>
      </c>
      <c r="AC158">
        <f t="shared" si="18"/>
        <v>0.99970283647674441</v>
      </c>
      <c r="AD158">
        <f t="shared" si="16"/>
        <v>0.99957788290670924</v>
      </c>
      <c r="AE158">
        <f t="shared" si="17"/>
        <v>35044</v>
      </c>
    </row>
    <row r="159" spans="1:31">
      <c r="A159" s="10">
        <v>158</v>
      </c>
      <c r="B159" s="31">
        <v>40550</v>
      </c>
      <c r="C159" s="10">
        <v>1</v>
      </c>
      <c r="D159" s="10">
        <v>0</v>
      </c>
      <c r="E159" s="10">
        <v>1</v>
      </c>
      <c r="F159" s="10">
        <v>20</v>
      </c>
      <c r="G159" s="10" t="b">
        <v>0</v>
      </c>
      <c r="H159" s="10">
        <v>5</v>
      </c>
      <c r="I159" s="10">
        <v>1</v>
      </c>
      <c r="J159" s="10">
        <v>0.18</v>
      </c>
      <c r="K159" s="10">
        <v>0.21210000000000001</v>
      </c>
      <c r="L159" s="10">
        <v>0.47</v>
      </c>
      <c r="M159" s="10">
        <v>0.1045</v>
      </c>
      <c r="N159" s="10">
        <v>1</v>
      </c>
      <c r="O159" s="10">
        <v>50</v>
      </c>
      <c r="P159" s="10">
        <v>51</v>
      </c>
      <c r="Q159" s="13" t="s">
        <v>98</v>
      </c>
      <c r="R159" s="13" t="s">
        <v>79</v>
      </c>
      <c r="S159" s="10" t="s">
        <v>80</v>
      </c>
      <c r="T159" s="13" t="s">
        <v>81</v>
      </c>
      <c r="U159" s="16" t="s">
        <v>97</v>
      </c>
      <c r="V159" s="11" t="s">
        <v>87</v>
      </c>
      <c r="W159" s="15" t="s">
        <v>84</v>
      </c>
      <c r="X159" s="10" t="s">
        <v>85</v>
      </c>
      <c r="Y159" s="13" t="s">
        <v>99</v>
      </c>
      <c r="Z159">
        <f t="shared" si="13"/>
        <v>560</v>
      </c>
      <c r="AA159" s="39">
        <f t="shared" si="14"/>
        <v>61</v>
      </c>
      <c r="AB159" s="39">
        <f t="shared" si="15"/>
        <v>2005.5484785807587</v>
      </c>
      <c r="AC159">
        <f t="shared" si="18"/>
        <v>0.99970316882329657</v>
      </c>
      <c r="AD159">
        <f t="shared" si="16"/>
        <v>0.99957812132407775</v>
      </c>
      <c r="AE159">
        <f t="shared" si="17"/>
        <v>34949</v>
      </c>
    </row>
    <row r="160" spans="1:31">
      <c r="A160" s="9">
        <v>159</v>
      </c>
      <c r="B160" s="30">
        <v>40550</v>
      </c>
      <c r="C160" s="9">
        <v>1</v>
      </c>
      <c r="D160" s="9">
        <v>0</v>
      </c>
      <c r="E160" s="9">
        <v>1</v>
      </c>
      <c r="F160" s="9">
        <v>21</v>
      </c>
      <c r="G160" s="9" t="b">
        <v>0</v>
      </c>
      <c r="H160" s="9">
        <v>5</v>
      </c>
      <c r="I160" s="9">
        <v>1</v>
      </c>
      <c r="J160" s="9">
        <v>0.18</v>
      </c>
      <c r="K160" s="9">
        <v>0.19700000000000001</v>
      </c>
      <c r="L160" s="9">
        <v>0.47</v>
      </c>
      <c r="M160" s="9">
        <v>0.1343</v>
      </c>
      <c r="N160" s="9">
        <v>0</v>
      </c>
      <c r="O160" s="9">
        <v>39</v>
      </c>
      <c r="P160" s="9">
        <v>39</v>
      </c>
      <c r="Q160" s="13" t="s">
        <v>98</v>
      </c>
      <c r="R160" s="13" t="s">
        <v>79</v>
      </c>
      <c r="S160" s="9" t="s">
        <v>80</v>
      </c>
      <c r="T160" s="13" t="s">
        <v>81</v>
      </c>
      <c r="U160" s="16" t="s">
        <v>97</v>
      </c>
      <c r="V160" s="11" t="s">
        <v>87</v>
      </c>
      <c r="W160" s="15" t="s">
        <v>84</v>
      </c>
      <c r="X160" s="9" t="s">
        <v>85</v>
      </c>
      <c r="Y160" s="13" t="s">
        <v>99</v>
      </c>
      <c r="Z160">
        <f t="shared" si="13"/>
        <v>559</v>
      </c>
      <c r="AA160" s="39">
        <f t="shared" si="14"/>
        <v>61.020040080160321</v>
      </c>
      <c r="AB160" s="39">
        <f t="shared" si="15"/>
        <v>2006.7373493229613</v>
      </c>
      <c r="AC160">
        <f t="shared" si="18"/>
        <v>0.9997031690044067</v>
      </c>
      <c r="AD160">
        <f t="shared" si="16"/>
        <v>0.9995781232594696</v>
      </c>
      <c r="AE160">
        <f t="shared" si="17"/>
        <v>34898</v>
      </c>
    </row>
    <row r="161" spans="1:31">
      <c r="A161" s="10">
        <v>160</v>
      </c>
      <c r="B161" s="31">
        <v>40550</v>
      </c>
      <c r="C161" s="10">
        <v>1</v>
      </c>
      <c r="D161" s="10">
        <v>0</v>
      </c>
      <c r="E161" s="10">
        <v>1</v>
      </c>
      <c r="F161" s="10">
        <v>22</v>
      </c>
      <c r="G161" s="10" t="b">
        <v>0</v>
      </c>
      <c r="H161" s="10">
        <v>5</v>
      </c>
      <c r="I161" s="10">
        <v>2</v>
      </c>
      <c r="J161" s="10">
        <v>0.18</v>
      </c>
      <c r="K161" s="10">
        <v>0.19700000000000001</v>
      </c>
      <c r="L161" s="10">
        <v>0.43</v>
      </c>
      <c r="M161" s="10">
        <v>0.16420000000000001</v>
      </c>
      <c r="N161" s="10">
        <v>2</v>
      </c>
      <c r="O161" s="10">
        <v>34</v>
      </c>
      <c r="P161" s="10">
        <v>36</v>
      </c>
      <c r="Q161" s="13" t="s">
        <v>98</v>
      </c>
      <c r="R161" s="13" t="s">
        <v>79</v>
      </c>
      <c r="S161" s="10" t="s">
        <v>80</v>
      </c>
      <c r="T161" s="11" t="s">
        <v>88</v>
      </c>
      <c r="U161" s="16" t="s">
        <v>97</v>
      </c>
      <c r="V161" s="11" t="s">
        <v>87</v>
      </c>
      <c r="W161" s="15" t="s">
        <v>84</v>
      </c>
      <c r="X161" s="10" t="s">
        <v>85</v>
      </c>
      <c r="Y161" s="13" t="s">
        <v>99</v>
      </c>
      <c r="Z161">
        <f t="shared" si="13"/>
        <v>558</v>
      </c>
      <c r="AA161" s="39">
        <f t="shared" si="14"/>
        <v>61.064257028112451</v>
      </c>
      <c r="AB161" s="39">
        <f t="shared" si="15"/>
        <v>2007.9277515383362</v>
      </c>
      <c r="AC161">
        <f t="shared" si="18"/>
        <v>0.99970319794788687</v>
      </c>
      <c r="AD161">
        <f t="shared" si="16"/>
        <v>0.9995781311656009</v>
      </c>
      <c r="AE161">
        <f t="shared" si="17"/>
        <v>34859</v>
      </c>
    </row>
    <row r="162" spans="1:31">
      <c r="A162" s="9">
        <v>161</v>
      </c>
      <c r="B162" s="30">
        <v>40550</v>
      </c>
      <c r="C162" s="9">
        <v>1</v>
      </c>
      <c r="D162" s="9">
        <v>0</v>
      </c>
      <c r="E162" s="9">
        <v>1</v>
      </c>
      <c r="F162" s="9">
        <v>23</v>
      </c>
      <c r="G162" s="9" t="b">
        <v>0</v>
      </c>
      <c r="H162" s="9">
        <v>5</v>
      </c>
      <c r="I162" s="9">
        <v>2</v>
      </c>
      <c r="J162" s="9">
        <v>0.18</v>
      </c>
      <c r="K162" s="9">
        <v>0.19700000000000001</v>
      </c>
      <c r="L162" s="9">
        <v>0.51</v>
      </c>
      <c r="M162" s="9">
        <v>0.16420000000000001</v>
      </c>
      <c r="N162" s="9">
        <v>1</v>
      </c>
      <c r="O162" s="9">
        <v>14</v>
      </c>
      <c r="P162" s="9">
        <v>15</v>
      </c>
      <c r="Q162" s="13" t="s">
        <v>98</v>
      </c>
      <c r="R162" s="13" t="s">
        <v>79</v>
      </c>
      <c r="S162" s="9" t="s">
        <v>80</v>
      </c>
      <c r="T162" s="11" t="s">
        <v>88</v>
      </c>
      <c r="U162" s="16" t="s">
        <v>97</v>
      </c>
      <c r="V162" s="12" t="s">
        <v>83</v>
      </c>
      <c r="W162" s="15" t="s">
        <v>84</v>
      </c>
      <c r="X162" s="9" t="s">
        <v>85</v>
      </c>
      <c r="Y162" s="13" t="s">
        <v>99</v>
      </c>
      <c r="Z162">
        <f t="shared" si="13"/>
        <v>557</v>
      </c>
      <c r="AA162" s="39">
        <f t="shared" si="14"/>
        <v>61.064257028112451</v>
      </c>
      <c r="AB162" s="39">
        <f t="shared" si="15"/>
        <v>2009.1201147712381</v>
      </c>
      <c r="AC162">
        <f t="shared" si="18"/>
        <v>0.99970324080751882</v>
      </c>
      <c r="AD162">
        <f t="shared" si="16"/>
        <v>0.99957813687177144</v>
      </c>
      <c r="AE162">
        <f t="shared" si="17"/>
        <v>34823</v>
      </c>
    </row>
    <row r="163" spans="1:31">
      <c r="A163" s="10">
        <v>162</v>
      </c>
      <c r="B163" s="31">
        <v>40551</v>
      </c>
      <c r="C163" s="10">
        <v>1</v>
      </c>
      <c r="D163" s="10">
        <v>0</v>
      </c>
      <c r="E163" s="10">
        <v>1</v>
      </c>
      <c r="F163" s="10">
        <v>0</v>
      </c>
      <c r="G163" s="10" t="b">
        <v>0</v>
      </c>
      <c r="H163" s="10">
        <v>6</v>
      </c>
      <c r="I163" s="10">
        <v>2</v>
      </c>
      <c r="J163" s="10">
        <v>0.18</v>
      </c>
      <c r="K163" s="10">
        <v>0.19700000000000001</v>
      </c>
      <c r="L163" s="10">
        <v>0.51</v>
      </c>
      <c r="M163" s="10">
        <v>0.16420000000000001</v>
      </c>
      <c r="N163" s="10">
        <v>1</v>
      </c>
      <c r="O163" s="10">
        <v>24</v>
      </c>
      <c r="P163" s="10">
        <v>25</v>
      </c>
      <c r="Q163" s="12" t="s">
        <v>78</v>
      </c>
      <c r="R163" s="13" t="s">
        <v>79</v>
      </c>
      <c r="S163" s="10" t="s">
        <v>80</v>
      </c>
      <c r="T163" s="11" t="s">
        <v>88</v>
      </c>
      <c r="U163" s="14" t="s">
        <v>82</v>
      </c>
      <c r="V163" s="12" t="s">
        <v>83</v>
      </c>
      <c r="W163" s="15" t="s">
        <v>84</v>
      </c>
      <c r="X163" s="10" t="s">
        <v>85</v>
      </c>
      <c r="Y163" s="12" t="s">
        <v>86</v>
      </c>
      <c r="Z163">
        <f t="shared" si="13"/>
        <v>556</v>
      </c>
      <c r="AA163" s="39">
        <f t="shared" si="14"/>
        <v>61.064257028112451</v>
      </c>
      <c r="AB163" s="39">
        <f t="shared" si="15"/>
        <v>2010.3133334770489</v>
      </c>
      <c r="AC163">
        <f t="shared" si="18"/>
        <v>0.99970345521366155</v>
      </c>
      <c r="AD163">
        <f t="shared" si="16"/>
        <v>0.99957832430888249</v>
      </c>
      <c r="AE163">
        <f t="shared" si="17"/>
        <v>34808</v>
      </c>
    </row>
    <row r="164" spans="1:31">
      <c r="A164" s="9">
        <v>163</v>
      </c>
      <c r="B164" s="30">
        <v>40551</v>
      </c>
      <c r="C164" s="9">
        <v>1</v>
      </c>
      <c r="D164" s="9">
        <v>0</v>
      </c>
      <c r="E164" s="9">
        <v>1</v>
      </c>
      <c r="F164" s="9">
        <v>1</v>
      </c>
      <c r="G164" s="9" t="b">
        <v>0</v>
      </c>
      <c r="H164" s="9">
        <v>6</v>
      </c>
      <c r="I164" s="9">
        <v>2</v>
      </c>
      <c r="J164" s="9">
        <v>0.18</v>
      </c>
      <c r="K164" s="9">
        <v>0.21210000000000001</v>
      </c>
      <c r="L164" s="9">
        <v>0.55000000000000004</v>
      </c>
      <c r="M164" s="9">
        <v>8.9599999999999999E-2</v>
      </c>
      <c r="N164" s="9">
        <v>1</v>
      </c>
      <c r="O164" s="9">
        <v>15</v>
      </c>
      <c r="P164" s="9">
        <v>16</v>
      </c>
      <c r="Q164" s="12" t="s">
        <v>78</v>
      </c>
      <c r="R164" s="13" t="s">
        <v>79</v>
      </c>
      <c r="S164" s="9" t="s">
        <v>80</v>
      </c>
      <c r="T164" s="11" t="s">
        <v>88</v>
      </c>
      <c r="U164" s="14" t="s">
        <v>82</v>
      </c>
      <c r="V164" s="12" t="s">
        <v>83</v>
      </c>
      <c r="W164" s="15" t="s">
        <v>84</v>
      </c>
      <c r="X164" s="9" t="s">
        <v>85</v>
      </c>
      <c r="Y164" s="12" t="s">
        <v>86</v>
      </c>
      <c r="Z164">
        <f t="shared" si="13"/>
        <v>556</v>
      </c>
      <c r="AA164" s="39">
        <f t="shared" si="14"/>
        <v>61.064257028112451</v>
      </c>
      <c r="AB164" s="39">
        <f t="shared" si="15"/>
        <v>2011.5093198256366</v>
      </c>
      <c r="AC164">
        <f t="shared" si="18"/>
        <v>0.99970357212282623</v>
      </c>
      <c r="AD164">
        <f t="shared" si="16"/>
        <v>0.99957842143270348</v>
      </c>
      <c r="AE164">
        <f t="shared" si="17"/>
        <v>34808</v>
      </c>
    </row>
    <row r="165" spans="1:31">
      <c r="A165" s="10">
        <v>164</v>
      </c>
      <c r="B165" s="31">
        <v>40551</v>
      </c>
      <c r="C165" s="10">
        <v>1</v>
      </c>
      <c r="D165" s="10">
        <v>0</v>
      </c>
      <c r="E165" s="10">
        <v>1</v>
      </c>
      <c r="F165" s="10">
        <v>2</v>
      </c>
      <c r="G165" s="10" t="b">
        <v>0</v>
      </c>
      <c r="H165" s="10">
        <v>6</v>
      </c>
      <c r="I165" s="10">
        <v>2</v>
      </c>
      <c r="J165" s="10">
        <v>0.18</v>
      </c>
      <c r="K165" s="10">
        <v>0.2424</v>
      </c>
      <c r="L165" s="10">
        <v>0.55000000000000004</v>
      </c>
      <c r="M165" s="10">
        <v>0</v>
      </c>
      <c r="N165" s="10">
        <v>3</v>
      </c>
      <c r="O165" s="10">
        <v>13</v>
      </c>
      <c r="P165" s="10">
        <v>16</v>
      </c>
      <c r="Q165" s="12" t="s">
        <v>78</v>
      </c>
      <c r="R165" s="13" t="s">
        <v>79</v>
      </c>
      <c r="S165" s="10" t="s">
        <v>80</v>
      </c>
      <c r="T165" s="11" t="s">
        <v>88</v>
      </c>
      <c r="U165" s="14" t="s">
        <v>82</v>
      </c>
      <c r="V165" s="12" t="s">
        <v>83</v>
      </c>
      <c r="W165" s="15" t="s">
        <v>84</v>
      </c>
      <c r="X165" s="10" t="s">
        <v>85</v>
      </c>
      <c r="Y165" s="12" t="s">
        <v>86</v>
      </c>
      <c r="Z165">
        <f t="shared" si="13"/>
        <v>556</v>
      </c>
      <c r="AA165" s="39">
        <f t="shared" si="14"/>
        <v>61.064257028112451</v>
      </c>
      <c r="AB165" s="39">
        <f t="shared" si="15"/>
        <v>2012.7068696962338</v>
      </c>
      <c r="AC165">
        <f t="shared" si="18"/>
        <v>0.99970377628294016</v>
      </c>
      <c r="AD165">
        <f t="shared" si="16"/>
        <v>0.99957864280489861</v>
      </c>
      <c r="AE165">
        <f t="shared" si="17"/>
        <v>34808</v>
      </c>
    </row>
    <row r="166" spans="1:31">
      <c r="A166" s="9">
        <v>165</v>
      </c>
      <c r="B166" s="30">
        <v>40551</v>
      </c>
      <c r="C166" s="9">
        <v>1</v>
      </c>
      <c r="D166" s="9">
        <v>0</v>
      </c>
      <c r="E166" s="9">
        <v>1</v>
      </c>
      <c r="F166" s="9">
        <v>3</v>
      </c>
      <c r="G166" s="9" t="b">
        <v>0</v>
      </c>
      <c r="H166" s="9">
        <v>6</v>
      </c>
      <c r="I166" s="9">
        <v>3</v>
      </c>
      <c r="J166" s="9">
        <v>0.18</v>
      </c>
      <c r="K166" s="9">
        <v>0.19700000000000001</v>
      </c>
      <c r="L166" s="9">
        <v>0.55000000000000004</v>
      </c>
      <c r="M166" s="9">
        <v>0.16420000000000001</v>
      </c>
      <c r="N166" s="9">
        <v>0</v>
      </c>
      <c r="O166" s="9">
        <v>7</v>
      </c>
      <c r="P166" s="9">
        <v>7</v>
      </c>
      <c r="Q166" s="12" t="s">
        <v>78</v>
      </c>
      <c r="R166" s="13" t="s">
        <v>79</v>
      </c>
      <c r="S166" s="9" t="s">
        <v>80</v>
      </c>
      <c r="T166" s="12" t="s">
        <v>96</v>
      </c>
      <c r="U166" s="14" t="s">
        <v>82</v>
      </c>
      <c r="V166" s="12" t="s">
        <v>83</v>
      </c>
      <c r="W166" s="15" t="s">
        <v>84</v>
      </c>
      <c r="X166" s="9" t="s">
        <v>85</v>
      </c>
      <c r="Y166" s="12" t="s">
        <v>86</v>
      </c>
      <c r="Z166">
        <f t="shared" si="13"/>
        <v>556</v>
      </c>
      <c r="AA166" s="39">
        <f t="shared" si="14"/>
        <v>61.064257028112451</v>
      </c>
      <c r="AB166" s="39">
        <f t="shared" si="15"/>
        <v>2013.9065609799081</v>
      </c>
      <c r="AC166">
        <f t="shared" si="18"/>
        <v>0.99970398093303581</v>
      </c>
      <c r="AD166">
        <f t="shared" si="16"/>
        <v>0.99957886470835089</v>
      </c>
      <c r="AE166">
        <f t="shared" si="17"/>
        <v>34808</v>
      </c>
    </row>
    <row r="167" spans="1:31">
      <c r="A167" s="10">
        <v>166</v>
      </c>
      <c r="B167" s="31">
        <v>40551</v>
      </c>
      <c r="C167" s="10">
        <v>1</v>
      </c>
      <c r="D167" s="10">
        <v>0</v>
      </c>
      <c r="E167" s="10">
        <v>1</v>
      </c>
      <c r="F167" s="10">
        <v>4</v>
      </c>
      <c r="G167" s="10" t="b">
        <v>0</v>
      </c>
      <c r="H167" s="10">
        <v>6</v>
      </c>
      <c r="I167" s="10">
        <v>3</v>
      </c>
      <c r="J167" s="10">
        <v>0.18</v>
      </c>
      <c r="K167" s="10">
        <v>0.19700000000000001</v>
      </c>
      <c r="L167" s="10">
        <v>0.55000000000000004</v>
      </c>
      <c r="M167" s="10">
        <v>0.16420000000000001</v>
      </c>
      <c r="N167" s="10">
        <v>0</v>
      </c>
      <c r="O167" s="10">
        <v>1</v>
      </c>
      <c r="P167" s="10">
        <v>1</v>
      </c>
      <c r="Q167" s="12" t="s">
        <v>78</v>
      </c>
      <c r="R167" s="13" t="s">
        <v>79</v>
      </c>
      <c r="S167" s="10" t="s">
        <v>80</v>
      </c>
      <c r="T167" s="12" t="s">
        <v>96</v>
      </c>
      <c r="U167" s="14" t="s">
        <v>82</v>
      </c>
      <c r="V167" s="12" t="s">
        <v>83</v>
      </c>
      <c r="W167" s="15" t="s">
        <v>84</v>
      </c>
      <c r="X167" s="10" t="s">
        <v>85</v>
      </c>
      <c r="Y167" s="12" t="s">
        <v>86</v>
      </c>
      <c r="Z167">
        <f t="shared" si="13"/>
        <v>556</v>
      </c>
      <c r="AA167" s="39">
        <f t="shared" si="14"/>
        <v>61.064257028112451</v>
      </c>
      <c r="AB167" s="39">
        <f t="shared" si="15"/>
        <v>2015.107776170933</v>
      </c>
      <c r="AC167">
        <f t="shared" si="18"/>
        <v>0.99970429719436205</v>
      </c>
      <c r="AD167">
        <f t="shared" si="16"/>
        <v>0.99957920238353426</v>
      </c>
      <c r="AE167">
        <f t="shared" si="17"/>
        <v>34808</v>
      </c>
    </row>
    <row r="168" spans="1:31">
      <c r="A168" s="9">
        <v>167</v>
      </c>
      <c r="B168" s="30">
        <v>40551</v>
      </c>
      <c r="C168" s="9">
        <v>1</v>
      </c>
      <c r="D168" s="9">
        <v>0</v>
      </c>
      <c r="E168" s="9">
        <v>1</v>
      </c>
      <c r="F168" s="9">
        <v>5</v>
      </c>
      <c r="G168" s="9" t="b">
        <v>0</v>
      </c>
      <c r="H168" s="9">
        <v>6</v>
      </c>
      <c r="I168" s="9">
        <v>2</v>
      </c>
      <c r="J168" s="9">
        <v>0.16</v>
      </c>
      <c r="K168" s="9">
        <v>0.16669999999999999</v>
      </c>
      <c r="L168" s="9">
        <v>0.74</v>
      </c>
      <c r="M168" s="9">
        <v>0.16420000000000001</v>
      </c>
      <c r="N168" s="9">
        <v>0</v>
      </c>
      <c r="O168" s="9">
        <v>5</v>
      </c>
      <c r="P168" s="9">
        <v>5</v>
      </c>
      <c r="Q168" s="12" t="s">
        <v>78</v>
      </c>
      <c r="R168" s="13" t="s">
        <v>79</v>
      </c>
      <c r="S168" s="9" t="s">
        <v>80</v>
      </c>
      <c r="T168" s="11" t="s">
        <v>88</v>
      </c>
      <c r="U168" s="15" t="s">
        <v>89</v>
      </c>
      <c r="V168" s="12" t="s">
        <v>83</v>
      </c>
      <c r="W168" s="15" t="s">
        <v>84</v>
      </c>
      <c r="X168" s="9" t="s">
        <v>85</v>
      </c>
      <c r="Y168" s="12" t="s">
        <v>86</v>
      </c>
      <c r="Z168">
        <f t="shared" si="13"/>
        <v>556</v>
      </c>
      <c r="AA168" s="39">
        <f t="shared" si="14"/>
        <v>61.064257028112451</v>
      </c>
      <c r="AB168" s="39">
        <f t="shared" si="15"/>
        <v>2016.3106998448909</v>
      </c>
      <c r="AC168">
        <f t="shared" si="18"/>
        <v>0.99970470167928005</v>
      </c>
      <c r="AD168">
        <f t="shared" si="16"/>
        <v>0.99957963108149217</v>
      </c>
      <c r="AE168">
        <f t="shared" si="17"/>
        <v>34808</v>
      </c>
    </row>
    <row r="169" spans="1:31">
      <c r="A169" s="10">
        <v>168</v>
      </c>
      <c r="B169" s="31">
        <v>40551</v>
      </c>
      <c r="C169" s="10">
        <v>1</v>
      </c>
      <c r="D169" s="10">
        <v>0</v>
      </c>
      <c r="E169" s="10">
        <v>1</v>
      </c>
      <c r="F169" s="10">
        <v>6</v>
      </c>
      <c r="G169" s="10" t="b">
        <v>0</v>
      </c>
      <c r="H169" s="10">
        <v>6</v>
      </c>
      <c r="I169" s="10">
        <v>2</v>
      </c>
      <c r="J169" s="10">
        <v>0.16</v>
      </c>
      <c r="K169" s="10">
        <v>0.16669999999999999</v>
      </c>
      <c r="L169" s="10">
        <v>0.74</v>
      </c>
      <c r="M169" s="10">
        <v>0.16420000000000001</v>
      </c>
      <c r="N169" s="10">
        <v>0</v>
      </c>
      <c r="O169" s="10">
        <v>2</v>
      </c>
      <c r="P169" s="10">
        <v>2</v>
      </c>
      <c r="Q169" s="12" t="s">
        <v>78</v>
      </c>
      <c r="R169" s="13" t="s">
        <v>79</v>
      </c>
      <c r="S169" s="10" t="s">
        <v>80</v>
      </c>
      <c r="T169" s="11" t="s">
        <v>88</v>
      </c>
      <c r="U169" s="15" t="s">
        <v>89</v>
      </c>
      <c r="V169" s="12" t="s">
        <v>83</v>
      </c>
      <c r="W169" s="15" t="s">
        <v>84</v>
      </c>
      <c r="X169" s="10" t="s">
        <v>85</v>
      </c>
      <c r="Y169" s="12" t="s">
        <v>86</v>
      </c>
      <c r="Z169">
        <f t="shared" si="13"/>
        <v>556</v>
      </c>
      <c r="AA169" s="39">
        <f t="shared" si="14"/>
        <v>61.064257028112451</v>
      </c>
      <c r="AB169" s="39">
        <f t="shared" si="15"/>
        <v>2017.5160789113565</v>
      </c>
      <c r="AC169">
        <f t="shared" si="18"/>
        <v>0.99970497120745272</v>
      </c>
      <c r="AD169">
        <f t="shared" si="16"/>
        <v>0.99958033405549629</v>
      </c>
      <c r="AE169">
        <f t="shared" si="17"/>
        <v>34808</v>
      </c>
    </row>
    <row r="170" spans="1:31">
      <c r="A170" s="9">
        <v>169</v>
      </c>
      <c r="B170" s="30">
        <v>40551</v>
      </c>
      <c r="C170" s="9">
        <v>1</v>
      </c>
      <c r="D170" s="9">
        <v>0</v>
      </c>
      <c r="E170" s="9">
        <v>1</v>
      </c>
      <c r="F170" s="9">
        <v>7</v>
      </c>
      <c r="G170" s="9" t="b">
        <v>0</v>
      </c>
      <c r="H170" s="9">
        <v>6</v>
      </c>
      <c r="I170" s="9">
        <v>2</v>
      </c>
      <c r="J170" s="9">
        <v>0.16</v>
      </c>
      <c r="K170" s="9">
        <v>0.18179999999999999</v>
      </c>
      <c r="L170" s="9">
        <v>0.74</v>
      </c>
      <c r="M170" s="9">
        <v>0.1045</v>
      </c>
      <c r="N170" s="9">
        <v>1</v>
      </c>
      <c r="O170" s="9">
        <v>8</v>
      </c>
      <c r="P170" s="9">
        <v>9</v>
      </c>
      <c r="Q170" s="12" t="s">
        <v>78</v>
      </c>
      <c r="R170" s="13" t="s">
        <v>79</v>
      </c>
      <c r="S170" s="9" t="s">
        <v>80</v>
      </c>
      <c r="T170" s="11" t="s">
        <v>88</v>
      </c>
      <c r="U170" s="15" t="s">
        <v>89</v>
      </c>
      <c r="V170" s="12" t="s">
        <v>83</v>
      </c>
      <c r="W170" s="15" t="s">
        <v>84</v>
      </c>
      <c r="X170" s="9" t="s">
        <v>85</v>
      </c>
      <c r="Y170" s="12" t="s">
        <v>86</v>
      </c>
      <c r="Z170">
        <f t="shared" si="13"/>
        <v>556</v>
      </c>
      <c r="AA170" s="39">
        <f t="shared" si="14"/>
        <v>61.064257028112451</v>
      </c>
      <c r="AB170" s="39">
        <f t="shared" si="15"/>
        <v>2018.7233988719015</v>
      </c>
      <c r="AC170">
        <f t="shared" si="18"/>
        <v>0.99970528064388331</v>
      </c>
      <c r="AD170">
        <f t="shared" si="16"/>
        <v>0.99958110125571309</v>
      </c>
      <c r="AE170">
        <f t="shared" si="17"/>
        <v>34808</v>
      </c>
    </row>
    <row r="171" spans="1:31">
      <c r="A171" s="10">
        <v>170</v>
      </c>
      <c r="B171" s="31">
        <v>40551</v>
      </c>
      <c r="C171" s="10">
        <v>1</v>
      </c>
      <c r="D171" s="10">
        <v>0</v>
      </c>
      <c r="E171" s="10">
        <v>1</v>
      </c>
      <c r="F171" s="10">
        <v>8</v>
      </c>
      <c r="G171" s="10" t="b">
        <v>0</v>
      </c>
      <c r="H171" s="10">
        <v>6</v>
      </c>
      <c r="I171" s="10">
        <v>3</v>
      </c>
      <c r="J171" s="10">
        <v>0.16</v>
      </c>
      <c r="K171" s="10">
        <v>0.18179999999999999</v>
      </c>
      <c r="L171" s="10">
        <v>0.93</v>
      </c>
      <c r="M171" s="10">
        <v>0.1045</v>
      </c>
      <c r="N171" s="10">
        <v>0</v>
      </c>
      <c r="O171" s="10">
        <v>15</v>
      </c>
      <c r="P171" s="10">
        <v>15</v>
      </c>
      <c r="Q171" s="12" t="s">
        <v>78</v>
      </c>
      <c r="R171" s="13" t="s">
        <v>79</v>
      </c>
      <c r="S171" s="10" t="s">
        <v>80</v>
      </c>
      <c r="T171" s="12" t="s">
        <v>96</v>
      </c>
      <c r="U171" s="15" t="s">
        <v>89</v>
      </c>
      <c r="V171" s="12" t="s">
        <v>83</v>
      </c>
      <c r="W171" s="15" t="s">
        <v>84</v>
      </c>
      <c r="X171" s="10" t="s">
        <v>85</v>
      </c>
      <c r="Y171" s="12" t="s">
        <v>86</v>
      </c>
      <c r="Z171">
        <f t="shared" si="13"/>
        <v>556</v>
      </c>
      <c r="AA171" s="39">
        <f t="shared" si="14"/>
        <v>61.064257028112451</v>
      </c>
      <c r="AB171" s="39">
        <f t="shared" si="15"/>
        <v>2019.9334028163289</v>
      </c>
      <c r="AC171">
        <f t="shared" si="18"/>
        <v>0.999705503245089</v>
      </c>
      <c r="AD171">
        <f t="shared" si="16"/>
        <v>0.9995817283538978</v>
      </c>
      <c r="AE171">
        <f t="shared" si="17"/>
        <v>34808</v>
      </c>
    </row>
    <row r="172" spans="1:31">
      <c r="A172" s="9">
        <v>171</v>
      </c>
      <c r="B172" s="30">
        <v>40551</v>
      </c>
      <c r="C172" s="9">
        <v>1</v>
      </c>
      <c r="D172" s="9">
        <v>0</v>
      </c>
      <c r="E172" s="9">
        <v>1</v>
      </c>
      <c r="F172" s="9">
        <v>9</v>
      </c>
      <c r="G172" s="9" t="b">
        <v>0</v>
      </c>
      <c r="H172" s="9">
        <v>6</v>
      </c>
      <c r="I172" s="9">
        <v>3</v>
      </c>
      <c r="J172" s="9">
        <v>0.16</v>
      </c>
      <c r="K172" s="9">
        <v>0.18179999999999999</v>
      </c>
      <c r="L172" s="9">
        <v>0.93</v>
      </c>
      <c r="M172" s="9">
        <v>0.1045</v>
      </c>
      <c r="N172" s="9">
        <v>0</v>
      </c>
      <c r="O172" s="9">
        <v>20</v>
      </c>
      <c r="P172" s="9">
        <v>20</v>
      </c>
      <c r="Q172" s="12" t="s">
        <v>78</v>
      </c>
      <c r="R172" s="13" t="s">
        <v>79</v>
      </c>
      <c r="S172" s="9" t="s">
        <v>80</v>
      </c>
      <c r="T172" s="12" t="s">
        <v>96</v>
      </c>
      <c r="U172" s="15" t="s">
        <v>89</v>
      </c>
      <c r="V172" s="12" t="s">
        <v>83</v>
      </c>
      <c r="W172" s="15" t="s">
        <v>84</v>
      </c>
      <c r="X172" s="9" t="s">
        <v>85</v>
      </c>
      <c r="Y172" s="12" t="s">
        <v>86</v>
      </c>
      <c r="Z172">
        <f t="shared" si="13"/>
        <v>556</v>
      </c>
      <c r="AA172" s="39">
        <f t="shared" si="14"/>
        <v>61.064257028112451</v>
      </c>
      <c r="AB172" s="39">
        <f t="shared" si="15"/>
        <v>2021.146003193353</v>
      </c>
      <c r="AC172">
        <f t="shared" si="18"/>
        <v>0.99970566274310513</v>
      </c>
      <c r="AD172">
        <f t="shared" si="16"/>
        <v>0.99958263334507313</v>
      </c>
      <c r="AE172">
        <f t="shared" si="17"/>
        <v>34808</v>
      </c>
    </row>
    <row r="173" spans="1:31">
      <c r="A173" s="10">
        <v>172</v>
      </c>
      <c r="B173" s="31">
        <v>40551</v>
      </c>
      <c r="C173" s="10">
        <v>1</v>
      </c>
      <c r="D173" s="10">
        <v>0</v>
      </c>
      <c r="E173" s="10">
        <v>1</v>
      </c>
      <c r="F173" s="10">
        <v>10</v>
      </c>
      <c r="G173" s="10" t="b">
        <v>0</v>
      </c>
      <c r="H173" s="10">
        <v>6</v>
      </c>
      <c r="I173" s="10">
        <v>2</v>
      </c>
      <c r="J173" s="10">
        <v>0.18</v>
      </c>
      <c r="K173" s="10">
        <v>0.19700000000000001</v>
      </c>
      <c r="L173" s="10">
        <v>0.8</v>
      </c>
      <c r="M173" s="10">
        <v>0.16420000000000001</v>
      </c>
      <c r="N173" s="10">
        <v>5</v>
      </c>
      <c r="O173" s="10">
        <v>56</v>
      </c>
      <c r="P173" s="10">
        <v>61</v>
      </c>
      <c r="Q173" s="12" t="s">
        <v>78</v>
      </c>
      <c r="R173" s="13" t="s">
        <v>79</v>
      </c>
      <c r="S173" s="10" t="s">
        <v>80</v>
      </c>
      <c r="T173" s="11" t="s">
        <v>88</v>
      </c>
      <c r="U173" s="13" t="s">
        <v>91</v>
      </c>
      <c r="V173" s="11" t="s">
        <v>87</v>
      </c>
      <c r="W173" s="15" t="s">
        <v>84</v>
      </c>
      <c r="X173" s="10" t="s">
        <v>85</v>
      </c>
      <c r="Y173" s="12" t="s">
        <v>86</v>
      </c>
      <c r="Z173">
        <f t="shared" si="13"/>
        <v>556</v>
      </c>
      <c r="AA173" s="39">
        <f t="shared" si="14"/>
        <v>61.064257028112451</v>
      </c>
      <c r="AB173" s="39">
        <f t="shared" si="15"/>
        <v>2022.361122583105</v>
      </c>
      <c r="AC173">
        <f t="shared" si="18"/>
        <v>0.99970577765184498</v>
      </c>
      <c r="AD173">
        <f t="shared" si="16"/>
        <v>0.9995834284944658</v>
      </c>
      <c r="AE173">
        <f t="shared" si="17"/>
        <v>34808</v>
      </c>
    </row>
    <row r="174" spans="1:31">
      <c r="A174" s="9">
        <v>173</v>
      </c>
      <c r="B174" s="30">
        <v>40551</v>
      </c>
      <c r="C174" s="9">
        <v>1</v>
      </c>
      <c r="D174" s="9">
        <v>0</v>
      </c>
      <c r="E174" s="9">
        <v>1</v>
      </c>
      <c r="F174" s="9">
        <v>11</v>
      </c>
      <c r="G174" s="9" t="b">
        <v>0</v>
      </c>
      <c r="H174" s="9">
        <v>6</v>
      </c>
      <c r="I174" s="9">
        <v>2</v>
      </c>
      <c r="J174" s="9">
        <v>0.2</v>
      </c>
      <c r="K174" s="9">
        <v>0.18179999999999999</v>
      </c>
      <c r="L174" s="9">
        <v>0.69</v>
      </c>
      <c r="M174" s="9">
        <v>0.3881</v>
      </c>
      <c r="N174" s="9">
        <v>2</v>
      </c>
      <c r="O174" s="9">
        <v>60</v>
      </c>
      <c r="P174" s="9">
        <v>62</v>
      </c>
      <c r="Q174" s="12" t="s">
        <v>78</v>
      </c>
      <c r="R174" s="13" t="s">
        <v>79</v>
      </c>
      <c r="S174" s="9" t="s">
        <v>80</v>
      </c>
      <c r="T174" s="11" t="s">
        <v>88</v>
      </c>
      <c r="U174" s="13" t="s">
        <v>91</v>
      </c>
      <c r="V174" s="11" t="s">
        <v>87</v>
      </c>
      <c r="W174" s="15" t="s">
        <v>84</v>
      </c>
      <c r="X174" s="9" t="s">
        <v>85</v>
      </c>
      <c r="Y174" s="12" t="s">
        <v>86</v>
      </c>
      <c r="Z174">
        <f t="shared" si="13"/>
        <v>556</v>
      </c>
      <c r="AA174" s="39">
        <f t="shared" si="14"/>
        <v>61.064257028112451</v>
      </c>
      <c r="AB174" s="39">
        <f t="shared" si="15"/>
        <v>2023.5806046670225</v>
      </c>
      <c r="AC174">
        <f t="shared" si="18"/>
        <v>0.99970578508819186</v>
      </c>
      <c r="AD174">
        <f t="shared" si="16"/>
        <v>0.99958348418438625</v>
      </c>
      <c r="AE174">
        <f t="shared" si="17"/>
        <v>34808</v>
      </c>
    </row>
    <row r="175" spans="1:31">
      <c r="A175" s="10">
        <v>174</v>
      </c>
      <c r="B175" s="31">
        <v>40551</v>
      </c>
      <c r="C175" s="10">
        <v>1</v>
      </c>
      <c r="D175" s="10">
        <v>0</v>
      </c>
      <c r="E175" s="10">
        <v>1</v>
      </c>
      <c r="F175" s="10">
        <v>12</v>
      </c>
      <c r="G175" s="10" t="b">
        <v>0</v>
      </c>
      <c r="H175" s="10">
        <v>6</v>
      </c>
      <c r="I175" s="10">
        <v>2</v>
      </c>
      <c r="J175" s="10">
        <v>0.2</v>
      </c>
      <c r="K175" s="10">
        <v>0.18179999999999999</v>
      </c>
      <c r="L175" s="10">
        <v>0.59</v>
      </c>
      <c r="M175" s="10">
        <v>0.35820000000000002</v>
      </c>
      <c r="N175" s="10">
        <v>8</v>
      </c>
      <c r="O175" s="10">
        <v>90</v>
      </c>
      <c r="P175" s="10">
        <v>98</v>
      </c>
      <c r="Q175" s="12" t="s">
        <v>78</v>
      </c>
      <c r="R175" s="13" t="s">
        <v>79</v>
      </c>
      <c r="S175" s="10" t="s">
        <v>80</v>
      </c>
      <c r="T175" s="11" t="s">
        <v>88</v>
      </c>
      <c r="U175" s="11" t="s">
        <v>92</v>
      </c>
      <c r="V175" s="13" t="s">
        <v>93</v>
      </c>
      <c r="W175" s="15" t="s">
        <v>84</v>
      </c>
      <c r="X175" s="10" t="s">
        <v>85</v>
      </c>
      <c r="Y175" s="12" t="s">
        <v>86</v>
      </c>
      <c r="Z175">
        <f t="shared" si="13"/>
        <v>556</v>
      </c>
      <c r="AA175" s="39">
        <f t="shared" si="14"/>
        <v>61.064257028112451</v>
      </c>
      <c r="AB175" s="39">
        <f t="shared" si="15"/>
        <v>2024.8023358695611</v>
      </c>
      <c r="AC175">
        <f t="shared" si="18"/>
        <v>0.99970578571938584</v>
      </c>
      <c r="AD175">
        <f t="shared" si="16"/>
        <v>0.99958349200759955</v>
      </c>
      <c r="AE175">
        <f t="shared" si="17"/>
        <v>34808</v>
      </c>
    </row>
    <row r="176" spans="1:31">
      <c r="A176" s="9">
        <v>175</v>
      </c>
      <c r="B176" s="30">
        <v>40551</v>
      </c>
      <c r="C176" s="9">
        <v>1</v>
      </c>
      <c r="D176" s="9">
        <v>0</v>
      </c>
      <c r="E176" s="9">
        <v>1</v>
      </c>
      <c r="F176" s="9">
        <v>13</v>
      </c>
      <c r="G176" s="9" t="b">
        <v>0</v>
      </c>
      <c r="H176" s="9">
        <v>6</v>
      </c>
      <c r="I176" s="9">
        <v>1</v>
      </c>
      <c r="J176" s="9">
        <v>0.2</v>
      </c>
      <c r="K176" s="9">
        <v>0.18179999999999999</v>
      </c>
      <c r="L176" s="9">
        <v>0.44</v>
      </c>
      <c r="M176" s="9">
        <v>0.32840000000000003</v>
      </c>
      <c r="N176" s="9">
        <v>7</v>
      </c>
      <c r="O176" s="9">
        <v>95</v>
      </c>
      <c r="P176" s="9">
        <v>102</v>
      </c>
      <c r="Q176" s="12" t="s">
        <v>78</v>
      </c>
      <c r="R176" s="13" t="s">
        <v>79</v>
      </c>
      <c r="S176" s="9" t="s">
        <v>80</v>
      </c>
      <c r="T176" s="13" t="s">
        <v>81</v>
      </c>
      <c r="U176" s="11" t="s">
        <v>92</v>
      </c>
      <c r="V176" s="13" t="s">
        <v>93</v>
      </c>
      <c r="W176" s="15" t="s">
        <v>84</v>
      </c>
      <c r="X176" s="9" t="s">
        <v>85</v>
      </c>
      <c r="Y176" s="12" t="s">
        <v>86</v>
      </c>
      <c r="Z176">
        <f t="shared" si="13"/>
        <v>556</v>
      </c>
      <c r="AA176" s="39">
        <f t="shared" si="14"/>
        <v>61.064257028112451</v>
      </c>
      <c r="AB176" s="39">
        <f t="shared" si="15"/>
        <v>2026.0273416980792</v>
      </c>
      <c r="AC176">
        <f t="shared" si="18"/>
        <v>0.99970600607778515</v>
      </c>
      <c r="AD176">
        <f t="shared" si="16"/>
        <v>0.99958371046743633</v>
      </c>
      <c r="AE176">
        <f t="shared" si="17"/>
        <v>34808</v>
      </c>
    </row>
    <row r="177" spans="1:31">
      <c r="A177" s="10">
        <v>176</v>
      </c>
      <c r="B177" s="31">
        <v>40551</v>
      </c>
      <c r="C177" s="10">
        <v>1</v>
      </c>
      <c r="D177" s="10">
        <v>0</v>
      </c>
      <c r="E177" s="10">
        <v>1</v>
      </c>
      <c r="F177" s="10">
        <v>14</v>
      </c>
      <c r="G177" s="10" t="b">
        <v>0</v>
      </c>
      <c r="H177" s="10">
        <v>6</v>
      </c>
      <c r="I177" s="10">
        <v>1</v>
      </c>
      <c r="J177" s="10">
        <v>0.2</v>
      </c>
      <c r="K177" s="10">
        <v>0.16669999999999999</v>
      </c>
      <c r="L177" s="10">
        <v>0.32</v>
      </c>
      <c r="M177" s="10">
        <v>0.49249999999999999</v>
      </c>
      <c r="N177" s="10">
        <v>12</v>
      </c>
      <c r="O177" s="10">
        <v>83</v>
      </c>
      <c r="P177" s="10">
        <v>95</v>
      </c>
      <c r="Q177" s="12" t="s">
        <v>78</v>
      </c>
      <c r="R177" s="13" t="s">
        <v>79</v>
      </c>
      <c r="S177" s="10" t="s">
        <v>80</v>
      </c>
      <c r="T177" s="13" t="s">
        <v>81</v>
      </c>
      <c r="U177" s="13" t="s">
        <v>94</v>
      </c>
      <c r="V177" s="13" t="s">
        <v>93</v>
      </c>
      <c r="W177" s="15" t="s">
        <v>84</v>
      </c>
      <c r="X177" s="10" t="s">
        <v>85</v>
      </c>
      <c r="Y177" s="12" t="s">
        <v>86</v>
      </c>
      <c r="Z177">
        <f t="shared" si="13"/>
        <v>556</v>
      </c>
      <c r="AA177" s="39">
        <f t="shared" si="14"/>
        <v>60.981891348088531</v>
      </c>
      <c r="AB177" s="39">
        <f t="shared" si="15"/>
        <v>2027.2546435558531</v>
      </c>
      <c r="AC177">
        <f t="shared" si="18"/>
        <v>0.99970627505631759</v>
      </c>
      <c r="AD177">
        <f t="shared" si="16"/>
        <v>0.99958419919622732</v>
      </c>
      <c r="AE177">
        <f t="shared" si="17"/>
        <v>34808</v>
      </c>
    </row>
    <row r="178" spans="1:31">
      <c r="A178" s="9">
        <v>177</v>
      </c>
      <c r="B178" s="30">
        <v>40551</v>
      </c>
      <c r="C178" s="9">
        <v>1</v>
      </c>
      <c r="D178" s="9">
        <v>0</v>
      </c>
      <c r="E178" s="9">
        <v>1</v>
      </c>
      <c r="F178" s="9">
        <v>15</v>
      </c>
      <c r="G178" s="9" t="b">
        <v>0</v>
      </c>
      <c r="H178" s="9">
        <v>6</v>
      </c>
      <c r="I178" s="9">
        <v>1</v>
      </c>
      <c r="J178" s="9">
        <v>0.2</v>
      </c>
      <c r="K178" s="9">
        <v>0.16669999999999999</v>
      </c>
      <c r="L178" s="9">
        <v>0.32</v>
      </c>
      <c r="M178" s="9">
        <v>0.44779999999999998</v>
      </c>
      <c r="N178" s="9">
        <v>5</v>
      </c>
      <c r="O178" s="9">
        <v>69</v>
      </c>
      <c r="P178" s="9">
        <v>74</v>
      </c>
      <c r="Q178" s="12" t="s">
        <v>78</v>
      </c>
      <c r="R178" s="13" t="s">
        <v>79</v>
      </c>
      <c r="S178" s="9" t="s">
        <v>80</v>
      </c>
      <c r="T178" s="13" t="s">
        <v>81</v>
      </c>
      <c r="U178" s="13" t="s">
        <v>94</v>
      </c>
      <c r="V178" s="13" t="s">
        <v>93</v>
      </c>
      <c r="W178" s="15" t="s">
        <v>84</v>
      </c>
      <c r="X178" s="9" t="s">
        <v>85</v>
      </c>
      <c r="Y178" s="12" t="s">
        <v>86</v>
      </c>
      <c r="Z178">
        <f t="shared" si="13"/>
        <v>556</v>
      </c>
      <c r="AA178" s="39">
        <f t="shared" si="14"/>
        <v>60.913306451612904</v>
      </c>
      <c r="AB178" s="39">
        <f t="shared" si="15"/>
        <v>2028.484049587091</v>
      </c>
      <c r="AC178">
        <f t="shared" si="18"/>
        <v>0.9997064635300732</v>
      </c>
      <c r="AD178">
        <f t="shared" si="16"/>
        <v>0.99958477800789958</v>
      </c>
      <c r="AE178">
        <f t="shared" si="17"/>
        <v>34808</v>
      </c>
    </row>
    <row r="179" spans="1:31">
      <c r="A179" s="10">
        <v>178</v>
      </c>
      <c r="B179" s="31">
        <v>40551</v>
      </c>
      <c r="C179" s="10">
        <v>1</v>
      </c>
      <c r="D179" s="10">
        <v>0</v>
      </c>
      <c r="E179" s="10">
        <v>1</v>
      </c>
      <c r="F179" s="10">
        <v>16</v>
      </c>
      <c r="G179" s="10" t="b">
        <v>0</v>
      </c>
      <c r="H179" s="10">
        <v>6</v>
      </c>
      <c r="I179" s="10">
        <v>1</v>
      </c>
      <c r="J179" s="10">
        <v>0.18</v>
      </c>
      <c r="K179" s="10">
        <v>0.13639999999999999</v>
      </c>
      <c r="L179" s="10">
        <v>0.28999999999999998</v>
      </c>
      <c r="M179" s="10">
        <v>0.44779999999999998</v>
      </c>
      <c r="N179" s="10">
        <v>8</v>
      </c>
      <c r="O179" s="10">
        <v>68</v>
      </c>
      <c r="P179" s="10">
        <v>76</v>
      </c>
      <c r="Q179" s="12" t="s">
        <v>78</v>
      </c>
      <c r="R179" s="13" t="s">
        <v>79</v>
      </c>
      <c r="S179" s="10" t="s">
        <v>80</v>
      </c>
      <c r="T179" s="13" t="s">
        <v>81</v>
      </c>
      <c r="U179" s="13" t="s">
        <v>94</v>
      </c>
      <c r="V179" s="13" t="s">
        <v>93</v>
      </c>
      <c r="W179" s="15" t="s">
        <v>84</v>
      </c>
      <c r="X179" s="10" t="s">
        <v>85</v>
      </c>
      <c r="Y179" s="12" t="s">
        <v>86</v>
      </c>
      <c r="Z179">
        <f t="shared" si="13"/>
        <v>556</v>
      </c>
      <c r="AA179" s="39">
        <f t="shared" si="14"/>
        <v>60.886868686868688</v>
      </c>
      <c r="AB179" s="39">
        <f t="shared" si="15"/>
        <v>2029.7151313065872</v>
      </c>
      <c r="AC179">
        <f t="shared" si="18"/>
        <v>0.9997064955107815</v>
      </c>
      <c r="AD179">
        <f t="shared" si="16"/>
        <v>0.99958503426790468</v>
      </c>
      <c r="AE179">
        <f t="shared" si="17"/>
        <v>34808</v>
      </c>
    </row>
    <row r="180" spans="1:31">
      <c r="A180" s="9">
        <v>179</v>
      </c>
      <c r="B180" s="30">
        <v>40551</v>
      </c>
      <c r="C180" s="9">
        <v>1</v>
      </c>
      <c r="D180" s="9">
        <v>0</v>
      </c>
      <c r="E180" s="9">
        <v>1</v>
      </c>
      <c r="F180" s="9">
        <v>17</v>
      </c>
      <c r="G180" s="9" t="b">
        <v>0</v>
      </c>
      <c r="H180" s="9">
        <v>6</v>
      </c>
      <c r="I180" s="9">
        <v>1</v>
      </c>
      <c r="J180" s="9">
        <v>0.16</v>
      </c>
      <c r="K180" s="9">
        <v>0.1212</v>
      </c>
      <c r="L180" s="9">
        <v>0.37</v>
      </c>
      <c r="M180" s="9">
        <v>0.55220000000000002</v>
      </c>
      <c r="N180" s="9">
        <v>5</v>
      </c>
      <c r="O180" s="9">
        <v>64</v>
      </c>
      <c r="P180" s="9">
        <v>69</v>
      </c>
      <c r="Q180" s="12" t="s">
        <v>78</v>
      </c>
      <c r="R180" s="13" t="s">
        <v>79</v>
      </c>
      <c r="S180" s="9" t="s">
        <v>80</v>
      </c>
      <c r="T180" s="13" t="s">
        <v>81</v>
      </c>
      <c r="U180" s="15" t="s">
        <v>95</v>
      </c>
      <c r="V180" s="13" t="s">
        <v>93</v>
      </c>
      <c r="W180" s="15" t="s">
        <v>84</v>
      </c>
      <c r="X180" s="9" t="s">
        <v>85</v>
      </c>
      <c r="Y180" s="12" t="s">
        <v>86</v>
      </c>
      <c r="Z180">
        <f t="shared" si="13"/>
        <v>556</v>
      </c>
      <c r="AA180" s="39">
        <f t="shared" si="14"/>
        <v>60.856275303643727</v>
      </c>
      <c r="AB180" s="39">
        <f t="shared" si="15"/>
        <v>2030.948522366697</v>
      </c>
      <c r="AC180">
        <f t="shared" si="18"/>
        <v>0.99970656974681671</v>
      </c>
      <c r="AD180">
        <f t="shared" si="16"/>
        <v>0.99958535654966152</v>
      </c>
      <c r="AE180">
        <f t="shared" si="17"/>
        <v>34808</v>
      </c>
    </row>
    <row r="181" spans="1:31">
      <c r="A181" s="10">
        <v>180</v>
      </c>
      <c r="B181" s="31">
        <v>40551</v>
      </c>
      <c r="C181" s="10">
        <v>1</v>
      </c>
      <c r="D181" s="10">
        <v>0</v>
      </c>
      <c r="E181" s="10">
        <v>1</v>
      </c>
      <c r="F181" s="10">
        <v>18</v>
      </c>
      <c r="G181" s="10" t="b">
        <v>0</v>
      </c>
      <c r="H181" s="10">
        <v>6</v>
      </c>
      <c r="I181" s="10">
        <v>1</v>
      </c>
      <c r="J181" s="10">
        <v>0.14000000000000001</v>
      </c>
      <c r="K181" s="10">
        <v>0.1212</v>
      </c>
      <c r="L181" s="10">
        <v>0.39</v>
      </c>
      <c r="M181" s="10">
        <v>0.29849999999999999</v>
      </c>
      <c r="N181" s="10">
        <v>3</v>
      </c>
      <c r="O181" s="10">
        <v>52</v>
      </c>
      <c r="P181" s="10">
        <v>55</v>
      </c>
      <c r="Q181" s="12" t="s">
        <v>78</v>
      </c>
      <c r="R181" s="13" t="s">
        <v>79</v>
      </c>
      <c r="S181" s="10" t="s">
        <v>80</v>
      </c>
      <c r="T181" s="13" t="s">
        <v>81</v>
      </c>
      <c r="U181" s="15" t="s">
        <v>95</v>
      </c>
      <c r="V181" s="11" t="s">
        <v>87</v>
      </c>
      <c r="W181" s="15" t="s">
        <v>84</v>
      </c>
      <c r="X181" s="10" t="s">
        <v>85</v>
      </c>
      <c r="Y181" s="12" t="s">
        <v>86</v>
      </c>
      <c r="Z181">
        <f t="shared" si="13"/>
        <v>556</v>
      </c>
      <c r="AA181" s="39">
        <f t="shared" si="14"/>
        <v>60.83975659229209</v>
      </c>
      <c r="AB181" s="39">
        <f t="shared" si="15"/>
        <v>2032.1839255430482</v>
      </c>
      <c r="AC181">
        <f t="shared" si="18"/>
        <v>0.99970663547859062</v>
      </c>
      <c r="AD181">
        <f t="shared" si="16"/>
        <v>0.99958550534174584</v>
      </c>
      <c r="AE181">
        <f t="shared" si="17"/>
        <v>34808</v>
      </c>
    </row>
    <row r="182" spans="1:31">
      <c r="A182" s="9">
        <v>181</v>
      </c>
      <c r="B182" s="30">
        <v>40551</v>
      </c>
      <c r="C182" s="9">
        <v>1</v>
      </c>
      <c r="D182" s="9">
        <v>0</v>
      </c>
      <c r="E182" s="9">
        <v>1</v>
      </c>
      <c r="F182" s="9">
        <v>19</v>
      </c>
      <c r="G182" s="9" t="b">
        <v>0</v>
      </c>
      <c r="H182" s="9">
        <v>6</v>
      </c>
      <c r="I182" s="9">
        <v>1</v>
      </c>
      <c r="J182" s="9">
        <v>0.14000000000000001</v>
      </c>
      <c r="K182" s="9">
        <v>0.1212</v>
      </c>
      <c r="L182" s="9">
        <v>0.36</v>
      </c>
      <c r="M182" s="9">
        <v>0.25369999999999998</v>
      </c>
      <c r="N182" s="9">
        <v>4</v>
      </c>
      <c r="O182" s="9">
        <v>26</v>
      </c>
      <c r="P182" s="9">
        <v>30</v>
      </c>
      <c r="Q182" s="12" t="s">
        <v>78</v>
      </c>
      <c r="R182" s="13" t="s">
        <v>79</v>
      </c>
      <c r="S182" s="9" t="s">
        <v>80</v>
      </c>
      <c r="T182" s="13" t="s">
        <v>81</v>
      </c>
      <c r="U182" s="15" t="s">
        <v>95</v>
      </c>
      <c r="V182" s="11" t="s">
        <v>87</v>
      </c>
      <c r="W182" s="15" t="s">
        <v>84</v>
      </c>
      <c r="X182" s="9" t="s">
        <v>85</v>
      </c>
      <c r="Y182" s="12" t="s">
        <v>86</v>
      </c>
      <c r="Z182">
        <f t="shared" si="13"/>
        <v>556</v>
      </c>
      <c r="AA182" s="39">
        <f t="shared" si="14"/>
        <v>60.851626016260163</v>
      </c>
      <c r="AB182" s="39">
        <f t="shared" si="15"/>
        <v>2033.4210185446059</v>
      </c>
      <c r="AC182">
        <f t="shared" si="18"/>
        <v>0.99970665933137703</v>
      </c>
      <c r="AD182">
        <f t="shared" si="16"/>
        <v>0.99958554164498681</v>
      </c>
      <c r="AE182">
        <f t="shared" si="17"/>
        <v>34808</v>
      </c>
    </row>
    <row r="183" spans="1:31">
      <c r="A183" s="10">
        <v>182</v>
      </c>
      <c r="B183" s="31">
        <v>40551</v>
      </c>
      <c r="C183" s="10">
        <v>1</v>
      </c>
      <c r="D183" s="10">
        <v>0</v>
      </c>
      <c r="E183" s="10">
        <v>1</v>
      </c>
      <c r="F183" s="10">
        <v>20</v>
      </c>
      <c r="G183" s="10" t="b">
        <v>0</v>
      </c>
      <c r="H183" s="10">
        <v>6</v>
      </c>
      <c r="I183" s="10">
        <v>1</v>
      </c>
      <c r="J183" s="10">
        <v>0.12</v>
      </c>
      <c r="K183" s="10">
        <v>0.1212</v>
      </c>
      <c r="L183" s="10">
        <v>0.36</v>
      </c>
      <c r="M183" s="10">
        <v>0.25369999999999998</v>
      </c>
      <c r="N183" s="10">
        <v>0</v>
      </c>
      <c r="O183" s="10">
        <v>28</v>
      </c>
      <c r="P183" s="10">
        <v>28</v>
      </c>
      <c r="Q183" s="12" t="s">
        <v>78</v>
      </c>
      <c r="R183" s="13" t="s">
        <v>79</v>
      </c>
      <c r="S183" s="10" t="s">
        <v>80</v>
      </c>
      <c r="T183" s="13" t="s">
        <v>81</v>
      </c>
      <c r="U183" s="16" t="s">
        <v>97</v>
      </c>
      <c r="V183" s="12" t="s">
        <v>83</v>
      </c>
      <c r="W183" s="15" t="s">
        <v>84</v>
      </c>
      <c r="X183" s="10" t="s">
        <v>85</v>
      </c>
      <c r="Y183" s="12" t="s">
        <v>86</v>
      </c>
      <c r="Z183">
        <f t="shared" si="13"/>
        <v>556</v>
      </c>
      <c r="AA183" s="39">
        <f t="shared" si="14"/>
        <v>60.914460285132385</v>
      </c>
      <c r="AB183" s="39">
        <f t="shared" si="15"/>
        <v>2034.659065496505</v>
      </c>
      <c r="AC183">
        <f t="shared" si="18"/>
        <v>0.99970668026976295</v>
      </c>
      <c r="AD183">
        <f t="shared" si="16"/>
        <v>0.99958554602709837</v>
      </c>
      <c r="AE183">
        <f t="shared" si="17"/>
        <v>34808</v>
      </c>
    </row>
    <row r="184" spans="1:31">
      <c r="A184" s="9">
        <v>183</v>
      </c>
      <c r="B184" s="30">
        <v>40551</v>
      </c>
      <c r="C184" s="9">
        <v>1</v>
      </c>
      <c r="D184" s="9">
        <v>0</v>
      </c>
      <c r="E184" s="9">
        <v>1</v>
      </c>
      <c r="F184" s="9">
        <v>21</v>
      </c>
      <c r="G184" s="9" t="b">
        <v>0</v>
      </c>
      <c r="H184" s="9">
        <v>6</v>
      </c>
      <c r="I184" s="9">
        <v>1</v>
      </c>
      <c r="J184" s="9">
        <v>0.12</v>
      </c>
      <c r="K184" s="9">
        <v>0.1061</v>
      </c>
      <c r="L184" s="9">
        <v>0.39</v>
      </c>
      <c r="M184" s="9">
        <v>0.35820000000000002</v>
      </c>
      <c r="N184" s="9">
        <v>2</v>
      </c>
      <c r="O184" s="9">
        <v>35</v>
      </c>
      <c r="P184" s="9">
        <v>37</v>
      </c>
      <c r="Q184" s="12" t="s">
        <v>78</v>
      </c>
      <c r="R184" s="13" t="s">
        <v>79</v>
      </c>
      <c r="S184" s="9" t="s">
        <v>80</v>
      </c>
      <c r="T184" s="13" t="s">
        <v>81</v>
      </c>
      <c r="U184" s="16" t="s">
        <v>97</v>
      </c>
      <c r="V184" s="11" t="s">
        <v>87</v>
      </c>
      <c r="W184" s="15" t="s">
        <v>84</v>
      </c>
      <c r="X184" s="9" t="s">
        <v>85</v>
      </c>
      <c r="Y184" s="12" t="s">
        <v>86</v>
      </c>
      <c r="Z184">
        <f t="shared" si="13"/>
        <v>556</v>
      </c>
      <c r="AA184" s="39">
        <f t="shared" si="14"/>
        <v>60.981632653061226</v>
      </c>
      <c r="AB184" s="39">
        <f t="shared" si="15"/>
        <v>2035.8992554624986</v>
      </c>
      <c r="AC184">
        <f t="shared" si="18"/>
        <v>0.99970669004571056</v>
      </c>
      <c r="AD184">
        <f t="shared" si="16"/>
        <v>0.99958555460266363</v>
      </c>
      <c r="AE184">
        <f t="shared" si="17"/>
        <v>34808</v>
      </c>
    </row>
    <row r="185" spans="1:31">
      <c r="A185" s="10">
        <v>184</v>
      </c>
      <c r="B185" s="31">
        <v>40551</v>
      </c>
      <c r="C185" s="10">
        <v>1</v>
      </c>
      <c r="D185" s="10">
        <v>0</v>
      </c>
      <c r="E185" s="10">
        <v>1</v>
      </c>
      <c r="F185" s="10">
        <v>22</v>
      </c>
      <c r="G185" s="10" t="b">
        <v>0</v>
      </c>
      <c r="H185" s="10">
        <v>6</v>
      </c>
      <c r="I185" s="10">
        <v>1</v>
      </c>
      <c r="J185" s="10">
        <v>0.12</v>
      </c>
      <c r="K185" s="10">
        <v>0.1061</v>
      </c>
      <c r="L185" s="10">
        <v>0.36</v>
      </c>
      <c r="M185" s="10">
        <v>0.3881</v>
      </c>
      <c r="N185" s="10">
        <v>1</v>
      </c>
      <c r="O185" s="10">
        <v>33</v>
      </c>
      <c r="P185" s="10">
        <v>34</v>
      </c>
      <c r="Q185" s="12" t="s">
        <v>78</v>
      </c>
      <c r="R185" s="13" t="s">
        <v>79</v>
      </c>
      <c r="S185" s="10" t="s">
        <v>80</v>
      </c>
      <c r="T185" s="13" t="s">
        <v>81</v>
      </c>
      <c r="U185" s="16" t="s">
        <v>97</v>
      </c>
      <c r="V185" s="11" t="s">
        <v>87</v>
      </c>
      <c r="W185" s="15" t="s">
        <v>84</v>
      </c>
      <c r="X185" s="10" t="s">
        <v>85</v>
      </c>
      <c r="Y185" s="12" t="s">
        <v>86</v>
      </c>
      <c r="Z185">
        <f t="shared" si="13"/>
        <v>556</v>
      </c>
      <c r="AA185" s="39">
        <f t="shared" si="14"/>
        <v>61.030674846625764</v>
      </c>
      <c r="AB185" s="39">
        <f t="shared" si="15"/>
        <v>2037.1422429404154</v>
      </c>
      <c r="AC185">
        <f t="shared" si="18"/>
        <v>0.99970668933457796</v>
      </c>
      <c r="AD185">
        <f t="shared" si="16"/>
        <v>0.99958555424664342</v>
      </c>
      <c r="AE185">
        <f t="shared" si="17"/>
        <v>34808</v>
      </c>
    </row>
    <row r="186" spans="1:31">
      <c r="A186" s="9">
        <v>185</v>
      </c>
      <c r="B186" s="30">
        <v>40551</v>
      </c>
      <c r="C186" s="9">
        <v>1</v>
      </c>
      <c r="D186" s="9">
        <v>0</v>
      </c>
      <c r="E186" s="9">
        <v>1</v>
      </c>
      <c r="F186" s="9">
        <v>23</v>
      </c>
      <c r="G186" s="9" t="b">
        <v>0</v>
      </c>
      <c r="H186" s="9">
        <v>6</v>
      </c>
      <c r="I186" s="9">
        <v>1</v>
      </c>
      <c r="J186" s="9">
        <v>0.1</v>
      </c>
      <c r="K186" s="9">
        <v>6.0600000000000001E-2</v>
      </c>
      <c r="L186" s="9">
        <v>0.39</v>
      </c>
      <c r="M186" s="9">
        <v>0.44779999999999998</v>
      </c>
      <c r="N186" s="9">
        <v>0</v>
      </c>
      <c r="O186" s="9">
        <v>22</v>
      </c>
      <c r="P186" s="9">
        <v>22</v>
      </c>
      <c r="Q186" s="12" t="s">
        <v>78</v>
      </c>
      <c r="R186" s="13" t="s">
        <v>79</v>
      </c>
      <c r="S186" s="9" t="s">
        <v>80</v>
      </c>
      <c r="T186" s="13" t="s">
        <v>81</v>
      </c>
      <c r="U186" s="16" t="s">
        <v>97</v>
      </c>
      <c r="V186" s="12" t="s">
        <v>83</v>
      </c>
      <c r="W186" s="15" t="s">
        <v>84</v>
      </c>
      <c r="X186" s="9" t="s">
        <v>85</v>
      </c>
      <c r="Y186" s="12" t="s">
        <v>86</v>
      </c>
      <c r="Z186">
        <f t="shared" si="13"/>
        <v>556</v>
      </c>
      <c r="AA186" s="39">
        <f t="shared" si="14"/>
        <v>61.08606557377049</v>
      </c>
      <c r="AB186" s="39">
        <f t="shared" si="15"/>
        <v>2038.3873393134679</v>
      </c>
      <c r="AC186">
        <f t="shared" si="18"/>
        <v>0.99970668946787</v>
      </c>
      <c r="AD186">
        <f t="shared" si="16"/>
        <v>0.99958555381881231</v>
      </c>
      <c r="AE186">
        <f t="shared" si="17"/>
        <v>34808</v>
      </c>
    </row>
    <row r="187" spans="1:31">
      <c r="A187" s="10">
        <v>186</v>
      </c>
      <c r="B187" s="31">
        <v>40552</v>
      </c>
      <c r="C187" s="10">
        <v>1</v>
      </c>
      <c r="D187" s="10">
        <v>0</v>
      </c>
      <c r="E187" s="10">
        <v>1</v>
      </c>
      <c r="F187" s="10">
        <v>0</v>
      </c>
      <c r="G187" s="10" t="b">
        <v>0</v>
      </c>
      <c r="H187" s="10">
        <v>0</v>
      </c>
      <c r="I187" s="10">
        <v>1</v>
      </c>
      <c r="J187" s="10">
        <v>0.1</v>
      </c>
      <c r="K187" s="10">
        <v>7.5800000000000006E-2</v>
      </c>
      <c r="L187" s="10">
        <v>0.42</v>
      </c>
      <c r="M187" s="10">
        <v>0.3881</v>
      </c>
      <c r="N187" s="10">
        <v>1</v>
      </c>
      <c r="O187" s="10">
        <v>24</v>
      </c>
      <c r="P187" s="10">
        <v>25</v>
      </c>
      <c r="Q187" s="12" t="s">
        <v>78</v>
      </c>
      <c r="R187" s="13" t="s">
        <v>79</v>
      </c>
      <c r="S187" s="10" t="s">
        <v>80</v>
      </c>
      <c r="T187" s="13" t="s">
        <v>81</v>
      </c>
      <c r="U187" s="14" t="s">
        <v>82</v>
      </c>
      <c r="V187" s="12" t="s">
        <v>83</v>
      </c>
      <c r="W187" s="15" t="s">
        <v>84</v>
      </c>
      <c r="X187" s="10" t="s">
        <v>85</v>
      </c>
      <c r="Y187" s="12" t="s">
        <v>86</v>
      </c>
      <c r="Z187">
        <f t="shared" si="13"/>
        <v>556</v>
      </c>
      <c r="AA187" s="39">
        <f t="shared" si="14"/>
        <v>61.166324435318273</v>
      </c>
      <c r="AB187" s="39">
        <f t="shared" si="15"/>
        <v>2039.6339838183196</v>
      </c>
      <c r="AC187">
        <f t="shared" si="18"/>
        <v>0.99970670002535522</v>
      </c>
      <c r="AD187">
        <f t="shared" si="16"/>
        <v>0.99958559598942753</v>
      </c>
      <c r="AE187">
        <f t="shared" si="17"/>
        <v>34808</v>
      </c>
    </row>
    <row r="188" spans="1:31">
      <c r="A188" s="9">
        <v>187</v>
      </c>
      <c r="B188" s="30">
        <v>40552</v>
      </c>
      <c r="C188" s="9">
        <v>1</v>
      </c>
      <c r="D188" s="9">
        <v>0</v>
      </c>
      <c r="E188" s="9">
        <v>1</v>
      </c>
      <c r="F188" s="9">
        <v>1</v>
      </c>
      <c r="G188" s="9" t="b">
        <v>0</v>
      </c>
      <c r="H188" s="9">
        <v>0</v>
      </c>
      <c r="I188" s="9">
        <v>1</v>
      </c>
      <c r="J188" s="9">
        <v>0.1</v>
      </c>
      <c r="K188" s="9">
        <v>6.0600000000000001E-2</v>
      </c>
      <c r="L188" s="9">
        <v>0.42</v>
      </c>
      <c r="M188" s="9">
        <v>0.4627</v>
      </c>
      <c r="N188" s="9">
        <v>0</v>
      </c>
      <c r="O188" s="9">
        <v>12</v>
      </c>
      <c r="P188" s="9">
        <v>12</v>
      </c>
      <c r="Q188" s="12" t="s">
        <v>78</v>
      </c>
      <c r="R188" s="13" t="s">
        <v>79</v>
      </c>
      <c r="S188" s="9" t="s">
        <v>80</v>
      </c>
      <c r="T188" s="13" t="s">
        <v>81</v>
      </c>
      <c r="U188" s="14" t="s">
        <v>82</v>
      </c>
      <c r="V188" s="12" t="s">
        <v>83</v>
      </c>
      <c r="W188" s="15" t="s">
        <v>84</v>
      </c>
      <c r="X188" s="9" t="s">
        <v>85</v>
      </c>
      <c r="Y188" s="12" t="s">
        <v>86</v>
      </c>
      <c r="Z188">
        <f t="shared" si="13"/>
        <v>556</v>
      </c>
      <c r="AA188" s="39">
        <f t="shared" si="14"/>
        <v>61.24074074074074</v>
      </c>
      <c r="AB188" s="39">
        <f t="shared" si="15"/>
        <v>2040.8831112965215</v>
      </c>
      <c r="AC188">
        <f t="shared" si="18"/>
        <v>0.99970670414090967</v>
      </c>
      <c r="AD188">
        <f t="shared" si="16"/>
        <v>0.99958563835482617</v>
      </c>
      <c r="AE188">
        <f t="shared" si="17"/>
        <v>34808</v>
      </c>
    </row>
    <row r="189" spans="1:31">
      <c r="A189" s="10">
        <v>188</v>
      </c>
      <c r="B189" s="31">
        <v>40552</v>
      </c>
      <c r="C189" s="10">
        <v>1</v>
      </c>
      <c r="D189" s="10">
        <v>0</v>
      </c>
      <c r="E189" s="10">
        <v>1</v>
      </c>
      <c r="F189" s="10">
        <v>2</v>
      </c>
      <c r="G189" s="10" t="b">
        <v>0</v>
      </c>
      <c r="H189" s="10">
        <v>0</v>
      </c>
      <c r="I189" s="10">
        <v>1</v>
      </c>
      <c r="J189" s="10">
        <v>0.1</v>
      </c>
      <c r="K189" s="10">
        <v>6.0600000000000001E-2</v>
      </c>
      <c r="L189" s="10">
        <v>0.46</v>
      </c>
      <c r="M189" s="10">
        <v>0.4627</v>
      </c>
      <c r="N189" s="10">
        <v>0</v>
      </c>
      <c r="O189" s="10">
        <v>11</v>
      </c>
      <c r="P189" s="10">
        <v>11</v>
      </c>
      <c r="Q189" s="12" t="s">
        <v>78</v>
      </c>
      <c r="R189" s="13" t="s">
        <v>79</v>
      </c>
      <c r="S189" s="10" t="s">
        <v>80</v>
      </c>
      <c r="T189" s="13" t="s">
        <v>81</v>
      </c>
      <c r="U189" s="14" t="s">
        <v>82</v>
      </c>
      <c r="V189" s="12" t="s">
        <v>83</v>
      </c>
      <c r="W189" s="15" t="s">
        <v>84</v>
      </c>
      <c r="X189" s="10" t="s">
        <v>85</v>
      </c>
      <c r="Y189" s="12" t="s">
        <v>86</v>
      </c>
      <c r="Z189">
        <f t="shared" si="13"/>
        <v>556</v>
      </c>
      <c r="AA189" s="39">
        <f t="shared" si="14"/>
        <v>61.342268041237112</v>
      </c>
      <c r="AB189" s="39">
        <f t="shared" si="15"/>
        <v>2042.1336599349177</v>
      </c>
      <c r="AC189">
        <f t="shared" si="18"/>
        <v>0.99970675551149835</v>
      </c>
      <c r="AD189">
        <f t="shared" si="16"/>
        <v>0.99958577158743689</v>
      </c>
      <c r="AE189">
        <f t="shared" si="17"/>
        <v>34808</v>
      </c>
    </row>
    <row r="190" spans="1:31">
      <c r="A190" s="9">
        <v>189</v>
      </c>
      <c r="B190" s="30">
        <v>40552</v>
      </c>
      <c r="C190" s="9">
        <v>1</v>
      </c>
      <c r="D190" s="9">
        <v>0</v>
      </c>
      <c r="E190" s="9">
        <v>1</v>
      </c>
      <c r="F190" s="9">
        <v>3</v>
      </c>
      <c r="G190" s="9" t="b">
        <v>0</v>
      </c>
      <c r="H190" s="9">
        <v>0</v>
      </c>
      <c r="I190" s="9">
        <v>1</v>
      </c>
      <c r="J190" s="9">
        <v>0.1</v>
      </c>
      <c r="K190" s="9">
        <v>7.5800000000000006E-2</v>
      </c>
      <c r="L190" s="9">
        <v>0.46</v>
      </c>
      <c r="M190" s="9">
        <v>0.41789999999999999</v>
      </c>
      <c r="N190" s="9">
        <v>0</v>
      </c>
      <c r="O190" s="9">
        <v>4</v>
      </c>
      <c r="P190" s="9">
        <v>4</v>
      </c>
      <c r="Q190" s="12" t="s">
        <v>78</v>
      </c>
      <c r="R190" s="13" t="s">
        <v>79</v>
      </c>
      <c r="S190" s="9" t="s">
        <v>80</v>
      </c>
      <c r="T190" s="13" t="s">
        <v>81</v>
      </c>
      <c r="U190" s="14" t="s">
        <v>82</v>
      </c>
      <c r="V190" s="12" t="s">
        <v>83</v>
      </c>
      <c r="W190" s="15" t="s">
        <v>84</v>
      </c>
      <c r="X190" s="9" t="s">
        <v>85</v>
      </c>
      <c r="Y190" s="12" t="s">
        <v>86</v>
      </c>
      <c r="Z190">
        <f t="shared" si="13"/>
        <v>556</v>
      </c>
      <c r="AA190" s="39">
        <f t="shared" si="14"/>
        <v>61.446280991735534</v>
      </c>
      <c r="AB190" s="39">
        <f t="shared" si="15"/>
        <v>2043.3864384008305</v>
      </c>
      <c r="AC190">
        <f t="shared" si="18"/>
        <v>0.9997068127168417</v>
      </c>
      <c r="AD190">
        <f t="shared" si="16"/>
        <v>0.99958595354950031</v>
      </c>
      <c r="AE190">
        <f t="shared" si="17"/>
        <v>34808</v>
      </c>
    </row>
    <row r="191" spans="1:31">
      <c r="A191" s="10">
        <v>190</v>
      </c>
      <c r="B191" s="31">
        <v>40552</v>
      </c>
      <c r="C191" s="10">
        <v>1</v>
      </c>
      <c r="D191" s="10">
        <v>0</v>
      </c>
      <c r="E191" s="10">
        <v>1</v>
      </c>
      <c r="F191" s="10">
        <v>4</v>
      </c>
      <c r="G191" s="10" t="b">
        <v>0</v>
      </c>
      <c r="H191" s="10">
        <v>0</v>
      </c>
      <c r="I191" s="10">
        <v>1</v>
      </c>
      <c r="J191" s="10">
        <v>0.08</v>
      </c>
      <c r="K191" s="10">
        <v>9.0899999999999995E-2</v>
      </c>
      <c r="L191" s="10">
        <v>0.53</v>
      </c>
      <c r="M191" s="10">
        <v>0.19400000000000001</v>
      </c>
      <c r="N191" s="10">
        <v>0</v>
      </c>
      <c r="O191" s="10">
        <v>1</v>
      </c>
      <c r="P191" s="10">
        <v>1</v>
      </c>
      <c r="Q191" s="12" t="s">
        <v>78</v>
      </c>
      <c r="R191" s="13" t="s">
        <v>79</v>
      </c>
      <c r="S191" s="10" t="s">
        <v>80</v>
      </c>
      <c r="T191" s="13" t="s">
        <v>81</v>
      </c>
      <c r="U191" s="14" t="s">
        <v>82</v>
      </c>
      <c r="V191" s="12" t="s">
        <v>83</v>
      </c>
      <c r="W191" s="15" t="s">
        <v>84</v>
      </c>
      <c r="X191" s="10" t="s">
        <v>85</v>
      </c>
      <c r="Y191" s="12" t="s">
        <v>86</v>
      </c>
      <c r="Z191">
        <f t="shared" si="13"/>
        <v>556</v>
      </c>
      <c r="AA191" s="39">
        <f t="shared" si="14"/>
        <v>61.565217391304351</v>
      </c>
      <c r="AB191" s="39">
        <f t="shared" si="15"/>
        <v>2044.6410049331739</v>
      </c>
      <c r="AC191">
        <f t="shared" si="18"/>
        <v>0.99970691833457515</v>
      </c>
      <c r="AD191">
        <f t="shared" si="16"/>
        <v>0.99958621600974351</v>
      </c>
      <c r="AE191">
        <f t="shared" si="17"/>
        <v>34808</v>
      </c>
    </row>
    <row r="192" spans="1:31">
      <c r="A192" s="9">
        <v>191</v>
      </c>
      <c r="B192" s="30">
        <v>40552</v>
      </c>
      <c r="C192" s="9">
        <v>1</v>
      </c>
      <c r="D192" s="9">
        <v>0</v>
      </c>
      <c r="E192" s="9">
        <v>1</v>
      </c>
      <c r="F192" s="9">
        <v>5</v>
      </c>
      <c r="G192" s="9" t="b">
        <v>0</v>
      </c>
      <c r="H192" s="9">
        <v>0</v>
      </c>
      <c r="I192" s="9">
        <v>1</v>
      </c>
      <c r="J192" s="9">
        <v>0.08</v>
      </c>
      <c r="K192" s="9">
        <v>9.0899999999999995E-2</v>
      </c>
      <c r="L192" s="9">
        <v>0.53</v>
      </c>
      <c r="M192" s="9">
        <v>0.19400000000000001</v>
      </c>
      <c r="N192" s="9">
        <v>0</v>
      </c>
      <c r="O192" s="9">
        <v>1</v>
      </c>
      <c r="P192" s="9">
        <v>1</v>
      </c>
      <c r="Q192" s="12" t="s">
        <v>78</v>
      </c>
      <c r="R192" s="13" t="s">
        <v>79</v>
      </c>
      <c r="S192" s="9" t="s">
        <v>80</v>
      </c>
      <c r="T192" s="13" t="s">
        <v>81</v>
      </c>
      <c r="U192" s="15" t="s">
        <v>89</v>
      </c>
      <c r="V192" s="12" t="s">
        <v>83</v>
      </c>
      <c r="W192" s="15" t="s">
        <v>84</v>
      </c>
      <c r="X192" s="9" t="s">
        <v>85</v>
      </c>
      <c r="Y192" s="12" t="s">
        <v>86</v>
      </c>
      <c r="Z192">
        <f t="shared" si="13"/>
        <v>556</v>
      </c>
      <c r="AA192" s="39">
        <f t="shared" si="14"/>
        <v>61.690871369294605</v>
      </c>
      <c r="AB192" s="39">
        <f t="shared" si="15"/>
        <v>2045.8976525612416</v>
      </c>
      <c r="AC192">
        <f t="shared" si="18"/>
        <v>0.99970700399616719</v>
      </c>
      <c r="AD192">
        <f t="shared" si="16"/>
        <v>0.99958661903655421</v>
      </c>
      <c r="AE192">
        <f t="shared" si="17"/>
        <v>34808</v>
      </c>
    </row>
    <row r="193" spans="1:31">
      <c r="A193" s="10">
        <v>192</v>
      </c>
      <c r="B193" s="31">
        <v>40552</v>
      </c>
      <c r="C193" s="10">
        <v>1</v>
      </c>
      <c r="D193" s="10">
        <v>0</v>
      </c>
      <c r="E193" s="10">
        <v>1</v>
      </c>
      <c r="F193" s="10">
        <v>6</v>
      </c>
      <c r="G193" s="10" t="b">
        <v>0</v>
      </c>
      <c r="H193" s="10">
        <v>0</v>
      </c>
      <c r="I193" s="10">
        <v>1</v>
      </c>
      <c r="J193" s="10">
        <v>0.1</v>
      </c>
      <c r="K193" s="10">
        <v>9.0899999999999995E-2</v>
      </c>
      <c r="L193" s="10">
        <v>0.49</v>
      </c>
      <c r="M193" s="10">
        <v>0.28360000000000002</v>
      </c>
      <c r="N193" s="10">
        <v>0</v>
      </c>
      <c r="O193" s="10">
        <v>1</v>
      </c>
      <c r="P193" s="10">
        <v>1</v>
      </c>
      <c r="Q193" s="12" t="s">
        <v>78</v>
      </c>
      <c r="R193" s="13" t="s">
        <v>79</v>
      </c>
      <c r="S193" s="10" t="s">
        <v>80</v>
      </c>
      <c r="T193" s="13" t="s">
        <v>81</v>
      </c>
      <c r="U193" s="15" t="s">
        <v>89</v>
      </c>
      <c r="V193" s="12" t="s">
        <v>83</v>
      </c>
      <c r="W193" s="15" t="s">
        <v>84</v>
      </c>
      <c r="X193" s="10" t="s">
        <v>85</v>
      </c>
      <c r="Y193" s="12" t="s">
        <v>86</v>
      </c>
      <c r="Z193">
        <f t="shared" si="13"/>
        <v>556</v>
      </c>
      <c r="AA193" s="39">
        <f t="shared" si="14"/>
        <v>61.817047817047815</v>
      </c>
      <c r="AB193" s="39">
        <f t="shared" si="15"/>
        <v>2047.1566200334669</v>
      </c>
      <c r="AC193">
        <f t="shared" si="18"/>
        <v>0.99970708987069179</v>
      </c>
      <c r="AD193">
        <f t="shared" si="16"/>
        <v>0.99958702306379321</v>
      </c>
      <c r="AE193">
        <f t="shared" si="17"/>
        <v>34808</v>
      </c>
    </row>
    <row r="194" spans="1:31">
      <c r="A194" s="9">
        <v>193</v>
      </c>
      <c r="B194" s="30">
        <v>40552</v>
      </c>
      <c r="C194" s="9">
        <v>1</v>
      </c>
      <c r="D194" s="9">
        <v>0</v>
      </c>
      <c r="E194" s="9">
        <v>1</v>
      </c>
      <c r="F194" s="9">
        <v>7</v>
      </c>
      <c r="G194" s="9" t="b">
        <v>0</v>
      </c>
      <c r="H194" s="9">
        <v>0</v>
      </c>
      <c r="I194" s="9">
        <v>1</v>
      </c>
      <c r="J194" s="9">
        <v>0.08</v>
      </c>
      <c r="K194" s="9">
        <v>9.0899999999999995E-2</v>
      </c>
      <c r="L194" s="9">
        <v>0.53</v>
      </c>
      <c r="M194" s="9">
        <v>0.19400000000000001</v>
      </c>
      <c r="N194" s="9">
        <v>1</v>
      </c>
      <c r="O194" s="9">
        <v>5</v>
      </c>
      <c r="P194" s="9">
        <v>6</v>
      </c>
      <c r="Q194" s="12" t="s">
        <v>78</v>
      </c>
      <c r="R194" s="13" t="s">
        <v>79</v>
      </c>
      <c r="S194" s="9" t="s">
        <v>80</v>
      </c>
      <c r="T194" s="13" t="s">
        <v>81</v>
      </c>
      <c r="U194" s="15" t="s">
        <v>89</v>
      </c>
      <c r="V194" s="12" t="s">
        <v>83</v>
      </c>
      <c r="W194" s="15" t="s">
        <v>84</v>
      </c>
      <c r="X194" s="9" t="s">
        <v>85</v>
      </c>
      <c r="Y194" s="12" t="s">
        <v>86</v>
      </c>
      <c r="Z194">
        <f t="shared" ref="Z194:Z257" si="19">COUNTIF(Q194:Q1193,"Weekday")</f>
        <v>556</v>
      </c>
      <c r="AA194" s="39">
        <f t="shared" ref="AA194:AA257" si="20">AVERAGEIF(T194:T1193,"Clear",P194:P1193)</f>
        <v>61.943750000000001</v>
      </c>
      <c r="AB194" s="39">
        <f t="shared" ref="AB194:AB257" si="21">STDEV(P194:P1193)</f>
        <v>2048.4179144961463</v>
      </c>
      <c r="AC194">
        <f t="shared" si="18"/>
        <v>0.99970722142362933</v>
      </c>
      <c r="AD194">
        <f t="shared" ref="AD194:AD257" si="22">CORREL(L194:L1193,P194:P1193)</f>
        <v>0.99958736837435691</v>
      </c>
      <c r="AE194">
        <f t="shared" ref="AE194:AE257" si="23">SUMIF(Q194:Q1193,"Weekday",P194:P1193)</f>
        <v>34808</v>
      </c>
    </row>
    <row r="195" spans="1:31">
      <c r="A195" s="10">
        <v>194</v>
      </c>
      <c r="B195" s="31">
        <v>40552</v>
      </c>
      <c r="C195" s="10">
        <v>1</v>
      </c>
      <c r="D195" s="10">
        <v>0</v>
      </c>
      <c r="E195" s="10">
        <v>1</v>
      </c>
      <c r="F195" s="10">
        <v>8</v>
      </c>
      <c r="G195" s="10" t="b">
        <v>0</v>
      </c>
      <c r="H195" s="10">
        <v>0</v>
      </c>
      <c r="I195" s="10">
        <v>1</v>
      </c>
      <c r="J195" s="10">
        <v>0.1</v>
      </c>
      <c r="K195" s="10">
        <v>9.0899999999999995E-2</v>
      </c>
      <c r="L195" s="10">
        <v>0.49</v>
      </c>
      <c r="M195" s="10">
        <v>0.28360000000000002</v>
      </c>
      <c r="N195" s="10">
        <v>0</v>
      </c>
      <c r="O195" s="10">
        <v>10</v>
      </c>
      <c r="P195" s="10">
        <v>10</v>
      </c>
      <c r="Q195" s="12" t="s">
        <v>78</v>
      </c>
      <c r="R195" s="13" t="s">
        <v>79</v>
      </c>
      <c r="S195" s="10" t="s">
        <v>80</v>
      </c>
      <c r="T195" s="13" t="s">
        <v>81</v>
      </c>
      <c r="U195" s="15" t="s">
        <v>89</v>
      </c>
      <c r="V195" s="12" t="s">
        <v>83</v>
      </c>
      <c r="W195" s="15" t="s">
        <v>84</v>
      </c>
      <c r="X195" s="10" t="s">
        <v>85</v>
      </c>
      <c r="Y195" s="12" t="s">
        <v>86</v>
      </c>
      <c r="Z195">
        <f t="shared" si="19"/>
        <v>556</v>
      </c>
      <c r="AA195" s="39">
        <f t="shared" si="20"/>
        <v>62.060542797494783</v>
      </c>
      <c r="AB195" s="39">
        <f t="shared" si="21"/>
        <v>2049.6819297666789</v>
      </c>
      <c r="AC195">
        <f t="shared" si="18"/>
        <v>0.99970727556438954</v>
      </c>
      <c r="AD195">
        <f t="shared" si="22"/>
        <v>0.9995877005485323</v>
      </c>
      <c r="AE195">
        <f t="shared" si="23"/>
        <v>34808</v>
      </c>
    </row>
    <row r="196" spans="1:31">
      <c r="A196" s="9">
        <v>195</v>
      </c>
      <c r="B196" s="30">
        <v>40552</v>
      </c>
      <c r="C196" s="9">
        <v>1</v>
      </c>
      <c r="D196" s="9">
        <v>0</v>
      </c>
      <c r="E196" s="9">
        <v>1</v>
      </c>
      <c r="F196" s="9">
        <v>9</v>
      </c>
      <c r="G196" s="9" t="b">
        <v>0</v>
      </c>
      <c r="H196" s="9">
        <v>0</v>
      </c>
      <c r="I196" s="9">
        <v>1</v>
      </c>
      <c r="J196" s="9">
        <v>0.12</v>
      </c>
      <c r="K196" s="9">
        <v>7.5800000000000006E-2</v>
      </c>
      <c r="L196" s="9">
        <v>0.46</v>
      </c>
      <c r="M196" s="9">
        <v>0.52239999999999998</v>
      </c>
      <c r="N196" s="9">
        <v>0</v>
      </c>
      <c r="O196" s="9">
        <v>19</v>
      </c>
      <c r="P196" s="9">
        <v>19</v>
      </c>
      <c r="Q196" s="12" t="s">
        <v>78</v>
      </c>
      <c r="R196" s="13" t="s">
        <v>79</v>
      </c>
      <c r="S196" s="9" t="s">
        <v>80</v>
      </c>
      <c r="T196" s="13" t="s">
        <v>81</v>
      </c>
      <c r="U196" s="15" t="s">
        <v>89</v>
      </c>
      <c r="V196" s="12" t="s">
        <v>83</v>
      </c>
      <c r="W196" s="15" t="s">
        <v>84</v>
      </c>
      <c r="X196" s="9" t="s">
        <v>85</v>
      </c>
      <c r="Y196" s="12" t="s">
        <v>86</v>
      </c>
      <c r="Z196">
        <f t="shared" si="19"/>
        <v>556</v>
      </c>
      <c r="AA196" s="39">
        <f t="shared" si="20"/>
        <v>62.169456066945607</v>
      </c>
      <c r="AB196" s="39">
        <f t="shared" si="21"/>
        <v>2050.948586831591</v>
      </c>
      <c r="AC196">
        <f t="shared" si="18"/>
        <v>0.99970733986765592</v>
      </c>
      <c r="AD196">
        <f t="shared" si="22"/>
        <v>0.99958793054581574</v>
      </c>
      <c r="AE196">
        <f t="shared" si="23"/>
        <v>34808</v>
      </c>
    </row>
    <row r="197" spans="1:31">
      <c r="A197" s="10">
        <v>196</v>
      </c>
      <c r="B197" s="31">
        <v>40552</v>
      </c>
      <c r="C197" s="10">
        <v>1</v>
      </c>
      <c r="D197" s="10">
        <v>0</v>
      </c>
      <c r="E197" s="10">
        <v>1</v>
      </c>
      <c r="F197" s="10">
        <v>10</v>
      </c>
      <c r="G197" s="10" t="b">
        <v>0</v>
      </c>
      <c r="H197" s="10">
        <v>0</v>
      </c>
      <c r="I197" s="10">
        <v>1</v>
      </c>
      <c r="J197" s="10">
        <v>0.14000000000000001</v>
      </c>
      <c r="K197" s="10">
        <v>0.1061</v>
      </c>
      <c r="L197" s="10">
        <v>0.43</v>
      </c>
      <c r="M197" s="10">
        <v>0.3881</v>
      </c>
      <c r="N197" s="10">
        <v>0</v>
      </c>
      <c r="O197" s="10">
        <v>49</v>
      </c>
      <c r="P197" s="10">
        <v>49</v>
      </c>
      <c r="Q197" s="12" t="s">
        <v>78</v>
      </c>
      <c r="R197" s="13" t="s">
        <v>79</v>
      </c>
      <c r="S197" s="10" t="s">
        <v>80</v>
      </c>
      <c r="T197" s="13" t="s">
        <v>81</v>
      </c>
      <c r="U197" s="13" t="s">
        <v>91</v>
      </c>
      <c r="V197" s="11" t="s">
        <v>87</v>
      </c>
      <c r="W197" s="15" t="s">
        <v>84</v>
      </c>
      <c r="X197" s="10" t="s">
        <v>85</v>
      </c>
      <c r="Y197" s="12" t="s">
        <v>86</v>
      </c>
      <c r="Z197">
        <f t="shared" si="19"/>
        <v>556</v>
      </c>
      <c r="AA197" s="39">
        <f t="shared" si="20"/>
        <v>62.259958071278824</v>
      </c>
      <c r="AB197" s="39">
        <f t="shared" si="21"/>
        <v>2052.2182335607363</v>
      </c>
      <c r="AC197">
        <f t="shared" si="18"/>
        <v>0.99970738536059855</v>
      </c>
      <c r="AD197">
        <f t="shared" si="22"/>
        <v>0.99958804201293439</v>
      </c>
      <c r="AE197">
        <f t="shared" si="23"/>
        <v>34808</v>
      </c>
    </row>
    <row r="198" spans="1:31">
      <c r="A198" s="9">
        <v>197</v>
      </c>
      <c r="B198" s="30">
        <v>40552</v>
      </c>
      <c r="C198" s="9">
        <v>1</v>
      </c>
      <c r="D198" s="9">
        <v>0</v>
      </c>
      <c r="E198" s="9">
        <v>1</v>
      </c>
      <c r="F198" s="9">
        <v>11</v>
      </c>
      <c r="G198" s="9" t="b">
        <v>0</v>
      </c>
      <c r="H198" s="9">
        <v>0</v>
      </c>
      <c r="I198" s="9">
        <v>1</v>
      </c>
      <c r="J198" s="9">
        <v>0.16</v>
      </c>
      <c r="K198" s="9">
        <v>0.1212</v>
      </c>
      <c r="L198" s="9">
        <v>0.4</v>
      </c>
      <c r="M198" s="9">
        <v>0.52239999999999998</v>
      </c>
      <c r="N198" s="9">
        <v>2</v>
      </c>
      <c r="O198" s="9">
        <v>47</v>
      </c>
      <c r="P198" s="9">
        <v>49</v>
      </c>
      <c r="Q198" s="12" t="s">
        <v>78</v>
      </c>
      <c r="R198" s="13" t="s">
        <v>79</v>
      </c>
      <c r="S198" s="9" t="s">
        <v>80</v>
      </c>
      <c r="T198" s="13" t="s">
        <v>81</v>
      </c>
      <c r="U198" s="13" t="s">
        <v>91</v>
      </c>
      <c r="V198" s="11" t="s">
        <v>87</v>
      </c>
      <c r="W198" s="15" t="s">
        <v>84</v>
      </c>
      <c r="X198" s="9" t="s">
        <v>85</v>
      </c>
      <c r="Y198" s="12" t="s">
        <v>86</v>
      </c>
      <c r="Z198">
        <f t="shared" si="19"/>
        <v>556</v>
      </c>
      <c r="AA198" s="39">
        <f t="shared" si="20"/>
        <v>62.287815126050418</v>
      </c>
      <c r="AB198" s="39">
        <f t="shared" si="21"/>
        <v>2053.4920185243168</v>
      </c>
      <c r="AC198">
        <f t="shared" si="18"/>
        <v>0.99970739111645501</v>
      </c>
      <c r="AD198">
        <f t="shared" si="22"/>
        <v>0.99958804534474488</v>
      </c>
      <c r="AE198">
        <f t="shared" si="23"/>
        <v>34808</v>
      </c>
    </row>
    <row r="199" spans="1:31">
      <c r="A199" s="10">
        <v>198</v>
      </c>
      <c r="B199" s="31">
        <v>40552</v>
      </c>
      <c r="C199" s="10">
        <v>1</v>
      </c>
      <c r="D199" s="10">
        <v>0</v>
      </c>
      <c r="E199" s="10">
        <v>1</v>
      </c>
      <c r="F199" s="10">
        <v>12</v>
      </c>
      <c r="G199" s="10" t="b">
        <v>0</v>
      </c>
      <c r="H199" s="10">
        <v>0</v>
      </c>
      <c r="I199" s="10">
        <v>1</v>
      </c>
      <c r="J199" s="10">
        <v>0.18</v>
      </c>
      <c r="K199" s="10">
        <v>0.13639999999999999</v>
      </c>
      <c r="L199" s="10">
        <v>0.37</v>
      </c>
      <c r="M199" s="10">
        <v>0.44779999999999998</v>
      </c>
      <c r="N199" s="10">
        <v>4</v>
      </c>
      <c r="O199" s="10">
        <v>79</v>
      </c>
      <c r="P199" s="10">
        <v>83</v>
      </c>
      <c r="Q199" s="12" t="s">
        <v>78</v>
      </c>
      <c r="R199" s="13" t="s">
        <v>79</v>
      </c>
      <c r="S199" s="10" t="s">
        <v>80</v>
      </c>
      <c r="T199" s="13" t="s">
        <v>81</v>
      </c>
      <c r="U199" s="11" t="s">
        <v>92</v>
      </c>
      <c r="V199" s="13" t="s">
        <v>93</v>
      </c>
      <c r="W199" s="15" t="s">
        <v>84</v>
      </c>
      <c r="X199" s="10" t="s">
        <v>85</v>
      </c>
      <c r="Y199" s="12" t="s">
        <v>86</v>
      </c>
      <c r="Z199">
        <f t="shared" si="19"/>
        <v>556</v>
      </c>
      <c r="AA199" s="39">
        <f t="shared" si="20"/>
        <v>62.315789473684212</v>
      </c>
      <c r="AB199" s="39">
        <f t="shared" si="21"/>
        <v>2054.7681782989994</v>
      </c>
      <c r="AC199">
        <f t="shared" si="18"/>
        <v>0.99970739064371938</v>
      </c>
      <c r="AD199">
        <f t="shared" si="22"/>
        <v>0.99958805473194734</v>
      </c>
      <c r="AE199">
        <f t="shared" si="23"/>
        <v>34808</v>
      </c>
    </row>
    <row r="200" spans="1:31">
      <c r="A200" s="9">
        <v>199</v>
      </c>
      <c r="B200" s="30">
        <v>40552</v>
      </c>
      <c r="C200" s="9">
        <v>1</v>
      </c>
      <c r="D200" s="9">
        <v>0</v>
      </c>
      <c r="E200" s="9">
        <v>1</v>
      </c>
      <c r="F200" s="9">
        <v>13</v>
      </c>
      <c r="G200" s="9" t="b">
        <v>0</v>
      </c>
      <c r="H200" s="9">
        <v>0</v>
      </c>
      <c r="I200" s="9">
        <v>1</v>
      </c>
      <c r="J200" s="9">
        <v>0.2</v>
      </c>
      <c r="K200" s="9">
        <v>0.16669999999999999</v>
      </c>
      <c r="L200" s="9">
        <v>0.34</v>
      </c>
      <c r="M200" s="9">
        <v>0.44779999999999998</v>
      </c>
      <c r="N200" s="9">
        <v>6</v>
      </c>
      <c r="O200" s="9">
        <v>69</v>
      </c>
      <c r="P200" s="9">
        <v>75</v>
      </c>
      <c r="Q200" s="12" t="s">
        <v>78</v>
      </c>
      <c r="R200" s="13" t="s">
        <v>79</v>
      </c>
      <c r="S200" s="9" t="s">
        <v>80</v>
      </c>
      <c r="T200" s="13" t="s">
        <v>81</v>
      </c>
      <c r="U200" s="11" t="s">
        <v>92</v>
      </c>
      <c r="V200" s="13" t="s">
        <v>93</v>
      </c>
      <c r="W200" s="15" t="s">
        <v>84</v>
      </c>
      <c r="X200" s="9" t="s">
        <v>85</v>
      </c>
      <c r="Y200" s="12" t="s">
        <v>86</v>
      </c>
      <c r="Z200">
        <f t="shared" si="19"/>
        <v>556</v>
      </c>
      <c r="AA200" s="39">
        <f t="shared" si="20"/>
        <v>62.27215189873418</v>
      </c>
      <c r="AB200" s="39">
        <f t="shared" si="21"/>
        <v>2056.0480807796916</v>
      </c>
      <c r="AC200">
        <f t="shared" si="18"/>
        <v>0.99970751671085845</v>
      </c>
      <c r="AD200">
        <f t="shared" si="22"/>
        <v>0.99958835799823176</v>
      </c>
      <c r="AE200">
        <f t="shared" si="23"/>
        <v>34808</v>
      </c>
    </row>
    <row r="201" spans="1:31">
      <c r="A201" s="10">
        <v>200</v>
      </c>
      <c r="B201" s="31">
        <v>40552</v>
      </c>
      <c r="C201" s="10">
        <v>1</v>
      </c>
      <c r="D201" s="10">
        <v>0</v>
      </c>
      <c r="E201" s="10">
        <v>1</v>
      </c>
      <c r="F201" s="10">
        <v>14</v>
      </c>
      <c r="G201" s="10" t="b">
        <v>0</v>
      </c>
      <c r="H201" s="10">
        <v>0</v>
      </c>
      <c r="I201" s="10">
        <v>1</v>
      </c>
      <c r="J201" s="10">
        <v>0.22</v>
      </c>
      <c r="K201" s="10">
        <v>0.18179999999999999</v>
      </c>
      <c r="L201" s="10">
        <v>0.32</v>
      </c>
      <c r="M201" s="10">
        <v>0.4627</v>
      </c>
      <c r="N201" s="10">
        <v>8</v>
      </c>
      <c r="O201" s="10">
        <v>64</v>
      </c>
      <c r="P201" s="10">
        <v>72</v>
      </c>
      <c r="Q201" s="12" t="s">
        <v>78</v>
      </c>
      <c r="R201" s="13" t="s">
        <v>79</v>
      </c>
      <c r="S201" s="10" t="s">
        <v>80</v>
      </c>
      <c r="T201" s="13" t="s">
        <v>81</v>
      </c>
      <c r="U201" s="13" t="s">
        <v>94</v>
      </c>
      <c r="V201" s="13" t="s">
        <v>93</v>
      </c>
      <c r="W201" s="15" t="s">
        <v>84</v>
      </c>
      <c r="X201" s="10" t="s">
        <v>85</v>
      </c>
      <c r="Y201" s="12" t="s">
        <v>86</v>
      </c>
      <c r="Z201">
        <f t="shared" si="19"/>
        <v>556</v>
      </c>
      <c r="AA201" s="39">
        <f t="shared" si="20"/>
        <v>62.245243128964056</v>
      </c>
      <c r="AB201" s="39">
        <f t="shared" si="21"/>
        <v>2057.3301205482894</v>
      </c>
      <c r="AC201">
        <f t="shared" si="18"/>
        <v>0.99970755243291731</v>
      </c>
      <c r="AD201">
        <f t="shared" si="22"/>
        <v>0.99958859859357818</v>
      </c>
      <c r="AE201">
        <f t="shared" si="23"/>
        <v>34808</v>
      </c>
    </row>
    <row r="202" spans="1:31">
      <c r="A202" s="9">
        <v>201</v>
      </c>
      <c r="B202" s="30">
        <v>40552</v>
      </c>
      <c r="C202" s="9">
        <v>1</v>
      </c>
      <c r="D202" s="9">
        <v>0</v>
      </c>
      <c r="E202" s="9">
        <v>1</v>
      </c>
      <c r="F202" s="9">
        <v>15</v>
      </c>
      <c r="G202" s="9" t="b">
        <v>0</v>
      </c>
      <c r="H202" s="9">
        <v>0</v>
      </c>
      <c r="I202" s="9">
        <v>1</v>
      </c>
      <c r="J202" s="9">
        <v>0.22</v>
      </c>
      <c r="K202" s="9">
        <v>0.19700000000000001</v>
      </c>
      <c r="L202" s="9">
        <v>0.35</v>
      </c>
      <c r="M202" s="9">
        <v>0.35820000000000002</v>
      </c>
      <c r="N202" s="9">
        <v>5</v>
      </c>
      <c r="O202" s="9">
        <v>77</v>
      </c>
      <c r="P202" s="9">
        <v>82</v>
      </c>
      <c r="Q202" s="12" t="s">
        <v>78</v>
      </c>
      <c r="R202" s="13" t="s">
        <v>79</v>
      </c>
      <c r="S202" s="9" t="s">
        <v>80</v>
      </c>
      <c r="T202" s="13" t="s">
        <v>81</v>
      </c>
      <c r="U202" s="13" t="s">
        <v>94</v>
      </c>
      <c r="V202" s="13" t="s">
        <v>93</v>
      </c>
      <c r="W202" s="15" t="s">
        <v>84</v>
      </c>
      <c r="X202" s="9" t="s">
        <v>85</v>
      </c>
      <c r="Y202" s="12" t="s">
        <v>86</v>
      </c>
      <c r="Z202">
        <f t="shared" si="19"/>
        <v>556</v>
      </c>
      <c r="AA202" s="39">
        <f t="shared" si="20"/>
        <v>62.224576271186443</v>
      </c>
      <c r="AB202" s="39">
        <f t="shared" si="21"/>
        <v>2058.6144547870485</v>
      </c>
      <c r="AC202">
        <f t="shared" si="18"/>
        <v>0.99970755929504229</v>
      </c>
      <c r="AD202">
        <f t="shared" si="22"/>
        <v>0.99958882796732007</v>
      </c>
      <c r="AE202">
        <f t="shared" si="23"/>
        <v>34808</v>
      </c>
    </row>
    <row r="203" spans="1:31">
      <c r="A203" s="10">
        <v>202</v>
      </c>
      <c r="B203" s="31">
        <v>40552</v>
      </c>
      <c r="C203" s="10">
        <v>1</v>
      </c>
      <c r="D203" s="10">
        <v>0</v>
      </c>
      <c r="E203" s="10">
        <v>1</v>
      </c>
      <c r="F203" s="10">
        <v>16</v>
      </c>
      <c r="G203" s="10" t="b">
        <v>0</v>
      </c>
      <c r="H203" s="10">
        <v>0</v>
      </c>
      <c r="I203" s="10">
        <v>1</v>
      </c>
      <c r="J203" s="10">
        <v>0.2</v>
      </c>
      <c r="K203" s="10">
        <v>0.16669999999999999</v>
      </c>
      <c r="L203" s="10">
        <v>0.34</v>
      </c>
      <c r="M203" s="10">
        <v>0.44779999999999998</v>
      </c>
      <c r="N203" s="10">
        <v>13</v>
      </c>
      <c r="O203" s="10">
        <v>79</v>
      </c>
      <c r="P203" s="10">
        <v>92</v>
      </c>
      <c r="Q203" s="12" t="s">
        <v>78</v>
      </c>
      <c r="R203" s="13" t="s">
        <v>79</v>
      </c>
      <c r="S203" s="10" t="s">
        <v>80</v>
      </c>
      <c r="T203" s="13" t="s">
        <v>81</v>
      </c>
      <c r="U203" s="13" t="s">
        <v>94</v>
      </c>
      <c r="V203" s="13" t="s">
        <v>93</v>
      </c>
      <c r="W203" s="15" t="s">
        <v>84</v>
      </c>
      <c r="X203" s="10" t="s">
        <v>85</v>
      </c>
      <c r="Y203" s="12" t="s">
        <v>86</v>
      </c>
      <c r="Z203">
        <f t="shared" si="19"/>
        <v>556</v>
      </c>
      <c r="AA203" s="39">
        <f t="shared" si="20"/>
        <v>62.182590233545646</v>
      </c>
      <c r="AB203" s="39">
        <f t="shared" si="21"/>
        <v>2059.901532599315</v>
      </c>
      <c r="AC203">
        <f t="shared" si="18"/>
        <v>0.99970760165301187</v>
      </c>
      <c r="AD203">
        <f t="shared" si="22"/>
        <v>0.99958914692910705</v>
      </c>
      <c r="AE203">
        <f t="shared" si="23"/>
        <v>34808</v>
      </c>
    </row>
    <row r="204" spans="1:31">
      <c r="A204" s="9">
        <v>203</v>
      </c>
      <c r="B204" s="30">
        <v>40552</v>
      </c>
      <c r="C204" s="9">
        <v>1</v>
      </c>
      <c r="D204" s="9">
        <v>0</v>
      </c>
      <c r="E204" s="9">
        <v>1</v>
      </c>
      <c r="F204" s="9">
        <v>17</v>
      </c>
      <c r="G204" s="9" t="b">
        <v>0</v>
      </c>
      <c r="H204" s="9">
        <v>0</v>
      </c>
      <c r="I204" s="9">
        <v>1</v>
      </c>
      <c r="J204" s="9">
        <v>0.18</v>
      </c>
      <c r="K204" s="9">
        <v>0.1515</v>
      </c>
      <c r="L204" s="9">
        <v>0.37</v>
      </c>
      <c r="M204" s="9">
        <v>0.3881</v>
      </c>
      <c r="N204" s="9">
        <v>3</v>
      </c>
      <c r="O204" s="9">
        <v>59</v>
      </c>
      <c r="P204" s="9">
        <v>62</v>
      </c>
      <c r="Q204" s="12" t="s">
        <v>78</v>
      </c>
      <c r="R204" s="13" t="s">
        <v>79</v>
      </c>
      <c r="S204" s="9" t="s">
        <v>80</v>
      </c>
      <c r="T204" s="13" t="s">
        <v>81</v>
      </c>
      <c r="U204" s="15" t="s">
        <v>95</v>
      </c>
      <c r="V204" s="11" t="s">
        <v>87</v>
      </c>
      <c r="W204" s="15" t="s">
        <v>84</v>
      </c>
      <c r="X204" s="9" t="s">
        <v>85</v>
      </c>
      <c r="Y204" s="12" t="s">
        <v>86</v>
      </c>
      <c r="Z204">
        <f t="shared" si="19"/>
        <v>556</v>
      </c>
      <c r="AA204" s="39">
        <f t="shared" si="20"/>
        <v>62.119148936170212</v>
      </c>
      <c r="AB204" s="39">
        <f t="shared" si="21"/>
        <v>2061.1913025003728</v>
      </c>
      <c r="AC204">
        <f t="shared" si="18"/>
        <v>0.99970775908586396</v>
      </c>
      <c r="AD204">
        <f t="shared" si="22"/>
        <v>0.99958963596557238</v>
      </c>
      <c r="AE204">
        <f t="shared" si="23"/>
        <v>34808</v>
      </c>
    </row>
    <row r="205" spans="1:31">
      <c r="A205" s="10">
        <v>204</v>
      </c>
      <c r="B205" s="31">
        <v>40552</v>
      </c>
      <c r="C205" s="10">
        <v>1</v>
      </c>
      <c r="D205" s="10">
        <v>0</v>
      </c>
      <c r="E205" s="10">
        <v>1</v>
      </c>
      <c r="F205" s="10">
        <v>18</v>
      </c>
      <c r="G205" s="10" t="b">
        <v>0</v>
      </c>
      <c r="H205" s="10">
        <v>0</v>
      </c>
      <c r="I205" s="10">
        <v>1</v>
      </c>
      <c r="J205" s="10">
        <v>0.16</v>
      </c>
      <c r="K205" s="10">
        <v>0.13639999999999999</v>
      </c>
      <c r="L205" s="10">
        <v>0.4</v>
      </c>
      <c r="M205" s="10">
        <v>0.32840000000000003</v>
      </c>
      <c r="N205" s="10">
        <v>4</v>
      </c>
      <c r="O205" s="10">
        <v>44</v>
      </c>
      <c r="P205" s="10">
        <v>48</v>
      </c>
      <c r="Q205" s="12" t="s">
        <v>78</v>
      </c>
      <c r="R205" s="13" t="s">
        <v>79</v>
      </c>
      <c r="S205" s="10" t="s">
        <v>80</v>
      </c>
      <c r="T205" s="13" t="s">
        <v>81</v>
      </c>
      <c r="U205" s="15" t="s">
        <v>95</v>
      </c>
      <c r="V205" s="11" t="s">
        <v>87</v>
      </c>
      <c r="W205" s="15" t="s">
        <v>84</v>
      </c>
      <c r="X205" s="10" t="s">
        <v>85</v>
      </c>
      <c r="Y205" s="12" t="s">
        <v>86</v>
      </c>
      <c r="Z205">
        <f t="shared" si="19"/>
        <v>556</v>
      </c>
      <c r="AA205" s="39">
        <f t="shared" si="20"/>
        <v>62.119402985074629</v>
      </c>
      <c r="AB205" s="39">
        <f t="shared" si="21"/>
        <v>2062.4824890828568</v>
      </c>
      <c r="AC205">
        <f t="shared" si="18"/>
        <v>0.99970776899714264</v>
      </c>
      <c r="AD205">
        <f t="shared" si="22"/>
        <v>0.99958972489487985</v>
      </c>
      <c r="AE205">
        <f t="shared" si="23"/>
        <v>34808</v>
      </c>
    </row>
    <row r="206" spans="1:31">
      <c r="A206" s="9">
        <v>205</v>
      </c>
      <c r="B206" s="30">
        <v>40552</v>
      </c>
      <c r="C206" s="9">
        <v>1</v>
      </c>
      <c r="D206" s="9">
        <v>0</v>
      </c>
      <c r="E206" s="9">
        <v>1</v>
      </c>
      <c r="F206" s="9">
        <v>19</v>
      </c>
      <c r="G206" s="9" t="b">
        <v>0</v>
      </c>
      <c r="H206" s="9">
        <v>0</v>
      </c>
      <c r="I206" s="9">
        <v>1</v>
      </c>
      <c r="J206" s="9">
        <v>0.16</v>
      </c>
      <c r="K206" s="9">
        <v>0.13639999999999999</v>
      </c>
      <c r="L206" s="9">
        <v>0.43</v>
      </c>
      <c r="M206" s="9">
        <v>0.32840000000000003</v>
      </c>
      <c r="N206" s="9">
        <v>1</v>
      </c>
      <c r="O206" s="9">
        <v>40</v>
      </c>
      <c r="P206" s="9">
        <v>41</v>
      </c>
      <c r="Q206" s="12" t="s">
        <v>78</v>
      </c>
      <c r="R206" s="13" t="s">
        <v>79</v>
      </c>
      <c r="S206" s="9" t="s">
        <v>80</v>
      </c>
      <c r="T206" s="13" t="s">
        <v>81</v>
      </c>
      <c r="U206" s="15" t="s">
        <v>95</v>
      </c>
      <c r="V206" s="11" t="s">
        <v>87</v>
      </c>
      <c r="W206" s="15" t="s">
        <v>84</v>
      </c>
      <c r="X206" s="9" t="s">
        <v>85</v>
      </c>
      <c r="Y206" s="12" t="s">
        <v>86</v>
      </c>
      <c r="Z206">
        <f t="shared" si="19"/>
        <v>556</v>
      </c>
      <c r="AA206" s="39">
        <f t="shared" si="20"/>
        <v>62.149572649572647</v>
      </c>
      <c r="AB206" s="39">
        <f t="shared" si="21"/>
        <v>2063.7754455491327</v>
      </c>
      <c r="AC206">
        <f t="shared" si="18"/>
        <v>0.99970776838383513</v>
      </c>
      <c r="AD206">
        <f t="shared" si="22"/>
        <v>0.99958973267039064</v>
      </c>
      <c r="AE206">
        <f t="shared" si="23"/>
        <v>34808</v>
      </c>
    </row>
    <row r="207" spans="1:31">
      <c r="A207" s="10">
        <v>206</v>
      </c>
      <c r="B207" s="31">
        <v>40552</v>
      </c>
      <c r="C207" s="10">
        <v>1</v>
      </c>
      <c r="D207" s="10">
        <v>0</v>
      </c>
      <c r="E207" s="10">
        <v>1</v>
      </c>
      <c r="F207" s="10">
        <v>20</v>
      </c>
      <c r="G207" s="10" t="b">
        <v>0</v>
      </c>
      <c r="H207" s="10">
        <v>0</v>
      </c>
      <c r="I207" s="10">
        <v>1</v>
      </c>
      <c r="J207" s="10">
        <v>0.14000000000000001</v>
      </c>
      <c r="K207" s="10">
        <v>0.1212</v>
      </c>
      <c r="L207" s="10">
        <v>0.46</v>
      </c>
      <c r="M207" s="10">
        <v>0.25369999999999998</v>
      </c>
      <c r="N207" s="10">
        <v>0</v>
      </c>
      <c r="O207" s="10">
        <v>38</v>
      </c>
      <c r="P207" s="10">
        <v>38</v>
      </c>
      <c r="Q207" s="12" t="s">
        <v>78</v>
      </c>
      <c r="R207" s="13" t="s">
        <v>79</v>
      </c>
      <c r="S207" s="10" t="s">
        <v>80</v>
      </c>
      <c r="T207" s="13" t="s">
        <v>81</v>
      </c>
      <c r="U207" s="16" t="s">
        <v>97</v>
      </c>
      <c r="V207" s="11" t="s">
        <v>87</v>
      </c>
      <c r="W207" s="15" t="s">
        <v>84</v>
      </c>
      <c r="X207" s="10" t="s">
        <v>85</v>
      </c>
      <c r="Y207" s="12" t="s">
        <v>86</v>
      </c>
      <c r="Z207">
        <f t="shared" si="19"/>
        <v>556</v>
      </c>
      <c r="AA207" s="39">
        <f t="shared" si="20"/>
        <v>62.194860813704494</v>
      </c>
      <c r="AB207" s="39">
        <f t="shared" si="21"/>
        <v>2065.0704613849898</v>
      </c>
      <c r="AC207">
        <f t="shared" si="18"/>
        <v>0.99970777481987838</v>
      </c>
      <c r="AD207">
        <f t="shared" si="22"/>
        <v>0.99958973247107774</v>
      </c>
      <c r="AE207">
        <f t="shared" si="23"/>
        <v>34808</v>
      </c>
    </row>
    <row r="208" spans="1:31">
      <c r="A208" s="9">
        <v>207</v>
      </c>
      <c r="B208" s="30">
        <v>40552</v>
      </c>
      <c r="C208" s="9">
        <v>1</v>
      </c>
      <c r="D208" s="9">
        <v>0</v>
      </c>
      <c r="E208" s="9">
        <v>1</v>
      </c>
      <c r="F208" s="9">
        <v>21</v>
      </c>
      <c r="G208" s="9" t="b">
        <v>0</v>
      </c>
      <c r="H208" s="9">
        <v>0</v>
      </c>
      <c r="I208" s="9">
        <v>1</v>
      </c>
      <c r="J208" s="9">
        <v>0.14000000000000001</v>
      </c>
      <c r="K208" s="9">
        <v>0.1061</v>
      </c>
      <c r="L208" s="9">
        <v>0.46</v>
      </c>
      <c r="M208" s="9">
        <v>0.41789999999999999</v>
      </c>
      <c r="N208" s="9">
        <v>1</v>
      </c>
      <c r="O208" s="9">
        <v>19</v>
      </c>
      <c r="P208" s="9">
        <v>20</v>
      </c>
      <c r="Q208" s="12" t="s">
        <v>78</v>
      </c>
      <c r="R208" s="13" t="s">
        <v>79</v>
      </c>
      <c r="S208" s="9" t="s">
        <v>80</v>
      </c>
      <c r="T208" s="13" t="s">
        <v>81</v>
      </c>
      <c r="U208" s="16" t="s">
        <v>97</v>
      </c>
      <c r="V208" s="12" t="s">
        <v>83</v>
      </c>
      <c r="W208" s="15" t="s">
        <v>84</v>
      </c>
      <c r="X208" s="9" t="s">
        <v>85</v>
      </c>
      <c r="Y208" s="12" t="s">
        <v>86</v>
      </c>
      <c r="Z208">
        <f t="shared" si="19"/>
        <v>556</v>
      </c>
      <c r="AA208" s="39">
        <f t="shared" si="20"/>
        <v>62.246781115879827</v>
      </c>
      <c r="AB208" s="39">
        <f t="shared" si="21"/>
        <v>2066.3677478244103</v>
      </c>
      <c r="AC208">
        <f t="shared" ref="AC208:AC271" si="24">CORREL(J208:J1207,P208:P1207)</f>
        <v>0.99970777678850387</v>
      </c>
      <c r="AD208">
        <f t="shared" si="22"/>
        <v>0.99958974169279757</v>
      </c>
      <c r="AE208">
        <f t="shared" si="23"/>
        <v>34808</v>
      </c>
    </row>
    <row r="209" spans="1:31">
      <c r="A209" s="10">
        <v>208</v>
      </c>
      <c r="B209" s="31">
        <v>40552</v>
      </c>
      <c r="C209" s="10">
        <v>1</v>
      </c>
      <c r="D209" s="10">
        <v>0</v>
      </c>
      <c r="E209" s="10">
        <v>1</v>
      </c>
      <c r="F209" s="10">
        <v>22</v>
      </c>
      <c r="G209" s="10" t="b">
        <v>0</v>
      </c>
      <c r="H209" s="10">
        <v>0</v>
      </c>
      <c r="I209" s="10">
        <v>1</v>
      </c>
      <c r="J209" s="10">
        <v>0.14000000000000001</v>
      </c>
      <c r="K209" s="10">
        <v>0.1212</v>
      </c>
      <c r="L209" s="10">
        <v>0.46</v>
      </c>
      <c r="M209" s="10">
        <v>0.29849999999999999</v>
      </c>
      <c r="N209" s="10">
        <v>5</v>
      </c>
      <c r="O209" s="10">
        <v>10</v>
      </c>
      <c r="P209" s="10">
        <v>15</v>
      </c>
      <c r="Q209" s="12" t="s">
        <v>78</v>
      </c>
      <c r="R209" s="13" t="s">
        <v>79</v>
      </c>
      <c r="S209" s="10" t="s">
        <v>80</v>
      </c>
      <c r="T209" s="13" t="s">
        <v>81</v>
      </c>
      <c r="U209" s="16" t="s">
        <v>97</v>
      </c>
      <c r="V209" s="12" t="s">
        <v>83</v>
      </c>
      <c r="W209" s="15" t="s">
        <v>84</v>
      </c>
      <c r="X209" s="10" t="s">
        <v>85</v>
      </c>
      <c r="Y209" s="12" t="s">
        <v>86</v>
      </c>
      <c r="Z209">
        <f t="shared" si="19"/>
        <v>556</v>
      </c>
      <c r="AA209" s="39">
        <f t="shared" si="20"/>
        <v>62.337634408602149</v>
      </c>
      <c r="AB209" s="39">
        <f t="shared" si="21"/>
        <v>2067.6663429503387</v>
      </c>
      <c r="AC209">
        <f t="shared" si="24"/>
        <v>0.99970784922924461</v>
      </c>
      <c r="AD209">
        <f t="shared" si="22"/>
        <v>0.99958984282253938</v>
      </c>
      <c r="AE209">
        <f t="shared" si="23"/>
        <v>34808</v>
      </c>
    </row>
    <row r="210" spans="1:31">
      <c r="A210" s="9">
        <v>209</v>
      </c>
      <c r="B210" s="30">
        <v>40552</v>
      </c>
      <c r="C210" s="9">
        <v>1</v>
      </c>
      <c r="D210" s="9">
        <v>0</v>
      </c>
      <c r="E210" s="9">
        <v>1</v>
      </c>
      <c r="F210" s="9">
        <v>23</v>
      </c>
      <c r="G210" s="9" t="b">
        <v>0</v>
      </c>
      <c r="H210" s="9">
        <v>0</v>
      </c>
      <c r="I210" s="9">
        <v>1</v>
      </c>
      <c r="J210" s="9">
        <v>0.12</v>
      </c>
      <c r="K210" s="9">
        <v>0.13639999999999999</v>
      </c>
      <c r="L210" s="9">
        <v>0.5</v>
      </c>
      <c r="M210" s="9">
        <v>0.19400000000000001</v>
      </c>
      <c r="N210" s="9">
        <v>0</v>
      </c>
      <c r="O210" s="9">
        <v>6</v>
      </c>
      <c r="P210" s="9">
        <v>6</v>
      </c>
      <c r="Q210" s="12" t="s">
        <v>78</v>
      </c>
      <c r="R210" s="13" t="s">
        <v>79</v>
      </c>
      <c r="S210" s="9" t="s">
        <v>80</v>
      </c>
      <c r="T210" s="13" t="s">
        <v>81</v>
      </c>
      <c r="U210" s="16" t="s">
        <v>97</v>
      </c>
      <c r="V210" s="12" t="s">
        <v>83</v>
      </c>
      <c r="W210" s="15" t="s">
        <v>84</v>
      </c>
      <c r="X210" s="9" t="s">
        <v>85</v>
      </c>
      <c r="Y210" s="12" t="s">
        <v>86</v>
      </c>
      <c r="Z210">
        <f t="shared" si="19"/>
        <v>556</v>
      </c>
      <c r="AA210" s="39">
        <f t="shared" si="20"/>
        <v>62.439655172413794</v>
      </c>
      <c r="AB210" s="39">
        <f t="shared" si="21"/>
        <v>2068.967037189107</v>
      </c>
      <c r="AC210">
        <f t="shared" si="24"/>
        <v>0.99970795844625004</v>
      </c>
      <c r="AD210">
        <f t="shared" si="22"/>
        <v>0.99958998675607103</v>
      </c>
      <c r="AE210">
        <f t="shared" si="23"/>
        <v>34808</v>
      </c>
    </row>
    <row r="211" spans="1:31">
      <c r="A211" s="10">
        <v>210</v>
      </c>
      <c r="B211" s="31">
        <v>40553</v>
      </c>
      <c r="C211" s="10">
        <v>1</v>
      </c>
      <c r="D211" s="10">
        <v>0</v>
      </c>
      <c r="E211" s="10">
        <v>1</v>
      </c>
      <c r="F211" s="10">
        <v>0</v>
      </c>
      <c r="G211" s="10" t="b">
        <v>0</v>
      </c>
      <c r="H211" s="10">
        <v>1</v>
      </c>
      <c r="I211" s="10">
        <v>1</v>
      </c>
      <c r="J211" s="10">
        <v>0.12</v>
      </c>
      <c r="K211" s="10">
        <v>0.1212</v>
      </c>
      <c r="L211" s="10">
        <v>0.5</v>
      </c>
      <c r="M211" s="10">
        <v>0.28360000000000002</v>
      </c>
      <c r="N211" s="10">
        <v>2</v>
      </c>
      <c r="O211" s="10">
        <v>3</v>
      </c>
      <c r="P211" s="10">
        <v>5</v>
      </c>
      <c r="Q211" s="13" t="s">
        <v>98</v>
      </c>
      <c r="R211" s="13" t="s">
        <v>79</v>
      </c>
      <c r="S211" s="10" t="s">
        <v>80</v>
      </c>
      <c r="T211" s="13" t="s">
        <v>81</v>
      </c>
      <c r="U211" s="14" t="s">
        <v>82</v>
      </c>
      <c r="V211" s="12" t="s">
        <v>83</v>
      </c>
      <c r="W211" s="15" t="s">
        <v>84</v>
      </c>
      <c r="X211" s="10" t="s">
        <v>85</v>
      </c>
      <c r="Y211" s="13" t="s">
        <v>99</v>
      </c>
      <c r="Z211">
        <f t="shared" si="19"/>
        <v>556</v>
      </c>
      <c r="AA211" s="39">
        <f t="shared" si="20"/>
        <v>62.561555075593951</v>
      </c>
      <c r="AB211" s="39">
        <f t="shared" si="21"/>
        <v>2070.2695154000285</v>
      </c>
      <c r="AC211">
        <f t="shared" si="24"/>
        <v>0.99970809638356195</v>
      </c>
      <c r="AD211">
        <f t="shared" si="22"/>
        <v>0.99959027653904331</v>
      </c>
      <c r="AE211">
        <f t="shared" si="23"/>
        <v>34808</v>
      </c>
    </row>
    <row r="212" spans="1:31">
      <c r="A212" s="9">
        <v>211</v>
      </c>
      <c r="B212" s="30">
        <v>40553</v>
      </c>
      <c r="C212" s="9">
        <v>1</v>
      </c>
      <c r="D212" s="9">
        <v>0</v>
      </c>
      <c r="E212" s="9">
        <v>1</v>
      </c>
      <c r="F212" s="9">
        <v>1</v>
      </c>
      <c r="G212" s="9" t="b">
        <v>0</v>
      </c>
      <c r="H212" s="9">
        <v>1</v>
      </c>
      <c r="I212" s="9">
        <v>1</v>
      </c>
      <c r="J212" s="9">
        <v>0.12</v>
      </c>
      <c r="K212" s="9">
        <v>0.1212</v>
      </c>
      <c r="L212" s="9">
        <v>0.5</v>
      </c>
      <c r="M212" s="9">
        <v>0.28360000000000002</v>
      </c>
      <c r="N212" s="9">
        <v>1</v>
      </c>
      <c r="O212" s="9">
        <v>0</v>
      </c>
      <c r="P212" s="9">
        <v>1</v>
      </c>
      <c r="Q212" s="13" t="s">
        <v>98</v>
      </c>
      <c r="R212" s="13" t="s">
        <v>79</v>
      </c>
      <c r="S212" s="9" t="s">
        <v>80</v>
      </c>
      <c r="T212" s="13" t="s">
        <v>81</v>
      </c>
      <c r="U212" s="14" t="s">
        <v>82</v>
      </c>
      <c r="V212" s="12" t="s">
        <v>83</v>
      </c>
      <c r="W212" s="15" t="s">
        <v>84</v>
      </c>
      <c r="X212" s="9" t="s">
        <v>85</v>
      </c>
      <c r="Y212" s="13" t="s">
        <v>99</v>
      </c>
      <c r="Z212">
        <f t="shared" si="19"/>
        <v>555</v>
      </c>
      <c r="AA212" s="39">
        <f t="shared" si="20"/>
        <v>62.686147186147188</v>
      </c>
      <c r="AB212" s="39">
        <f t="shared" si="21"/>
        <v>2071.574378463918</v>
      </c>
      <c r="AC212">
        <f t="shared" si="24"/>
        <v>0.99970824388206825</v>
      </c>
      <c r="AD212">
        <f t="shared" si="22"/>
        <v>0.99959058032190162</v>
      </c>
      <c r="AE212">
        <f t="shared" si="23"/>
        <v>34803</v>
      </c>
    </row>
    <row r="213" spans="1:31">
      <c r="A213" s="10">
        <v>212</v>
      </c>
      <c r="B213" s="31">
        <v>40553</v>
      </c>
      <c r="C213" s="10">
        <v>1</v>
      </c>
      <c r="D213" s="10">
        <v>0</v>
      </c>
      <c r="E213" s="10">
        <v>1</v>
      </c>
      <c r="F213" s="10">
        <v>2</v>
      </c>
      <c r="G213" s="10" t="b">
        <v>0</v>
      </c>
      <c r="H213" s="10">
        <v>1</v>
      </c>
      <c r="I213" s="10">
        <v>1</v>
      </c>
      <c r="J213" s="10">
        <v>0.12</v>
      </c>
      <c r="K213" s="10">
        <v>0.1212</v>
      </c>
      <c r="L213" s="10">
        <v>0.5</v>
      </c>
      <c r="M213" s="10">
        <v>0.22389999999999999</v>
      </c>
      <c r="N213" s="10">
        <v>0</v>
      </c>
      <c r="O213" s="10">
        <v>3</v>
      </c>
      <c r="P213" s="10">
        <v>3</v>
      </c>
      <c r="Q213" s="13" t="s">
        <v>98</v>
      </c>
      <c r="R213" s="13" t="s">
        <v>79</v>
      </c>
      <c r="S213" s="10" t="s">
        <v>80</v>
      </c>
      <c r="T213" s="13" t="s">
        <v>81</v>
      </c>
      <c r="U213" s="14" t="s">
        <v>82</v>
      </c>
      <c r="V213" s="12" t="s">
        <v>83</v>
      </c>
      <c r="W213" s="15" t="s">
        <v>84</v>
      </c>
      <c r="X213" s="10" t="s">
        <v>85</v>
      </c>
      <c r="Y213" s="13" t="s">
        <v>99</v>
      </c>
      <c r="Z213">
        <f t="shared" si="19"/>
        <v>554</v>
      </c>
      <c r="AA213" s="39">
        <f t="shared" si="20"/>
        <v>62.81995661605206</v>
      </c>
      <c r="AB213" s="39">
        <f t="shared" si="21"/>
        <v>2072.8813929372509</v>
      </c>
      <c r="AC213">
        <f t="shared" si="24"/>
        <v>0.99970843159794398</v>
      </c>
      <c r="AD213">
        <f t="shared" si="22"/>
        <v>0.99959094095179324</v>
      </c>
      <c r="AE213">
        <f t="shared" si="23"/>
        <v>34802</v>
      </c>
    </row>
    <row r="214" spans="1:31">
      <c r="A214" s="9">
        <v>213</v>
      </c>
      <c r="B214" s="30">
        <v>40553</v>
      </c>
      <c r="C214" s="9">
        <v>1</v>
      </c>
      <c r="D214" s="9">
        <v>0</v>
      </c>
      <c r="E214" s="9">
        <v>1</v>
      </c>
      <c r="F214" s="9">
        <v>3</v>
      </c>
      <c r="G214" s="9" t="b">
        <v>0</v>
      </c>
      <c r="H214" s="9">
        <v>1</v>
      </c>
      <c r="I214" s="9">
        <v>1</v>
      </c>
      <c r="J214" s="9">
        <v>0.12</v>
      </c>
      <c r="K214" s="9">
        <v>0.1212</v>
      </c>
      <c r="L214" s="9">
        <v>0.5</v>
      </c>
      <c r="M214" s="9">
        <v>0.22389999999999999</v>
      </c>
      <c r="N214" s="9">
        <v>0</v>
      </c>
      <c r="O214" s="9">
        <v>1</v>
      </c>
      <c r="P214" s="9">
        <v>1</v>
      </c>
      <c r="Q214" s="13" t="s">
        <v>98</v>
      </c>
      <c r="R214" s="13" t="s">
        <v>79</v>
      </c>
      <c r="S214" s="9" t="s">
        <v>80</v>
      </c>
      <c r="T214" s="13" t="s">
        <v>81</v>
      </c>
      <c r="U214" s="14" t="s">
        <v>82</v>
      </c>
      <c r="V214" s="12" t="s">
        <v>83</v>
      </c>
      <c r="W214" s="15" t="s">
        <v>84</v>
      </c>
      <c r="X214" s="9" t="s">
        <v>85</v>
      </c>
      <c r="Y214" s="13" t="s">
        <v>99</v>
      </c>
      <c r="Z214">
        <f t="shared" si="19"/>
        <v>553</v>
      </c>
      <c r="AA214" s="39">
        <f t="shared" si="20"/>
        <v>62.95</v>
      </c>
      <c r="AB214" s="39">
        <f t="shared" si="21"/>
        <v>2074.1910454192162</v>
      </c>
      <c r="AC214">
        <f t="shared" si="24"/>
        <v>0.99970859925429967</v>
      </c>
      <c r="AD214">
        <f t="shared" si="22"/>
        <v>0.99959127383625157</v>
      </c>
      <c r="AE214">
        <f t="shared" si="23"/>
        <v>34799</v>
      </c>
    </row>
    <row r="215" spans="1:31">
      <c r="A215" s="10">
        <v>214</v>
      </c>
      <c r="B215" s="31">
        <v>40553</v>
      </c>
      <c r="C215" s="10">
        <v>1</v>
      </c>
      <c r="D215" s="10">
        <v>0</v>
      </c>
      <c r="E215" s="10">
        <v>1</v>
      </c>
      <c r="F215" s="10">
        <v>4</v>
      </c>
      <c r="G215" s="10" t="b">
        <v>0</v>
      </c>
      <c r="H215" s="10">
        <v>1</v>
      </c>
      <c r="I215" s="10">
        <v>1</v>
      </c>
      <c r="J215" s="10">
        <v>0.1</v>
      </c>
      <c r="K215" s="10">
        <v>0.1212</v>
      </c>
      <c r="L215" s="10">
        <v>0.54</v>
      </c>
      <c r="M215" s="10">
        <v>0.1343</v>
      </c>
      <c r="N215" s="10">
        <v>1</v>
      </c>
      <c r="O215" s="10">
        <v>2</v>
      </c>
      <c r="P215" s="10">
        <v>3</v>
      </c>
      <c r="Q215" s="13" t="s">
        <v>98</v>
      </c>
      <c r="R215" s="13" t="s">
        <v>79</v>
      </c>
      <c r="S215" s="10" t="s">
        <v>80</v>
      </c>
      <c r="T215" s="13" t="s">
        <v>81</v>
      </c>
      <c r="U215" s="14" t="s">
        <v>82</v>
      </c>
      <c r="V215" s="12" t="s">
        <v>83</v>
      </c>
      <c r="W215" s="15" t="s">
        <v>84</v>
      </c>
      <c r="X215" s="10" t="s">
        <v>85</v>
      </c>
      <c r="Y215" s="13" t="s">
        <v>99</v>
      </c>
      <c r="Z215">
        <f t="shared" si="19"/>
        <v>552</v>
      </c>
      <c r="AA215" s="39">
        <f t="shared" si="20"/>
        <v>63.084967320261441</v>
      </c>
      <c r="AB215" s="39">
        <f t="shared" si="21"/>
        <v>2075.5030220026347</v>
      </c>
      <c r="AC215">
        <f t="shared" si="24"/>
        <v>0.99970878790258444</v>
      </c>
      <c r="AD215">
        <f t="shared" si="22"/>
        <v>0.99959163627073633</v>
      </c>
      <c r="AE215">
        <f t="shared" si="23"/>
        <v>34798</v>
      </c>
    </row>
    <row r="216" spans="1:31">
      <c r="A216" s="9">
        <v>215</v>
      </c>
      <c r="B216" s="30">
        <v>40553</v>
      </c>
      <c r="C216" s="9">
        <v>1</v>
      </c>
      <c r="D216" s="9">
        <v>0</v>
      </c>
      <c r="E216" s="9">
        <v>1</v>
      </c>
      <c r="F216" s="9">
        <v>5</v>
      </c>
      <c r="G216" s="9" t="b">
        <v>0</v>
      </c>
      <c r="H216" s="9">
        <v>1</v>
      </c>
      <c r="I216" s="9">
        <v>1</v>
      </c>
      <c r="J216" s="9">
        <v>0.1</v>
      </c>
      <c r="K216" s="9">
        <v>0.1061</v>
      </c>
      <c r="L216" s="9">
        <v>0.54</v>
      </c>
      <c r="M216" s="9">
        <v>0.25369999999999998</v>
      </c>
      <c r="N216" s="9">
        <v>0</v>
      </c>
      <c r="O216" s="9">
        <v>3</v>
      </c>
      <c r="P216" s="9">
        <v>3</v>
      </c>
      <c r="Q216" s="13" t="s">
        <v>98</v>
      </c>
      <c r="R216" s="13" t="s">
        <v>79</v>
      </c>
      <c r="S216" s="9" t="s">
        <v>80</v>
      </c>
      <c r="T216" s="13" t="s">
        <v>81</v>
      </c>
      <c r="U216" s="15" t="s">
        <v>89</v>
      </c>
      <c r="V216" s="12" t="s">
        <v>83</v>
      </c>
      <c r="W216" s="15" t="s">
        <v>84</v>
      </c>
      <c r="X216" s="9" t="s">
        <v>85</v>
      </c>
      <c r="Y216" s="13" t="s">
        <v>99</v>
      </c>
      <c r="Z216">
        <f t="shared" si="19"/>
        <v>551</v>
      </c>
      <c r="AA216" s="39">
        <f t="shared" si="20"/>
        <v>63.216157205240172</v>
      </c>
      <c r="AB216" s="39">
        <f t="shared" si="21"/>
        <v>2076.8176529127331</v>
      </c>
      <c r="AC216">
        <f t="shared" si="24"/>
        <v>0.99970890442257965</v>
      </c>
      <c r="AD216">
        <f t="shared" si="22"/>
        <v>0.99959202972763905</v>
      </c>
      <c r="AE216">
        <f t="shared" si="23"/>
        <v>34795</v>
      </c>
    </row>
    <row r="217" spans="1:31">
      <c r="A217" s="10">
        <v>216</v>
      </c>
      <c r="B217" s="31">
        <v>40553</v>
      </c>
      <c r="C217" s="10">
        <v>1</v>
      </c>
      <c r="D217" s="10">
        <v>0</v>
      </c>
      <c r="E217" s="10">
        <v>1</v>
      </c>
      <c r="F217" s="10">
        <v>6</v>
      </c>
      <c r="G217" s="10" t="b">
        <v>0</v>
      </c>
      <c r="H217" s="10">
        <v>1</v>
      </c>
      <c r="I217" s="10">
        <v>1</v>
      </c>
      <c r="J217" s="10">
        <v>0.12</v>
      </c>
      <c r="K217" s="10">
        <v>0.1212</v>
      </c>
      <c r="L217" s="10">
        <v>0.5</v>
      </c>
      <c r="M217" s="10">
        <v>0.28360000000000002</v>
      </c>
      <c r="N217" s="10">
        <v>0</v>
      </c>
      <c r="O217" s="10">
        <v>31</v>
      </c>
      <c r="P217" s="10">
        <v>31</v>
      </c>
      <c r="Q217" s="13" t="s">
        <v>98</v>
      </c>
      <c r="R217" s="13" t="s">
        <v>79</v>
      </c>
      <c r="S217" s="10" t="s">
        <v>80</v>
      </c>
      <c r="T217" s="13" t="s">
        <v>81</v>
      </c>
      <c r="U217" s="15" t="s">
        <v>89</v>
      </c>
      <c r="V217" s="11" t="s">
        <v>87</v>
      </c>
      <c r="W217" s="15" t="s">
        <v>84</v>
      </c>
      <c r="X217" s="10" t="s">
        <v>85</v>
      </c>
      <c r="Y217" s="13" t="s">
        <v>99</v>
      </c>
      <c r="Z217">
        <f t="shared" si="19"/>
        <v>550</v>
      </c>
      <c r="AA217" s="39">
        <f t="shared" si="20"/>
        <v>63.347921225382933</v>
      </c>
      <c r="AB217" s="39">
        <f t="shared" si="21"/>
        <v>2078.1347850309216</v>
      </c>
      <c r="AC217">
        <f t="shared" si="24"/>
        <v>0.99970902124096639</v>
      </c>
      <c r="AD217">
        <f t="shared" si="22"/>
        <v>0.99959242419100391</v>
      </c>
      <c r="AE217">
        <f t="shared" si="23"/>
        <v>34792</v>
      </c>
    </row>
    <row r="218" spans="1:31">
      <c r="A218" s="9">
        <v>217</v>
      </c>
      <c r="B218" s="30">
        <v>40553</v>
      </c>
      <c r="C218" s="9">
        <v>1</v>
      </c>
      <c r="D218" s="9">
        <v>0</v>
      </c>
      <c r="E218" s="9">
        <v>1</v>
      </c>
      <c r="F218" s="9">
        <v>7</v>
      </c>
      <c r="G218" s="9" t="b">
        <v>0</v>
      </c>
      <c r="H218" s="9">
        <v>1</v>
      </c>
      <c r="I218" s="9">
        <v>1</v>
      </c>
      <c r="J218" s="9">
        <v>0.12</v>
      </c>
      <c r="K218" s="9">
        <v>0.1212</v>
      </c>
      <c r="L218" s="9">
        <v>0.5</v>
      </c>
      <c r="M218" s="9">
        <v>0.22389999999999999</v>
      </c>
      <c r="N218" s="9">
        <v>2</v>
      </c>
      <c r="O218" s="9">
        <v>75</v>
      </c>
      <c r="P218" s="9">
        <v>77</v>
      </c>
      <c r="Q218" s="13" t="s">
        <v>98</v>
      </c>
      <c r="R218" s="13" t="s">
        <v>79</v>
      </c>
      <c r="S218" s="9" t="s">
        <v>80</v>
      </c>
      <c r="T218" s="13" t="s">
        <v>81</v>
      </c>
      <c r="U218" s="15" t="s">
        <v>89</v>
      </c>
      <c r="V218" s="13" t="s">
        <v>93</v>
      </c>
      <c r="W218" s="15" t="s">
        <v>84</v>
      </c>
      <c r="X218" s="9" t="s">
        <v>85</v>
      </c>
      <c r="Y218" s="13" t="s">
        <v>99</v>
      </c>
      <c r="Z218">
        <f t="shared" si="19"/>
        <v>549</v>
      </c>
      <c r="AA218" s="39">
        <f t="shared" si="20"/>
        <v>63.418859649122808</v>
      </c>
      <c r="AB218" s="39">
        <f t="shared" si="21"/>
        <v>2079.4564399319715</v>
      </c>
      <c r="AC218">
        <f t="shared" si="24"/>
        <v>0.9997090256405653</v>
      </c>
      <c r="AD218">
        <f t="shared" si="22"/>
        <v>0.99959248124395594</v>
      </c>
      <c r="AE218">
        <f t="shared" si="23"/>
        <v>34761</v>
      </c>
    </row>
    <row r="219" spans="1:31">
      <c r="A219" s="10">
        <v>218</v>
      </c>
      <c r="B219" s="31">
        <v>40553</v>
      </c>
      <c r="C219" s="10">
        <v>1</v>
      </c>
      <c r="D219" s="10">
        <v>0</v>
      </c>
      <c r="E219" s="10">
        <v>1</v>
      </c>
      <c r="F219" s="10">
        <v>8</v>
      </c>
      <c r="G219" s="10" t="b">
        <v>0</v>
      </c>
      <c r="H219" s="10">
        <v>1</v>
      </c>
      <c r="I219" s="10">
        <v>2</v>
      </c>
      <c r="J219" s="10">
        <v>0.12</v>
      </c>
      <c r="K219" s="10">
        <v>0.1212</v>
      </c>
      <c r="L219" s="10">
        <v>0.5</v>
      </c>
      <c r="M219" s="10">
        <v>0.28360000000000002</v>
      </c>
      <c r="N219" s="10">
        <v>4</v>
      </c>
      <c r="O219" s="10">
        <v>184</v>
      </c>
      <c r="P219" s="10">
        <v>188</v>
      </c>
      <c r="Q219" s="13" t="s">
        <v>98</v>
      </c>
      <c r="R219" s="13" t="s">
        <v>79</v>
      </c>
      <c r="S219" s="10" t="s">
        <v>80</v>
      </c>
      <c r="T219" s="11" t="s">
        <v>88</v>
      </c>
      <c r="U219" s="15" t="s">
        <v>89</v>
      </c>
      <c r="V219" s="13" t="s">
        <v>93</v>
      </c>
      <c r="W219" s="15" t="s">
        <v>84</v>
      </c>
      <c r="X219" s="10" t="s">
        <v>85</v>
      </c>
      <c r="Y219" s="13" t="s">
        <v>99</v>
      </c>
      <c r="Z219">
        <f t="shared" si="19"/>
        <v>548</v>
      </c>
      <c r="AA219" s="39">
        <f t="shared" si="20"/>
        <v>63.389010989010991</v>
      </c>
      <c r="AB219" s="39">
        <f t="shared" si="21"/>
        <v>2080.7828876385333</v>
      </c>
      <c r="AC219">
        <f t="shared" si="24"/>
        <v>0.99970926165022178</v>
      </c>
      <c r="AD219">
        <f t="shared" si="22"/>
        <v>0.99959258151933661</v>
      </c>
      <c r="AE219">
        <f t="shared" si="23"/>
        <v>34684</v>
      </c>
    </row>
    <row r="220" spans="1:31">
      <c r="A220" s="9">
        <v>219</v>
      </c>
      <c r="B220" s="30">
        <v>40553</v>
      </c>
      <c r="C220" s="9">
        <v>1</v>
      </c>
      <c r="D220" s="9">
        <v>0</v>
      </c>
      <c r="E220" s="9">
        <v>1</v>
      </c>
      <c r="F220" s="9">
        <v>9</v>
      </c>
      <c r="G220" s="9" t="b">
        <v>0</v>
      </c>
      <c r="H220" s="9">
        <v>1</v>
      </c>
      <c r="I220" s="9">
        <v>2</v>
      </c>
      <c r="J220" s="9">
        <v>0.14000000000000001</v>
      </c>
      <c r="K220" s="9">
        <v>0.1212</v>
      </c>
      <c r="L220" s="9">
        <v>0.5</v>
      </c>
      <c r="M220" s="9">
        <v>0.25369999999999998</v>
      </c>
      <c r="N220" s="9">
        <v>2</v>
      </c>
      <c r="O220" s="9">
        <v>92</v>
      </c>
      <c r="P220" s="9">
        <v>94</v>
      </c>
      <c r="Q220" s="13" t="s">
        <v>98</v>
      </c>
      <c r="R220" s="13" t="s">
        <v>79</v>
      </c>
      <c r="S220" s="9" t="s">
        <v>80</v>
      </c>
      <c r="T220" s="11" t="s">
        <v>88</v>
      </c>
      <c r="U220" s="15" t="s">
        <v>89</v>
      </c>
      <c r="V220" s="13" t="s">
        <v>93</v>
      </c>
      <c r="W220" s="15" t="s">
        <v>84</v>
      </c>
      <c r="X220" s="9" t="s">
        <v>85</v>
      </c>
      <c r="Y220" s="13" t="s">
        <v>99</v>
      </c>
      <c r="Z220">
        <f t="shared" si="19"/>
        <v>547</v>
      </c>
      <c r="AA220" s="39">
        <f t="shared" si="20"/>
        <v>63.389010989010991</v>
      </c>
      <c r="AB220" s="39">
        <f t="shared" si="21"/>
        <v>2082.111999703749</v>
      </c>
      <c r="AC220">
        <f t="shared" si="24"/>
        <v>0.99971263160019919</v>
      </c>
      <c r="AD220">
        <f t="shared" si="22"/>
        <v>0.99959535959152301</v>
      </c>
      <c r="AE220">
        <f t="shared" si="23"/>
        <v>34496</v>
      </c>
    </row>
    <row r="221" spans="1:31">
      <c r="A221" s="10">
        <v>220</v>
      </c>
      <c r="B221" s="31">
        <v>40553</v>
      </c>
      <c r="C221" s="10">
        <v>1</v>
      </c>
      <c r="D221" s="10">
        <v>0</v>
      </c>
      <c r="E221" s="10">
        <v>1</v>
      </c>
      <c r="F221" s="10">
        <v>10</v>
      </c>
      <c r="G221" s="10" t="b">
        <v>0</v>
      </c>
      <c r="H221" s="10">
        <v>1</v>
      </c>
      <c r="I221" s="10">
        <v>2</v>
      </c>
      <c r="J221" s="10">
        <v>0.14000000000000001</v>
      </c>
      <c r="K221" s="10">
        <v>0.1212</v>
      </c>
      <c r="L221" s="10">
        <v>0.5</v>
      </c>
      <c r="M221" s="10">
        <v>0.29849999999999999</v>
      </c>
      <c r="N221" s="10">
        <v>0</v>
      </c>
      <c r="O221" s="10">
        <v>31</v>
      </c>
      <c r="P221" s="10">
        <v>31</v>
      </c>
      <c r="Q221" s="13" t="s">
        <v>98</v>
      </c>
      <c r="R221" s="13" t="s">
        <v>79</v>
      </c>
      <c r="S221" s="10" t="s">
        <v>80</v>
      </c>
      <c r="T221" s="11" t="s">
        <v>88</v>
      </c>
      <c r="U221" s="13" t="s">
        <v>91</v>
      </c>
      <c r="V221" s="11" t="s">
        <v>87</v>
      </c>
      <c r="W221" s="15" t="s">
        <v>84</v>
      </c>
      <c r="X221" s="10" t="s">
        <v>85</v>
      </c>
      <c r="Y221" s="13" t="s">
        <v>99</v>
      </c>
      <c r="Z221">
        <f t="shared" si="19"/>
        <v>546</v>
      </c>
      <c r="AA221" s="39">
        <f t="shared" si="20"/>
        <v>63.389010989010991</v>
      </c>
      <c r="AB221" s="39">
        <f t="shared" si="21"/>
        <v>2083.4440535654617</v>
      </c>
      <c r="AC221">
        <f t="shared" si="24"/>
        <v>0.99971302441655341</v>
      </c>
      <c r="AD221">
        <f t="shared" si="22"/>
        <v>0.99959563654990824</v>
      </c>
      <c r="AE221">
        <f t="shared" si="23"/>
        <v>34402</v>
      </c>
    </row>
    <row r="222" spans="1:31">
      <c r="A222" s="9">
        <v>221</v>
      </c>
      <c r="B222" s="30">
        <v>40553</v>
      </c>
      <c r="C222" s="9">
        <v>1</v>
      </c>
      <c r="D222" s="9">
        <v>0</v>
      </c>
      <c r="E222" s="9">
        <v>1</v>
      </c>
      <c r="F222" s="9">
        <v>11</v>
      </c>
      <c r="G222" s="9" t="b">
        <v>0</v>
      </c>
      <c r="H222" s="9">
        <v>1</v>
      </c>
      <c r="I222" s="9">
        <v>2</v>
      </c>
      <c r="J222" s="9">
        <v>0.16</v>
      </c>
      <c r="K222" s="9">
        <v>0.13639999999999999</v>
      </c>
      <c r="L222" s="9">
        <v>0.47</v>
      </c>
      <c r="M222" s="9">
        <v>0.28360000000000002</v>
      </c>
      <c r="N222" s="9">
        <v>2</v>
      </c>
      <c r="O222" s="9">
        <v>28</v>
      </c>
      <c r="P222" s="9">
        <v>30</v>
      </c>
      <c r="Q222" s="13" t="s">
        <v>98</v>
      </c>
      <c r="R222" s="13" t="s">
        <v>79</v>
      </c>
      <c r="S222" s="9" t="s">
        <v>80</v>
      </c>
      <c r="T222" s="11" t="s">
        <v>88</v>
      </c>
      <c r="U222" s="13" t="s">
        <v>91</v>
      </c>
      <c r="V222" s="11" t="s">
        <v>87</v>
      </c>
      <c r="W222" s="15" t="s">
        <v>84</v>
      </c>
      <c r="X222" s="9" t="s">
        <v>85</v>
      </c>
      <c r="Y222" s="13" t="s">
        <v>99</v>
      </c>
      <c r="Z222">
        <f t="shared" si="19"/>
        <v>545</v>
      </c>
      <c r="AA222" s="39">
        <f t="shared" si="20"/>
        <v>63.389010989010991</v>
      </c>
      <c r="AB222" s="39">
        <f t="shared" si="21"/>
        <v>2084.775882751605</v>
      </c>
      <c r="AC222">
        <f t="shared" si="24"/>
        <v>0.99971304256646365</v>
      </c>
      <c r="AD222">
        <f t="shared" si="22"/>
        <v>0.99959569221462485</v>
      </c>
      <c r="AE222">
        <f t="shared" si="23"/>
        <v>34371</v>
      </c>
    </row>
    <row r="223" spans="1:31">
      <c r="A223" s="10">
        <v>222</v>
      </c>
      <c r="B223" s="31">
        <v>40553</v>
      </c>
      <c r="C223" s="10">
        <v>1</v>
      </c>
      <c r="D223" s="10">
        <v>0</v>
      </c>
      <c r="E223" s="10">
        <v>1</v>
      </c>
      <c r="F223" s="10">
        <v>12</v>
      </c>
      <c r="G223" s="10" t="b">
        <v>0</v>
      </c>
      <c r="H223" s="10">
        <v>1</v>
      </c>
      <c r="I223" s="10">
        <v>2</v>
      </c>
      <c r="J223" s="10">
        <v>0.2</v>
      </c>
      <c r="K223" s="10">
        <v>0.18179999999999999</v>
      </c>
      <c r="L223" s="10">
        <v>0.4</v>
      </c>
      <c r="M223" s="10">
        <v>0.28360000000000002</v>
      </c>
      <c r="N223" s="10">
        <v>5</v>
      </c>
      <c r="O223" s="10">
        <v>47</v>
      </c>
      <c r="P223" s="10">
        <v>52</v>
      </c>
      <c r="Q223" s="13" t="s">
        <v>98</v>
      </c>
      <c r="R223" s="13" t="s">
        <v>79</v>
      </c>
      <c r="S223" s="10" t="s">
        <v>80</v>
      </c>
      <c r="T223" s="11" t="s">
        <v>88</v>
      </c>
      <c r="U223" s="11" t="s">
        <v>92</v>
      </c>
      <c r="V223" s="11" t="s">
        <v>87</v>
      </c>
      <c r="W223" s="15" t="s">
        <v>84</v>
      </c>
      <c r="X223" s="10" t="s">
        <v>85</v>
      </c>
      <c r="Y223" s="13" t="s">
        <v>99</v>
      </c>
      <c r="Z223">
        <f t="shared" si="19"/>
        <v>544</v>
      </c>
      <c r="AA223" s="39">
        <f t="shared" si="20"/>
        <v>63.389010989010991</v>
      </c>
      <c r="AB223" s="39">
        <f t="shared" si="21"/>
        <v>2086.1102052634537</v>
      </c>
      <c r="AC223">
        <f t="shared" si="24"/>
        <v>0.99971308968876815</v>
      </c>
      <c r="AD223">
        <f t="shared" si="22"/>
        <v>0.99959573695982917</v>
      </c>
      <c r="AE223">
        <f t="shared" si="23"/>
        <v>34341</v>
      </c>
    </row>
    <row r="224" spans="1:31">
      <c r="A224" s="9">
        <v>223</v>
      </c>
      <c r="B224" s="30">
        <v>40553</v>
      </c>
      <c r="C224" s="9">
        <v>1</v>
      </c>
      <c r="D224" s="9">
        <v>0</v>
      </c>
      <c r="E224" s="9">
        <v>1</v>
      </c>
      <c r="F224" s="9">
        <v>13</v>
      </c>
      <c r="G224" s="9" t="b">
        <v>0</v>
      </c>
      <c r="H224" s="9">
        <v>1</v>
      </c>
      <c r="I224" s="9">
        <v>2</v>
      </c>
      <c r="J224" s="9">
        <v>0.2</v>
      </c>
      <c r="K224" s="9">
        <v>0.18179999999999999</v>
      </c>
      <c r="L224" s="9">
        <v>0.4</v>
      </c>
      <c r="M224" s="9">
        <v>0.28360000000000002</v>
      </c>
      <c r="N224" s="9">
        <v>4</v>
      </c>
      <c r="O224" s="9">
        <v>50</v>
      </c>
      <c r="P224" s="9">
        <v>54</v>
      </c>
      <c r="Q224" s="13" t="s">
        <v>98</v>
      </c>
      <c r="R224" s="13" t="s">
        <v>79</v>
      </c>
      <c r="S224" s="9" t="s">
        <v>80</v>
      </c>
      <c r="T224" s="11" t="s">
        <v>88</v>
      </c>
      <c r="U224" s="11" t="s">
        <v>92</v>
      </c>
      <c r="V224" s="11" t="s">
        <v>87</v>
      </c>
      <c r="W224" s="15" t="s">
        <v>84</v>
      </c>
      <c r="X224" s="9" t="s">
        <v>85</v>
      </c>
      <c r="Y224" s="13" t="s">
        <v>99</v>
      </c>
      <c r="Z224">
        <f t="shared" si="19"/>
        <v>543</v>
      </c>
      <c r="AA224" s="39">
        <f t="shared" si="20"/>
        <v>63.389010989010991</v>
      </c>
      <c r="AB224" s="39">
        <f t="shared" si="21"/>
        <v>2087.448361942631</v>
      </c>
      <c r="AC224">
        <f t="shared" si="24"/>
        <v>0.99971309716479739</v>
      </c>
      <c r="AD224">
        <f t="shared" si="22"/>
        <v>0.99959575510579968</v>
      </c>
      <c r="AE224">
        <f t="shared" si="23"/>
        <v>34289</v>
      </c>
    </row>
    <row r="225" spans="1:31">
      <c r="A225" s="10">
        <v>224</v>
      </c>
      <c r="B225" s="31">
        <v>40553</v>
      </c>
      <c r="C225" s="10">
        <v>1</v>
      </c>
      <c r="D225" s="10">
        <v>0</v>
      </c>
      <c r="E225" s="10">
        <v>1</v>
      </c>
      <c r="F225" s="10">
        <v>14</v>
      </c>
      <c r="G225" s="10" t="b">
        <v>0</v>
      </c>
      <c r="H225" s="10">
        <v>1</v>
      </c>
      <c r="I225" s="10">
        <v>2</v>
      </c>
      <c r="J225" s="10">
        <v>0.2</v>
      </c>
      <c r="K225" s="10">
        <v>0.19700000000000001</v>
      </c>
      <c r="L225" s="10">
        <v>0.4</v>
      </c>
      <c r="M225" s="10">
        <v>0.22389999999999999</v>
      </c>
      <c r="N225" s="10">
        <v>0</v>
      </c>
      <c r="O225" s="10">
        <v>47</v>
      </c>
      <c r="P225" s="10">
        <v>47</v>
      </c>
      <c r="Q225" s="13" t="s">
        <v>98</v>
      </c>
      <c r="R225" s="13" t="s">
        <v>79</v>
      </c>
      <c r="S225" s="10" t="s">
        <v>80</v>
      </c>
      <c r="T225" s="11" t="s">
        <v>88</v>
      </c>
      <c r="U225" s="13" t="s">
        <v>94</v>
      </c>
      <c r="V225" s="11" t="s">
        <v>87</v>
      </c>
      <c r="W225" s="15" t="s">
        <v>84</v>
      </c>
      <c r="X225" s="10" t="s">
        <v>85</v>
      </c>
      <c r="Y225" s="13" t="s">
        <v>99</v>
      </c>
      <c r="Z225">
        <f t="shared" si="19"/>
        <v>542</v>
      </c>
      <c r="AA225" s="39">
        <f t="shared" si="20"/>
        <v>63.389010989010991</v>
      </c>
      <c r="AB225" s="39">
        <f t="shared" si="21"/>
        <v>2088.7891978014791</v>
      </c>
      <c r="AC225">
        <f t="shared" si="24"/>
        <v>0.99971310091015486</v>
      </c>
      <c r="AD225">
        <f t="shared" si="22"/>
        <v>0.99959578063175258</v>
      </c>
      <c r="AE225">
        <f t="shared" si="23"/>
        <v>34235</v>
      </c>
    </row>
    <row r="226" spans="1:31">
      <c r="A226" s="9">
        <v>225</v>
      </c>
      <c r="B226" s="30">
        <v>40553</v>
      </c>
      <c r="C226" s="9">
        <v>1</v>
      </c>
      <c r="D226" s="9">
        <v>0</v>
      </c>
      <c r="E226" s="9">
        <v>1</v>
      </c>
      <c r="F226" s="9">
        <v>15</v>
      </c>
      <c r="G226" s="9" t="b">
        <v>0</v>
      </c>
      <c r="H226" s="9">
        <v>1</v>
      </c>
      <c r="I226" s="9">
        <v>2</v>
      </c>
      <c r="J226" s="9">
        <v>0.2</v>
      </c>
      <c r="K226" s="9">
        <v>0.19700000000000001</v>
      </c>
      <c r="L226" s="9">
        <v>0.4</v>
      </c>
      <c r="M226" s="9">
        <v>0.22389999999999999</v>
      </c>
      <c r="N226" s="9">
        <v>2</v>
      </c>
      <c r="O226" s="9">
        <v>43</v>
      </c>
      <c r="P226" s="9">
        <v>45</v>
      </c>
      <c r="Q226" s="13" t="s">
        <v>98</v>
      </c>
      <c r="R226" s="13" t="s">
        <v>79</v>
      </c>
      <c r="S226" s="9" t="s">
        <v>80</v>
      </c>
      <c r="T226" s="11" t="s">
        <v>88</v>
      </c>
      <c r="U226" s="13" t="s">
        <v>94</v>
      </c>
      <c r="V226" s="11" t="s">
        <v>87</v>
      </c>
      <c r="W226" s="15" t="s">
        <v>84</v>
      </c>
      <c r="X226" s="9" t="s">
        <v>85</v>
      </c>
      <c r="Y226" s="13" t="s">
        <v>99</v>
      </c>
      <c r="Z226">
        <f t="shared" si="19"/>
        <v>541</v>
      </c>
      <c r="AA226" s="39">
        <f t="shared" si="20"/>
        <v>63.389010989010991</v>
      </c>
      <c r="AB226" s="39">
        <f t="shared" si="21"/>
        <v>2090.1322566645426</v>
      </c>
      <c r="AC226">
        <f t="shared" si="24"/>
        <v>0.99971312297157855</v>
      </c>
      <c r="AD226">
        <f t="shared" si="22"/>
        <v>0.99959578568846541</v>
      </c>
      <c r="AE226">
        <f t="shared" si="23"/>
        <v>34188</v>
      </c>
    </row>
    <row r="227" spans="1:31">
      <c r="A227" s="10">
        <v>226</v>
      </c>
      <c r="B227" s="31">
        <v>40553</v>
      </c>
      <c r="C227" s="10">
        <v>1</v>
      </c>
      <c r="D227" s="10">
        <v>0</v>
      </c>
      <c r="E227" s="10">
        <v>1</v>
      </c>
      <c r="F227" s="10">
        <v>16</v>
      </c>
      <c r="G227" s="10" t="b">
        <v>0</v>
      </c>
      <c r="H227" s="10">
        <v>1</v>
      </c>
      <c r="I227" s="10">
        <v>1</v>
      </c>
      <c r="J227" s="10">
        <v>0.2</v>
      </c>
      <c r="K227" s="10">
        <v>0.21210000000000001</v>
      </c>
      <c r="L227" s="10">
        <v>0.4</v>
      </c>
      <c r="M227" s="10">
        <v>0.1343</v>
      </c>
      <c r="N227" s="10">
        <v>4</v>
      </c>
      <c r="O227" s="10">
        <v>70</v>
      </c>
      <c r="P227" s="10">
        <v>74</v>
      </c>
      <c r="Q227" s="13" t="s">
        <v>98</v>
      </c>
      <c r="R227" s="13" t="s">
        <v>79</v>
      </c>
      <c r="S227" s="10" t="s">
        <v>80</v>
      </c>
      <c r="T227" s="13" t="s">
        <v>81</v>
      </c>
      <c r="U227" s="13" t="s">
        <v>94</v>
      </c>
      <c r="V227" s="13" t="s">
        <v>93</v>
      </c>
      <c r="W227" s="15" t="s">
        <v>84</v>
      </c>
      <c r="X227" s="10" t="s">
        <v>85</v>
      </c>
      <c r="Y227" s="13" t="s">
        <v>99</v>
      </c>
      <c r="Z227">
        <f t="shared" si="19"/>
        <v>540</v>
      </c>
      <c r="AA227" s="39">
        <f t="shared" si="20"/>
        <v>63.389010989010991</v>
      </c>
      <c r="AB227" s="39">
        <f t="shared" si="21"/>
        <v>2091.4777997615888</v>
      </c>
      <c r="AC227">
        <f t="shared" si="24"/>
        <v>0.99971315298734531</v>
      </c>
      <c r="AD227">
        <f t="shared" si="22"/>
        <v>0.99959578754331435</v>
      </c>
      <c r="AE227">
        <f t="shared" si="23"/>
        <v>34143</v>
      </c>
    </row>
    <row r="228" spans="1:31">
      <c r="A228" s="9">
        <v>227</v>
      </c>
      <c r="B228" s="30">
        <v>40553</v>
      </c>
      <c r="C228" s="9">
        <v>1</v>
      </c>
      <c r="D228" s="9">
        <v>0</v>
      </c>
      <c r="E228" s="9">
        <v>1</v>
      </c>
      <c r="F228" s="9">
        <v>17</v>
      </c>
      <c r="G228" s="9" t="b">
        <v>0</v>
      </c>
      <c r="H228" s="9">
        <v>1</v>
      </c>
      <c r="I228" s="9">
        <v>1</v>
      </c>
      <c r="J228" s="9">
        <v>0.2</v>
      </c>
      <c r="K228" s="9">
        <v>0.2273</v>
      </c>
      <c r="L228" s="9">
        <v>0.4</v>
      </c>
      <c r="M228" s="9">
        <v>0.1045</v>
      </c>
      <c r="N228" s="9">
        <v>4</v>
      </c>
      <c r="O228" s="9">
        <v>174</v>
      </c>
      <c r="P228" s="9">
        <v>178</v>
      </c>
      <c r="Q228" s="13" t="s">
        <v>98</v>
      </c>
      <c r="R228" s="13" t="s">
        <v>79</v>
      </c>
      <c r="S228" s="9" t="s">
        <v>80</v>
      </c>
      <c r="T228" s="13" t="s">
        <v>81</v>
      </c>
      <c r="U228" s="15" t="s">
        <v>95</v>
      </c>
      <c r="V228" s="13" t="s">
        <v>93</v>
      </c>
      <c r="W228" s="15" t="s">
        <v>84</v>
      </c>
      <c r="X228" s="9" t="s">
        <v>85</v>
      </c>
      <c r="Y228" s="13" t="s">
        <v>99</v>
      </c>
      <c r="Z228">
        <f t="shared" si="19"/>
        <v>539</v>
      </c>
      <c r="AA228" s="39">
        <f t="shared" si="20"/>
        <v>63.365638766519822</v>
      </c>
      <c r="AB228" s="39">
        <f t="shared" si="21"/>
        <v>2092.827297985064</v>
      </c>
      <c r="AC228">
        <f t="shared" si="24"/>
        <v>0.99971318401132403</v>
      </c>
      <c r="AD228">
        <f t="shared" si="22"/>
        <v>0.99959595165619253</v>
      </c>
      <c r="AE228">
        <f t="shared" si="23"/>
        <v>34069</v>
      </c>
    </row>
    <row r="229" spans="1:31">
      <c r="A229" s="10">
        <v>228</v>
      </c>
      <c r="B229" s="31">
        <v>40553</v>
      </c>
      <c r="C229" s="10">
        <v>1</v>
      </c>
      <c r="D229" s="10">
        <v>0</v>
      </c>
      <c r="E229" s="10">
        <v>1</v>
      </c>
      <c r="F229" s="10">
        <v>18</v>
      </c>
      <c r="G229" s="10" t="b">
        <v>0</v>
      </c>
      <c r="H229" s="10">
        <v>1</v>
      </c>
      <c r="I229" s="10">
        <v>1</v>
      </c>
      <c r="J229" s="10">
        <v>0.2</v>
      </c>
      <c r="K229" s="10">
        <v>0.19700000000000001</v>
      </c>
      <c r="L229" s="10">
        <v>0.4</v>
      </c>
      <c r="M229" s="10">
        <v>0.22389999999999999</v>
      </c>
      <c r="N229" s="10">
        <v>1</v>
      </c>
      <c r="O229" s="10">
        <v>154</v>
      </c>
      <c r="P229" s="10">
        <v>155</v>
      </c>
      <c r="Q229" s="13" t="s">
        <v>98</v>
      </c>
      <c r="R229" s="13" t="s">
        <v>79</v>
      </c>
      <c r="S229" s="10" t="s">
        <v>80</v>
      </c>
      <c r="T229" s="13" t="s">
        <v>81</v>
      </c>
      <c r="U229" s="15" t="s">
        <v>95</v>
      </c>
      <c r="V229" s="13" t="s">
        <v>93</v>
      </c>
      <c r="W229" s="15" t="s">
        <v>84</v>
      </c>
      <c r="X229" s="10" t="s">
        <v>85</v>
      </c>
      <c r="Y229" s="13" t="s">
        <v>99</v>
      </c>
      <c r="Z229">
        <f t="shared" si="19"/>
        <v>538</v>
      </c>
      <c r="AA229" s="39">
        <f t="shared" si="20"/>
        <v>63.11258278145695</v>
      </c>
      <c r="AB229" s="39">
        <f t="shared" si="21"/>
        <v>2094.1799949257179</v>
      </c>
      <c r="AC229">
        <f t="shared" si="24"/>
        <v>0.99971526116471632</v>
      </c>
      <c r="AD229">
        <f t="shared" si="22"/>
        <v>0.99959874128957815</v>
      </c>
      <c r="AE229">
        <f t="shared" si="23"/>
        <v>33891</v>
      </c>
    </row>
    <row r="230" spans="1:31">
      <c r="A230" s="9">
        <v>229</v>
      </c>
      <c r="B230" s="30">
        <v>40553</v>
      </c>
      <c r="C230" s="9">
        <v>1</v>
      </c>
      <c r="D230" s="9">
        <v>0</v>
      </c>
      <c r="E230" s="9">
        <v>1</v>
      </c>
      <c r="F230" s="9">
        <v>19</v>
      </c>
      <c r="G230" s="9" t="b">
        <v>0</v>
      </c>
      <c r="H230" s="9">
        <v>1</v>
      </c>
      <c r="I230" s="9">
        <v>1</v>
      </c>
      <c r="J230" s="9">
        <v>0.16</v>
      </c>
      <c r="K230" s="9">
        <v>0.16669999999999999</v>
      </c>
      <c r="L230" s="9">
        <v>0.47</v>
      </c>
      <c r="M230" s="9">
        <v>0.16420000000000001</v>
      </c>
      <c r="N230" s="9">
        <v>3</v>
      </c>
      <c r="O230" s="9">
        <v>92</v>
      </c>
      <c r="P230" s="9">
        <v>95</v>
      </c>
      <c r="Q230" s="13" t="s">
        <v>98</v>
      </c>
      <c r="R230" s="13" t="s">
        <v>79</v>
      </c>
      <c r="S230" s="9" t="s">
        <v>80</v>
      </c>
      <c r="T230" s="13" t="s">
        <v>81</v>
      </c>
      <c r="U230" s="15" t="s">
        <v>95</v>
      </c>
      <c r="V230" s="13" t="s">
        <v>93</v>
      </c>
      <c r="W230" s="15" t="s">
        <v>84</v>
      </c>
      <c r="X230" s="9" t="s">
        <v>85</v>
      </c>
      <c r="Y230" s="13" t="s">
        <v>99</v>
      </c>
      <c r="Z230">
        <f t="shared" si="19"/>
        <v>537</v>
      </c>
      <c r="AA230" s="39">
        <f t="shared" si="20"/>
        <v>62.909292035398231</v>
      </c>
      <c r="AB230" s="39">
        <f t="shared" si="21"/>
        <v>2095.5357664999497</v>
      </c>
      <c r="AC230">
        <f t="shared" si="24"/>
        <v>0.99971661511231624</v>
      </c>
      <c r="AD230">
        <f t="shared" si="22"/>
        <v>0.99960068137323155</v>
      </c>
      <c r="AE230">
        <f t="shared" si="23"/>
        <v>33736</v>
      </c>
    </row>
    <row r="231" spans="1:31">
      <c r="A231" s="10">
        <v>230</v>
      </c>
      <c r="B231" s="31">
        <v>40553</v>
      </c>
      <c r="C231" s="10">
        <v>1</v>
      </c>
      <c r="D231" s="10">
        <v>0</v>
      </c>
      <c r="E231" s="10">
        <v>1</v>
      </c>
      <c r="F231" s="10">
        <v>20</v>
      </c>
      <c r="G231" s="10" t="b">
        <v>0</v>
      </c>
      <c r="H231" s="10">
        <v>1</v>
      </c>
      <c r="I231" s="10">
        <v>1</v>
      </c>
      <c r="J231" s="10">
        <v>0.16</v>
      </c>
      <c r="K231" s="10">
        <v>0.16669999999999999</v>
      </c>
      <c r="L231" s="10">
        <v>0.5</v>
      </c>
      <c r="M231" s="10">
        <v>0.16420000000000001</v>
      </c>
      <c r="N231" s="10">
        <v>1</v>
      </c>
      <c r="O231" s="10">
        <v>73</v>
      </c>
      <c r="P231" s="10">
        <v>74</v>
      </c>
      <c r="Q231" s="13" t="s">
        <v>98</v>
      </c>
      <c r="R231" s="13" t="s">
        <v>79</v>
      </c>
      <c r="S231" s="10" t="s">
        <v>80</v>
      </c>
      <c r="T231" s="13" t="s">
        <v>81</v>
      </c>
      <c r="U231" s="16" t="s">
        <v>97</v>
      </c>
      <c r="V231" s="13" t="s">
        <v>93</v>
      </c>
      <c r="W231" s="15" t="s">
        <v>84</v>
      </c>
      <c r="X231" s="10" t="s">
        <v>85</v>
      </c>
      <c r="Y231" s="13" t="s">
        <v>99</v>
      </c>
      <c r="Z231">
        <f t="shared" si="19"/>
        <v>536</v>
      </c>
      <c r="AA231" s="39">
        <f t="shared" si="20"/>
        <v>62.838137472283812</v>
      </c>
      <c r="AB231" s="39">
        <f t="shared" si="21"/>
        <v>2096.8938036861459</v>
      </c>
      <c r="AC231">
        <f t="shared" si="24"/>
        <v>0.99971694390589716</v>
      </c>
      <c r="AD231">
        <f t="shared" si="22"/>
        <v>0.99960101787155098</v>
      </c>
      <c r="AE231">
        <f t="shared" si="23"/>
        <v>33641</v>
      </c>
    </row>
    <row r="232" spans="1:31">
      <c r="A232" s="9">
        <v>231</v>
      </c>
      <c r="B232" s="30">
        <v>40553</v>
      </c>
      <c r="C232" s="9">
        <v>1</v>
      </c>
      <c r="D232" s="9">
        <v>0</v>
      </c>
      <c r="E232" s="9">
        <v>1</v>
      </c>
      <c r="F232" s="9">
        <v>21</v>
      </c>
      <c r="G232" s="9" t="b">
        <v>0</v>
      </c>
      <c r="H232" s="9">
        <v>1</v>
      </c>
      <c r="I232" s="9">
        <v>1</v>
      </c>
      <c r="J232" s="9">
        <v>0.14000000000000001</v>
      </c>
      <c r="K232" s="9">
        <v>0.13639999999999999</v>
      </c>
      <c r="L232" s="9">
        <v>0.59</v>
      </c>
      <c r="M232" s="9">
        <v>0.19400000000000001</v>
      </c>
      <c r="N232" s="9">
        <v>1</v>
      </c>
      <c r="O232" s="9">
        <v>37</v>
      </c>
      <c r="P232" s="9">
        <v>38</v>
      </c>
      <c r="Q232" s="13" t="s">
        <v>98</v>
      </c>
      <c r="R232" s="13" t="s">
        <v>79</v>
      </c>
      <c r="S232" s="9" t="s">
        <v>80</v>
      </c>
      <c r="T232" s="13" t="s">
        <v>81</v>
      </c>
      <c r="U232" s="16" t="s">
        <v>97</v>
      </c>
      <c r="V232" s="11" t="s">
        <v>87</v>
      </c>
      <c r="W232" s="15" t="s">
        <v>84</v>
      </c>
      <c r="X232" s="9" t="s">
        <v>85</v>
      </c>
      <c r="Y232" s="13" t="s">
        <v>99</v>
      </c>
      <c r="Z232">
        <f t="shared" si="19"/>
        <v>535</v>
      </c>
      <c r="AA232" s="39">
        <f t="shared" si="20"/>
        <v>62.813333333333333</v>
      </c>
      <c r="AB232" s="39">
        <f t="shared" si="21"/>
        <v>2098.253826880974</v>
      </c>
      <c r="AC232">
        <f t="shared" si="24"/>
        <v>0.99971704537420036</v>
      </c>
      <c r="AD232">
        <f t="shared" si="22"/>
        <v>0.99960110110049094</v>
      </c>
      <c r="AE232">
        <f t="shared" si="23"/>
        <v>33567</v>
      </c>
    </row>
    <row r="233" spans="1:31">
      <c r="A233" s="10">
        <v>232</v>
      </c>
      <c r="B233" s="31">
        <v>40553</v>
      </c>
      <c r="C233" s="10">
        <v>1</v>
      </c>
      <c r="D233" s="10">
        <v>0</v>
      </c>
      <c r="E233" s="10">
        <v>1</v>
      </c>
      <c r="F233" s="10">
        <v>22</v>
      </c>
      <c r="G233" s="10" t="b">
        <v>0</v>
      </c>
      <c r="H233" s="10">
        <v>1</v>
      </c>
      <c r="I233" s="10">
        <v>1</v>
      </c>
      <c r="J233" s="10">
        <v>0.14000000000000001</v>
      </c>
      <c r="K233" s="10">
        <v>0.1515</v>
      </c>
      <c r="L233" s="10">
        <v>0.59</v>
      </c>
      <c r="M233" s="10">
        <v>0.16420000000000001</v>
      </c>
      <c r="N233" s="10">
        <v>2</v>
      </c>
      <c r="O233" s="10">
        <v>22</v>
      </c>
      <c r="P233" s="10">
        <v>24</v>
      </c>
      <c r="Q233" s="13" t="s">
        <v>98</v>
      </c>
      <c r="R233" s="13" t="s">
        <v>79</v>
      </c>
      <c r="S233" s="10" t="s">
        <v>80</v>
      </c>
      <c r="T233" s="13" t="s">
        <v>81</v>
      </c>
      <c r="U233" s="16" t="s">
        <v>97</v>
      </c>
      <c r="V233" s="12" t="s">
        <v>83</v>
      </c>
      <c r="W233" s="15" t="s">
        <v>84</v>
      </c>
      <c r="X233" s="10" t="s">
        <v>85</v>
      </c>
      <c r="Y233" s="13" t="s">
        <v>99</v>
      </c>
      <c r="Z233">
        <f t="shared" si="19"/>
        <v>534</v>
      </c>
      <c r="AA233" s="39">
        <f t="shared" si="20"/>
        <v>62.86859688195991</v>
      </c>
      <c r="AB233" s="39">
        <f t="shared" si="21"/>
        <v>2099.6147335466881</v>
      </c>
      <c r="AC233">
        <f t="shared" si="24"/>
        <v>0.99971704701421205</v>
      </c>
      <c r="AD233">
        <f t="shared" si="22"/>
        <v>0.99960116625883089</v>
      </c>
      <c r="AE233">
        <f t="shared" si="23"/>
        <v>33529</v>
      </c>
    </row>
    <row r="234" spans="1:31">
      <c r="A234" s="9">
        <v>233</v>
      </c>
      <c r="B234" s="30">
        <v>40553</v>
      </c>
      <c r="C234" s="9">
        <v>1</v>
      </c>
      <c r="D234" s="9">
        <v>0</v>
      </c>
      <c r="E234" s="9">
        <v>1</v>
      </c>
      <c r="F234" s="9">
        <v>23</v>
      </c>
      <c r="G234" s="9" t="b">
        <v>0</v>
      </c>
      <c r="H234" s="9">
        <v>1</v>
      </c>
      <c r="I234" s="9">
        <v>1</v>
      </c>
      <c r="J234" s="9">
        <v>0.14000000000000001</v>
      </c>
      <c r="K234" s="9">
        <v>0.1515</v>
      </c>
      <c r="L234" s="9">
        <v>0.59</v>
      </c>
      <c r="M234" s="9">
        <v>0.16420000000000001</v>
      </c>
      <c r="N234" s="9">
        <v>0</v>
      </c>
      <c r="O234" s="9">
        <v>18</v>
      </c>
      <c r="P234" s="9">
        <v>18</v>
      </c>
      <c r="Q234" s="13" t="s">
        <v>98</v>
      </c>
      <c r="R234" s="13" t="s">
        <v>79</v>
      </c>
      <c r="S234" s="9" t="s">
        <v>80</v>
      </c>
      <c r="T234" s="13" t="s">
        <v>81</v>
      </c>
      <c r="U234" s="16" t="s">
        <v>97</v>
      </c>
      <c r="V234" s="12" t="s">
        <v>83</v>
      </c>
      <c r="W234" s="15" t="s">
        <v>84</v>
      </c>
      <c r="X234" s="9" t="s">
        <v>85</v>
      </c>
      <c r="Y234" s="13" t="s">
        <v>99</v>
      </c>
      <c r="Z234">
        <f t="shared" si="19"/>
        <v>533</v>
      </c>
      <c r="AA234" s="39">
        <f t="shared" si="20"/>
        <v>62.955357142857146</v>
      </c>
      <c r="AB234" s="39">
        <f t="shared" si="21"/>
        <v>2100.9773860389741</v>
      </c>
      <c r="AC234">
        <f t="shared" si="24"/>
        <v>0.99971709416077303</v>
      </c>
      <c r="AD234">
        <f t="shared" si="22"/>
        <v>0.99960134792785382</v>
      </c>
      <c r="AE234">
        <f t="shared" si="23"/>
        <v>33505</v>
      </c>
    </row>
    <row r="235" spans="1:31">
      <c r="A235" s="10">
        <v>234</v>
      </c>
      <c r="B235" s="31">
        <v>40554</v>
      </c>
      <c r="C235" s="10">
        <v>1</v>
      </c>
      <c r="D235" s="10">
        <v>0</v>
      </c>
      <c r="E235" s="10">
        <v>1</v>
      </c>
      <c r="F235" s="10">
        <v>0</v>
      </c>
      <c r="G235" s="10" t="b">
        <v>0</v>
      </c>
      <c r="H235" s="10">
        <v>2</v>
      </c>
      <c r="I235" s="10">
        <v>1</v>
      </c>
      <c r="J235" s="10">
        <v>0.14000000000000001</v>
      </c>
      <c r="K235" s="10">
        <v>0.16669999999999999</v>
      </c>
      <c r="L235" s="10">
        <v>0.59</v>
      </c>
      <c r="M235" s="10">
        <v>0.1045</v>
      </c>
      <c r="N235" s="10">
        <v>2</v>
      </c>
      <c r="O235" s="10">
        <v>10</v>
      </c>
      <c r="P235" s="10">
        <v>12</v>
      </c>
      <c r="Q235" s="13" t="s">
        <v>98</v>
      </c>
      <c r="R235" s="13" t="s">
        <v>79</v>
      </c>
      <c r="S235" s="10" t="s">
        <v>80</v>
      </c>
      <c r="T235" s="13" t="s">
        <v>81</v>
      </c>
      <c r="U235" s="14" t="s">
        <v>82</v>
      </c>
      <c r="V235" s="12" t="s">
        <v>83</v>
      </c>
      <c r="W235" s="15" t="s">
        <v>84</v>
      </c>
      <c r="X235" s="10" t="s">
        <v>85</v>
      </c>
      <c r="Y235" s="13" t="s">
        <v>99</v>
      </c>
      <c r="Z235">
        <f t="shared" si="19"/>
        <v>532</v>
      </c>
      <c r="AA235" s="39">
        <f t="shared" si="20"/>
        <v>63.055928411633111</v>
      </c>
      <c r="AB235" s="39">
        <f t="shared" si="21"/>
        <v>2102.3422688804608</v>
      </c>
      <c r="AC235">
        <f t="shared" si="24"/>
        <v>0.99971717869047738</v>
      </c>
      <c r="AD235">
        <f t="shared" si="22"/>
        <v>0.99960159772865398</v>
      </c>
      <c r="AE235">
        <f t="shared" si="23"/>
        <v>33487</v>
      </c>
    </row>
    <row r="236" spans="1:31">
      <c r="A236" s="9">
        <v>235</v>
      </c>
      <c r="B236" s="30">
        <v>40554</v>
      </c>
      <c r="C236" s="9">
        <v>1</v>
      </c>
      <c r="D236" s="9">
        <v>0</v>
      </c>
      <c r="E236" s="9">
        <v>1</v>
      </c>
      <c r="F236" s="9">
        <v>1</v>
      </c>
      <c r="G236" s="9" t="b">
        <v>0</v>
      </c>
      <c r="H236" s="9">
        <v>2</v>
      </c>
      <c r="I236" s="9">
        <v>1</v>
      </c>
      <c r="J236" s="9">
        <v>0.14000000000000001</v>
      </c>
      <c r="K236" s="9">
        <v>0.1515</v>
      </c>
      <c r="L236" s="9">
        <v>0.59</v>
      </c>
      <c r="M236" s="9">
        <v>0.16420000000000001</v>
      </c>
      <c r="N236" s="9">
        <v>0</v>
      </c>
      <c r="O236" s="9">
        <v>3</v>
      </c>
      <c r="P236" s="9">
        <v>3</v>
      </c>
      <c r="Q236" s="13" t="s">
        <v>98</v>
      </c>
      <c r="R236" s="13" t="s">
        <v>79</v>
      </c>
      <c r="S236" s="9" t="s">
        <v>80</v>
      </c>
      <c r="T236" s="13" t="s">
        <v>81</v>
      </c>
      <c r="U236" s="14" t="s">
        <v>82</v>
      </c>
      <c r="V236" s="12" t="s">
        <v>83</v>
      </c>
      <c r="W236" s="15" t="s">
        <v>84</v>
      </c>
      <c r="X236" s="9" t="s">
        <v>85</v>
      </c>
      <c r="Y236" s="13" t="s">
        <v>99</v>
      </c>
      <c r="Z236">
        <f t="shared" si="19"/>
        <v>531</v>
      </c>
      <c r="AA236" s="39">
        <f t="shared" si="20"/>
        <v>63.170403587443943</v>
      </c>
      <c r="AB236" s="39">
        <f t="shared" si="21"/>
        <v>2103.7093658250988</v>
      </c>
      <c r="AC236">
        <f t="shared" si="24"/>
        <v>0.99971731138764253</v>
      </c>
      <c r="AD236">
        <f t="shared" si="22"/>
        <v>0.99960192656517388</v>
      </c>
      <c r="AE236">
        <f t="shared" si="23"/>
        <v>33475</v>
      </c>
    </row>
    <row r="237" spans="1:31">
      <c r="A237" s="10">
        <v>236</v>
      </c>
      <c r="B237" s="31">
        <v>40554</v>
      </c>
      <c r="C237" s="10">
        <v>1</v>
      </c>
      <c r="D237" s="10">
        <v>0</v>
      </c>
      <c r="E237" s="10">
        <v>1</v>
      </c>
      <c r="F237" s="10">
        <v>2</v>
      </c>
      <c r="G237" s="10" t="b">
        <v>0</v>
      </c>
      <c r="H237" s="10">
        <v>2</v>
      </c>
      <c r="I237" s="10">
        <v>2</v>
      </c>
      <c r="J237" s="10">
        <v>0.16</v>
      </c>
      <c r="K237" s="10">
        <v>0.1515</v>
      </c>
      <c r="L237" s="10">
        <v>0.55000000000000004</v>
      </c>
      <c r="M237" s="10">
        <v>0.19400000000000001</v>
      </c>
      <c r="N237" s="10">
        <v>0</v>
      </c>
      <c r="O237" s="10">
        <v>3</v>
      </c>
      <c r="P237" s="10">
        <v>3</v>
      </c>
      <c r="Q237" s="13" t="s">
        <v>98</v>
      </c>
      <c r="R237" s="13" t="s">
        <v>79</v>
      </c>
      <c r="S237" s="10" t="s">
        <v>80</v>
      </c>
      <c r="T237" s="11" t="s">
        <v>88</v>
      </c>
      <c r="U237" s="14" t="s">
        <v>82</v>
      </c>
      <c r="V237" s="12" t="s">
        <v>83</v>
      </c>
      <c r="W237" s="15" t="s">
        <v>84</v>
      </c>
      <c r="X237" s="10" t="s">
        <v>85</v>
      </c>
      <c r="Y237" s="13" t="s">
        <v>99</v>
      </c>
      <c r="Z237">
        <f t="shared" si="19"/>
        <v>530</v>
      </c>
      <c r="AA237" s="39">
        <f t="shared" si="20"/>
        <v>63.305617977528087</v>
      </c>
      <c r="AB237" s="39">
        <f t="shared" si="21"/>
        <v>2105.078415772633</v>
      </c>
      <c r="AC237">
        <f t="shared" si="24"/>
        <v>0.99971753638899119</v>
      </c>
      <c r="AD237">
        <f t="shared" si="22"/>
        <v>0.99960239393114336</v>
      </c>
      <c r="AE237">
        <f t="shared" si="23"/>
        <v>33472</v>
      </c>
    </row>
    <row r="238" spans="1:31">
      <c r="A238" s="9">
        <v>237</v>
      </c>
      <c r="B238" s="30">
        <v>40554</v>
      </c>
      <c r="C238" s="9">
        <v>1</v>
      </c>
      <c r="D238" s="9">
        <v>0</v>
      </c>
      <c r="E238" s="9">
        <v>1</v>
      </c>
      <c r="F238" s="9">
        <v>5</v>
      </c>
      <c r="G238" s="9" t="b">
        <v>0</v>
      </c>
      <c r="H238" s="9">
        <v>2</v>
      </c>
      <c r="I238" s="9">
        <v>2</v>
      </c>
      <c r="J238" s="9">
        <v>0.16</v>
      </c>
      <c r="K238" s="9">
        <v>0.18179999999999999</v>
      </c>
      <c r="L238" s="9">
        <v>0.55000000000000004</v>
      </c>
      <c r="M238" s="9">
        <v>0.1343</v>
      </c>
      <c r="N238" s="9">
        <v>0</v>
      </c>
      <c r="O238" s="9">
        <v>6</v>
      </c>
      <c r="P238" s="9">
        <v>6</v>
      </c>
      <c r="Q238" s="13" t="s">
        <v>98</v>
      </c>
      <c r="R238" s="13" t="s">
        <v>79</v>
      </c>
      <c r="S238" s="9" t="s">
        <v>80</v>
      </c>
      <c r="T238" s="11" t="s">
        <v>88</v>
      </c>
      <c r="U238" s="15" t="s">
        <v>89</v>
      </c>
      <c r="V238" s="12" t="s">
        <v>83</v>
      </c>
      <c r="W238" s="15" t="s">
        <v>84</v>
      </c>
      <c r="X238" s="9" t="s">
        <v>85</v>
      </c>
      <c r="Y238" s="13" t="s">
        <v>99</v>
      </c>
      <c r="Z238">
        <f t="shared" si="19"/>
        <v>529</v>
      </c>
      <c r="AA238" s="39">
        <f t="shared" si="20"/>
        <v>63.305617977528087</v>
      </c>
      <c r="AB238" s="39">
        <f t="shared" si="21"/>
        <v>2106.4501420122979</v>
      </c>
      <c r="AC238">
        <f t="shared" si="24"/>
        <v>0.99971783231533817</v>
      </c>
      <c r="AD238">
        <f t="shared" si="22"/>
        <v>0.99960279812663799</v>
      </c>
      <c r="AE238">
        <f t="shared" si="23"/>
        <v>33469</v>
      </c>
    </row>
    <row r="239" spans="1:31">
      <c r="A239" s="10">
        <v>238</v>
      </c>
      <c r="B239" s="31">
        <v>40554</v>
      </c>
      <c r="C239" s="10">
        <v>1</v>
      </c>
      <c r="D239" s="10">
        <v>0</v>
      </c>
      <c r="E239" s="10">
        <v>1</v>
      </c>
      <c r="F239" s="10">
        <v>6</v>
      </c>
      <c r="G239" s="10" t="b">
        <v>0</v>
      </c>
      <c r="H239" s="10">
        <v>2</v>
      </c>
      <c r="I239" s="10">
        <v>2</v>
      </c>
      <c r="J239" s="10">
        <v>0.16</v>
      </c>
      <c r="K239" s="10">
        <v>0.18179999999999999</v>
      </c>
      <c r="L239" s="10">
        <v>0.55000000000000004</v>
      </c>
      <c r="M239" s="10">
        <v>0.1343</v>
      </c>
      <c r="N239" s="10">
        <v>0</v>
      </c>
      <c r="O239" s="10">
        <v>27</v>
      </c>
      <c r="P239" s="10">
        <v>27</v>
      </c>
      <c r="Q239" s="13" t="s">
        <v>98</v>
      </c>
      <c r="R239" s="13" t="s">
        <v>79</v>
      </c>
      <c r="S239" s="10" t="s">
        <v>80</v>
      </c>
      <c r="T239" s="11" t="s">
        <v>88</v>
      </c>
      <c r="U239" s="15" t="s">
        <v>89</v>
      </c>
      <c r="V239" s="12" t="s">
        <v>83</v>
      </c>
      <c r="W239" s="15" t="s">
        <v>84</v>
      </c>
      <c r="X239" s="10" t="s">
        <v>85</v>
      </c>
      <c r="Y239" s="13" t="s">
        <v>99</v>
      </c>
      <c r="Z239">
        <f t="shared" si="19"/>
        <v>528</v>
      </c>
      <c r="AA239" s="39">
        <f t="shared" si="20"/>
        <v>63.305617977528087</v>
      </c>
      <c r="AB239" s="39">
        <f t="shared" si="21"/>
        <v>2107.8247989760639</v>
      </c>
      <c r="AC239">
        <f t="shared" si="24"/>
        <v>0.99971809059384487</v>
      </c>
      <c r="AD239">
        <f t="shared" si="22"/>
        <v>0.99960315826165091</v>
      </c>
      <c r="AE239">
        <f t="shared" si="23"/>
        <v>33463</v>
      </c>
    </row>
    <row r="240" spans="1:31">
      <c r="A240" s="9">
        <v>239</v>
      </c>
      <c r="B240" s="30">
        <v>40554</v>
      </c>
      <c r="C240" s="9">
        <v>1</v>
      </c>
      <c r="D240" s="9">
        <v>0</v>
      </c>
      <c r="E240" s="9">
        <v>1</v>
      </c>
      <c r="F240" s="9">
        <v>7</v>
      </c>
      <c r="G240" s="9" t="b">
        <v>0</v>
      </c>
      <c r="H240" s="9">
        <v>2</v>
      </c>
      <c r="I240" s="9">
        <v>2</v>
      </c>
      <c r="J240" s="9">
        <v>0.16</v>
      </c>
      <c r="K240" s="9">
        <v>0.2273</v>
      </c>
      <c r="L240" s="9">
        <v>0.55000000000000004</v>
      </c>
      <c r="M240" s="9">
        <v>0</v>
      </c>
      <c r="N240" s="9">
        <v>2</v>
      </c>
      <c r="O240" s="9">
        <v>97</v>
      </c>
      <c r="P240" s="9">
        <v>99</v>
      </c>
      <c r="Q240" s="13" t="s">
        <v>98</v>
      </c>
      <c r="R240" s="13" t="s">
        <v>79</v>
      </c>
      <c r="S240" s="9" t="s">
        <v>80</v>
      </c>
      <c r="T240" s="11" t="s">
        <v>88</v>
      </c>
      <c r="U240" s="15" t="s">
        <v>89</v>
      </c>
      <c r="V240" s="13" t="s">
        <v>93</v>
      </c>
      <c r="W240" s="15" t="s">
        <v>84</v>
      </c>
      <c r="X240" s="9" t="s">
        <v>85</v>
      </c>
      <c r="Y240" s="13" t="s">
        <v>99</v>
      </c>
      <c r="Z240">
        <f t="shared" si="19"/>
        <v>527</v>
      </c>
      <c r="AA240" s="39">
        <f t="shared" si="20"/>
        <v>63.305617977528087</v>
      </c>
      <c r="AB240" s="39">
        <f t="shared" si="21"/>
        <v>2109.203716972484</v>
      </c>
      <c r="AC240">
        <f t="shared" si="24"/>
        <v>0.99971815463682423</v>
      </c>
      <c r="AD240">
        <f t="shared" si="22"/>
        <v>0.99960327747774591</v>
      </c>
      <c r="AE240">
        <f t="shared" si="23"/>
        <v>33436</v>
      </c>
    </row>
    <row r="241" spans="1:31">
      <c r="A241" s="10">
        <v>240</v>
      </c>
      <c r="B241" s="31">
        <v>40554</v>
      </c>
      <c r="C241" s="10">
        <v>1</v>
      </c>
      <c r="D241" s="10">
        <v>0</v>
      </c>
      <c r="E241" s="10">
        <v>1</v>
      </c>
      <c r="F241" s="10">
        <v>8</v>
      </c>
      <c r="G241" s="10" t="b">
        <v>0</v>
      </c>
      <c r="H241" s="10">
        <v>2</v>
      </c>
      <c r="I241" s="10">
        <v>2</v>
      </c>
      <c r="J241" s="10">
        <v>0.18</v>
      </c>
      <c r="K241" s="10">
        <v>0.21210000000000001</v>
      </c>
      <c r="L241" s="10">
        <v>0.51</v>
      </c>
      <c r="M241" s="10">
        <v>8.9599999999999999E-2</v>
      </c>
      <c r="N241" s="10">
        <v>3</v>
      </c>
      <c r="O241" s="10">
        <v>214</v>
      </c>
      <c r="P241" s="10">
        <v>217</v>
      </c>
      <c r="Q241" s="13" t="s">
        <v>98</v>
      </c>
      <c r="R241" s="13" t="s">
        <v>79</v>
      </c>
      <c r="S241" s="10" t="s">
        <v>80</v>
      </c>
      <c r="T241" s="11" t="s">
        <v>88</v>
      </c>
      <c r="U241" s="15" t="s">
        <v>89</v>
      </c>
      <c r="V241" s="13" t="s">
        <v>93</v>
      </c>
      <c r="W241" s="15" t="s">
        <v>84</v>
      </c>
      <c r="X241" s="10" t="s">
        <v>85</v>
      </c>
      <c r="Y241" s="13" t="s">
        <v>99</v>
      </c>
      <c r="Z241">
        <f t="shared" si="19"/>
        <v>526</v>
      </c>
      <c r="AA241" s="39">
        <f t="shared" si="20"/>
        <v>63.305617977528087</v>
      </c>
      <c r="AB241" s="39">
        <f t="shared" si="21"/>
        <v>2110.5886375458513</v>
      </c>
      <c r="AC241">
        <f t="shared" si="24"/>
        <v>0.99971853862738946</v>
      </c>
      <c r="AD241">
        <f t="shared" si="22"/>
        <v>0.99960355548468127</v>
      </c>
      <c r="AE241">
        <f t="shared" si="23"/>
        <v>33337</v>
      </c>
    </row>
    <row r="242" spans="1:31">
      <c r="A242" s="9">
        <v>241</v>
      </c>
      <c r="B242" s="30">
        <v>40554</v>
      </c>
      <c r="C242" s="9">
        <v>1</v>
      </c>
      <c r="D242" s="9">
        <v>0</v>
      </c>
      <c r="E242" s="9">
        <v>1</v>
      </c>
      <c r="F242" s="9">
        <v>9</v>
      </c>
      <c r="G242" s="9" t="b">
        <v>0</v>
      </c>
      <c r="H242" s="9">
        <v>2</v>
      </c>
      <c r="I242" s="9">
        <v>2</v>
      </c>
      <c r="J242" s="9">
        <v>0.18</v>
      </c>
      <c r="K242" s="9">
        <v>0.19700000000000001</v>
      </c>
      <c r="L242" s="9">
        <v>0.51</v>
      </c>
      <c r="M242" s="9">
        <v>0.16420000000000001</v>
      </c>
      <c r="N242" s="9">
        <v>3</v>
      </c>
      <c r="O242" s="9">
        <v>127</v>
      </c>
      <c r="P242" s="9">
        <v>130</v>
      </c>
      <c r="Q242" s="13" t="s">
        <v>98</v>
      </c>
      <c r="R242" s="13" t="s">
        <v>79</v>
      </c>
      <c r="S242" s="9" t="s">
        <v>80</v>
      </c>
      <c r="T242" s="11" t="s">
        <v>88</v>
      </c>
      <c r="U242" s="15" t="s">
        <v>89</v>
      </c>
      <c r="V242" s="13" t="s">
        <v>93</v>
      </c>
      <c r="W242" s="15" t="s">
        <v>84</v>
      </c>
      <c r="X242" s="9" t="s">
        <v>85</v>
      </c>
      <c r="Y242" s="13" t="s">
        <v>99</v>
      </c>
      <c r="Z242">
        <f t="shared" si="19"/>
        <v>525</v>
      </c>
      <c r="AA242" s="39">
        <f t="shared" si="20"/>
        <v>63.305617977528087</v>
      </c>
      <c r="AB242" s="39">
        <f t="shared" si="21"/>
        <v>2111.9747003338525</v>
      </c>
      <c r="AC242">
        <f t="shared" si="24"/>
        <v>0.99972248218806248</v>
      </c>
      <c r="AD242">
        <f t="shared" si="22"/>
        <v>0.99960759917369357</v>
      </c>
      <c r="AE242">
        <f t="shared" si="23"/>
        <v>33120</v>
      </c>
    </row>
    <row r="243" spans="1:31">
      <c r="A243" s="10">
        <v>242</v>
      </c>
      <c r="B243" s="31">
        <v>40554</v>
      </c>
      <c r="C243" s="10">
        <v>1</v>
      </c>
      <c r="D243" s="10">
        <v>0</v>
      </c>
      <c r="E243" s="10">
        <v>1</v>
      </c>
      <c r="F243" s="10">
        <v>10</v>
      </c>
      <c r="G243" s="10" t="b">
        <v>0</v>
      </c>
      <c r="H243" s="10">
        <v>2</v>
      </c>
      <c r="I243" s="10">
        <v>2</v>
      </c>
      <c r="J243" s="10">
        <v>0.2</v>
      </c>
      <c r="K243" s="10">
        <v>0.21210000000000001</v>
      </c>
      <c r="L243" s="10">
        <v>0.51</v>
      </c>
      <c r="M243" s="10">
        <v>0.16420000000000001</v>
      </c>
      <c r="N243" s="10">
        <v>3</v>
      </c>
      <c r="O243" s="10">
        <v>51</v>
      </c>
      <c r="P243" s="10">
        <v>54</v>
      </c>
      <c r="Q243" s="13" t="s">
        <v>98</v>
      </c>
      <c r="R243" s="13" t="s">
        <v>79</v>
      </c>
      <c r="S243" s="10" t="s">
        <v>80</v>
      </c>
      <c r="T243" s="11" t="s">
        <v>88</v>
      </c>
      <c r="U243" s="13" t="s">
        <v>91</v>
      </c>
      <c r="V243" s="11" t="s">
        <v>87</v>
      </c>
      <c r="W243" s="15" t="s">
        <v>84</v>
      </c>
      <c r="X243" s="10" t="s">
        <v>85</v>
      </c>
      <c r="Y243" s="13" t="s">
        <v>99</v>
      </c>
      <c r="Z243">
        <f t="shared" si="19"/>
        <v>524</v>
      </c>
      <c r="AA243" s="39">
        <f t="shared" si="20"/>
        <v>63.305617977528087</v>
      </c>
      <c r="AB243" s="39">
        <f t="shared" si="21"/>
        <v>2113.3655176565526</v>
      </c>
      <c r="AC243">
        <f t="shared" si="24"/>
        <v>0.99972334922719841</v>
      </c>
      <c r="AD243">
        <f t="shared" si="22"/>
        <v>0.99960851354335412</v>
      </c>
      <c r="AE243">
        <f t="shared" si="23"/>
        <v>32990</v>
      </c>
    </row>
    <row r="244" spans="1:31">
      <c r="A244" s="9">
        <v>243</v>
      </c>
      <c r="B244" s="30">
        <v>40554</v>
      </c>
      <c r="C244" s="9">
        <v>1</v>
      </c>
      <c r="D244" s="9">
        <v>0</v>
      </c>
      <c r="E244" s="9">
        <v>1</v>
      </c>
      <c r="F244" s="9">
        <v>11</v>
      </c>
      <c r="G244" s="9" t="b">
        <v>0</v>
      </c>
      <c r="H244" s="9">
        <v>2</v>
      </c>
      <c r="I244" s="9">
        <v>2</v>
      </c>
      <c r="J244" s="9">
        <v>0.2</v>
      </c>
      <c r="K244" s="9">
        <v>0.21210000000000001</v>
      </c>
      <c r="L244" s="9">
        <v>0.47</v>
      </c>
      <c r="M244" s="9">
        <v>0.1343</v>
      </c>
      <c r="N244" s="9">
        <v>4</v>
      </c>
      <c r="O244" s="9">
        <v>31</v>
      </c>
      <c r="P244" s="9">
        <v>35</v>
      </c>
      <c r="Q244" s="13" t="s">
        <v>98</v>
      </c>
      <c r="R244" s="13" t="s">
        <v>79</v>
      </c>
      <c r="S244" s="9" t="s">
        <v>80</v>
      </c>
      <c r="T244" s="11" t="s">
        <v>88</v>
      </c>
      <c r="U244" s="13" t="s">
        <v>91</v>
      </c>
      <c r="V244" s="11" t="s">
        <v>87</v>
      </c>
      <c r="W244" s="15" t="s">
        <v>84</v>
      </c>
      <c r="X244" s="9" t="s">
        <v>85</v>
      </c>
      <c r="Y244" s="13" t="s">
        <v>99</v>
      </c>
      <c r="Z244">
        <f t="shared" si="19"/>
        <v>523</v>
      </c>
      <c r="AA244" s="39">
        <f t="shared" si="20"/>
        <v>63.305617977528087</v>
      </c>
      <c r="AB244" s="39">
        <f t="shared" si="21"/>
        <v>2114.7569827283737</v>
      </c>
      <c r="AC244">
        <f t="shared" si="24"/>
        <v>0.9997233522963791</v>
      </c>
      <c r="AD244">
        <f t="shared" si="22"/>
        <v>0.99960851389527305</v>
      </c>
      <c r="AE244">
        <f t="shared" si="23"/>
        <v>32936</v>
      </c>
    </row>
    <row r="245" spans="1:31">
      <c r="A245" s="10">
        <v>244</v>
      </c>
      <c r="B245" s="31">
        <v>40554</v>
      </c>
      <c r="C245" s="10">
        <v>1</v>
      </c>
      <c r="D245" s="10">
        <v>0</v>
      </c>
      <c r="E245" s="10">
        <v>1</v>
      </c>
      <c r="F245" s="10">
        <v>12</v>
      </c>
      <c r="G245" s="10" t="b">
        <v>0</v>
      </c>
      <c r="H245" s="10">
        <v>2</v>
      </c>
      <c r="I245" s="10">
        <v>2</v>
      </c>
      <c r="J245" s="10">
        <v>0.2</v>
      </c>
      <c r="K245" s="10">
        <v>0.2273</v>
      </c>
      <c r="L245" s="10">
        <v>0.51</v>
      </c>
      <c r="M245" s="10">
        <v>0.1045</v>
      </c>
      <c r="N245" s="10">
        <v>2</v>
      </c>
      <c r="O245" s="10">
        <v>55</v>
      </c>
      <c r="P245" s="10">
        <v>57</v>
      </c>
      <c r="Q245" s="13" t="s">
        <v>98</v>
      </c>
      <c r="R245" s="13" t="s">
        <v>79</v>
      </c>
      <c r="S245" s="10" t="s">
        <v>80</v>
      </c>
      <c r="T245" s="11" t="s">
        <v>88</v>
      </c>
      <c r="U245" s="11" t="s">
        <v>92</v>
      </c>
      <c r="V245" s="11" t="s">
        <v>87</v>
      </c>
      <c r="W245" s="15" t="s">
        <v>84</v>
      </c>
      <c r="X245" s="10" t="s">
        <v>85</v>
      </c>
      <c r="Y245" s="13" t="s">
        <v>99</v>
      </c>
      <c r="Z245">
        <f t="shared" si="19"/>
        <v>522</v>
      </c>
      <c r="AA245" s="39">
        <f t="shared" si="20"/>
        <v>63.305617977528087</v>
      </c>
      <c r="AB245" s="39">
        <f t="shared" si="21"/>
        <v>2116.1501082312075</v>
      </c>
      <c r="AC245">
        <f t="shared" si="24"/>
        <v>0.99972343625647186</v>
      </c>
      <c r="AD245">
        <f t="shared" si="22"/>
        <v>0.99960853477161049</v>
      </c>
      <c r="AE245">
        <f t="shared" si="23"/>
        <v>32901</v>
      </c>
    </row>
    <row r="246" spans="1:31">
      <c r="A246" s="9">
        <v>245</v>
      </c>
      <c r="B246" s="30">
        <v>40554</v>
      </c>
      <c r="C246" s="9">
        <v>1</v>
      </c>
      <c r="D246" s="9">
        <v>0</v>
      </c>
      <c r="E246" s="9">
        <v>1</v>
      </c>
      <c r="F246" s="9">
        <v>13</v>
      </c>
      <c r="G246" s="9" t="b">
        <v>0</v>
      </c>
      <c r="H246" s="9">
        <v>2</v>
      </c>
      <c r="I246" s="9">
        <v>2</v>
      </c>
      <c r="J246" s="9">
        <v>0.2</v>
      </c>
      <c r="K246" s="9">
        <v>0.2273</v>
      </c>
      <c r="L246" s="9">
        <v>0.59</v>
      </c>
      <c r="M246" s="9">
        <v>8.9599999999999999E-2</v>
      </c>
      <c r="N246" s="9">
        <v>6</v>
      </c>
      <c r="O246" s="9">
        <v>46</v>
      </c>
      <c r="P246" s="9">
        <v>52</v>
      </c>
      <c r="Q246" s="13" t="s">
        <v>98</v>
      </c>
      <c r="R246" s="13" t="s">
        <v>79</v>
      </c>
      <c r="S246" s="9" t="s">
        <v>80</v>
      </c>
      <c r="T246" s="11" t="s">
        <v>88</v>
      </c>
      <c r="U246" s="11" t="s">
        <v>92</v>
      </c>
      <c r="V246" s="11" t="s">
        <v>87</v>
      </c>
      <c r="W246" s="15" t="s">
        <v>84</v>
      </c>
      <c r="X246" s="9" t="s">
        <v>85</v>
      </c>
      <c r="Y246" s="13" t="s">
        <v>99</v>
      </c>
      <c r="Z246">
        <f t="shared" si="19"/>
        <v>521</v>
      </c>
      <c r="AA246" s="39">
        <f t="shared" si="20"/>
        <v>63.305617977528087</v>
      </c>
      <c r="AB246" s="39">
        <f t="shared" si="21"/>
        <v>2117.5472366518834</v>
      </c>
      <c r="AC246">
        <f t="shared" si="24"/>
        <v>0.99972343632461602</v>
      </c>
      <c r="AD246">
        <f t="shared" si="22"/>
        <v>0.99960853894127577</v>
      </c>
      <c r="AE246">
        <f t="shared" si="23"/>
        <v>32844</v>
      </c>
    </row>
    <row r="247" spans="1:31">
      <c r="A247" s="10">
        <v>246</v>
      </c>
      <c r="B247" s="31">
        <v>40554</v>
      </c>
      <c r="C247" s="10">
        <v>1</v>
      </c>
      <c r="D247" s="10">
        <v>0</v>
      </c>
      <c r="E247" s="10">
        <v>1</v>
      </c>
      <c r="F247" s="10">
        <v>14</v>
      </c>
      <c r="G247" s="10" t="b">
        <v>0</v>
      </c>
      <c r="H247" s="10">
        <v>2</v>
      </c>
      <c r="I247" s="10">
        <v>2</v>
      </c>
      <c r="J247" s="10">
        <v>0.2</v>
      </c>
      <c r="K247" s="10">
        <v>0.2273</v>
      </c>
      <c r="L247" s="10">
        <v>0.59</v>
      </c>
      <c r="M247" s="10">
        <v>8.9599999999999999E-2</v>
      </c>
      <c r="N247" s="10">
        <v>3</v>
      </c>
      <c r="O247" s="10">
        <v>60</v>
      </c>
      <c r="P247" s="10">
        <v>63</v>
      </c>
      <c r="Q247" s="13" t="s">
        <v>98</v>
      </c>
      <c r="R247" s="13" t="s">
        <v>79</v>
      </c>
      <c r="S247" s="10" t="s">
        <v>80</v>
      </c>
      <c r="T247" s="11" t="s">
        <v>88</v>
      </c>
      <c r="U247" s="13" t="s">
        <v>94</v>
      </c>
      <c r="V247" s="11" t="s">
        <v>87</v>
      </c>
      <c r="W247" s="15" t="s">
        <v>84</v>
      </c>
      <c r="X247" s="10" t="s">
        <v>85</v>
      </c>
      <c r="Y247" s="13" t="s">
        <v>99</v>
      </c>
      <c r="Z247">
        <f t="shared" si="19"/>
        <v>520</v>
      </c>
      <c r="AA247" s="39">
        <f t="shared" si="20"/>
        <v>63.305617977528087</v>
      </c>
      <c r="AB247" s="39">
        <f t="shared" si="21"/>
        <v>2118.9468788607273</v>
      </c>
      <c r="AC247">
        <f t="shared" si="24"/>
        <v>0.99972344296337678</v>
      </c>
      <c r="AD247">
        <f t="shared" si="22"/>
        <v>0.99960854585527914</v>
      </c>
      <c r="AE247">
        <f t="shared" si="23"/>
        <v>32792</v>
      </c>
    </row>
    <row r="248" spans="1:31">
      <c r="A248" s="9">
        <v>247</v>
      </c>
      <c r="B248" s="30">
        <v>40554</v>
      </c>
      <c r="C248" s="9">
        <v>1</v>
      </c>
      <c r="D248" s="9">
        <v>0</v>
      </c>
      <c r="E248" s="9">
        <v>1</v>
      </c>
      <c r="F248" s="9">
        <v>15</v>
      </c>
      <c r="G248" s="9" t="b">
        <v>0</v>
      </c>
      <c r="H248" s="9">
        <v>2</v>
      </c>
      <c r="I248" s="9">
        <v>2</v>
      </c>
      <c r="J248" s="9">
        <v>0.16</v>
      </c>
      <c r="K248" s="9">
        <v>0.19700000000000001</v>
      </c>
      <c r="L248" s="9">
        <v>0.8</v>
      </c>
      <c r="M248" s="9">
        <v>8.9599999999999999E-2</v>
      </c>
      <c r="N248" s="9">
        <v>2</v>
      </c>
      <c r="O248" s="9">
        <v>45</v>
      </c>
      <c r="P248" s="9">
        <v>47</v>
      </c>
      <c r="Q248" s="13" t="s">
        <v>98</v>
      </c>
      <c r="R248" s="13" t="s">
        <v>79</v>
      </c>
      <c r="S248" s="9" t="s">
        <v>80</v>
      </c>
      <c r="T248" s="11" t="s">
        <v>88</v>
      </c>
      <c r="U248" s="13" t="s">
        <v>94</v>
      </c>
      <c r="V248" s="11" t="s">
        <v>87</v>
      </c>
      <c r="W248" s="15" t="s">
        <v>84</v>
      </c>
      <c r="X248" s="9" t="s">
        <v>85</v>
      </c>
      <c r="Y248" s="13" t="s">
        <v>99</v>
      </c>
      <c r="Z248">
        <f t="shared" si="19"/>
        <v>519</v>
      </c>
      <c r="AA248" s="39">
        <f t="shared" si="20"/>
        <v>63.305617977528087</v>
      </c>
      <c r="AB248" s="39">
        <f t="shared" si="21"/>
        <v>2120.3498462511566</v>
      </c>
      <c r="AC248">
        <f t="shared" si="24"/>
        <v>0.99972344487989107</v>
      </c>
      <c r="AD248">
        <f t="shared" si="22"/>
        <v>0.99960854730504001</v>
      </c>
      <c r="AE248">
        <f t="shared" si="23"/>
        <v>32729</v>
      </c>
    </row>
    <row r="249" spans="1:31">
      <c r="A249" s="10">
        <v>248</v>
      </c>
      <c r="B249" s="31">
        <v>40554</v>
      </c>
      <c r="C249" s="10">
        <v>1</v>
      </c>
      <c r="D249" s="10">
        <v>0</v>
      </c>
      <c r="E249" s="10">
        <v>1</v>
      </c>
      <c r="F249" s="10">
        <v>16</v>
      </c>
      <c r="G249" s="10" t="b">
        <v>0</v>
      </c>
      <c r="H249" s="10">
        <v>2</v>
      </c>
      <c r="I249" s="10">
        <v>2</v>
      </c>
      <c r="J249" s="10">
        <v>0.16</v>
      </c>
      <c r="K249" s="10">
        <v>0.1515</v>
      </c>
      <c r="L249" s="10">
        <v>0.86</v>
      </c>
      <c r="M249" s="10">
        <v>0.22389999999999999</v>
      </c>
      <c r="N249" s="10">
        <v>4</v>
      </c>
      <c r="O249" s="10">
        <v>72</v>
      </c>
      <c r="P249" s="10">
        <v>76</v>
      </c>
      <c r="Q249" s="13" t="s">
        <v>98</v>
      </c>
      <c r="R249" s="13" t="s">
        <v>79</v>
      </c>
      <c r="S249" s="10" t="s">
        <v>80</v>
      </c>
      <c r="T249" s="11" t="s">
        <v>88</v>
      </c>
      <c r="U249" s="13" t="s">
        <v>94</v>
      </c>
      <c r="V249" s="13" t="s">
        <v>93</v>
      </c>
      <c r="W249" s="15" t="s">
        <v>84</v>
      </c>
      <c r="X249" s="10" t="s">
        <v>85</v>
      </c>
      <c r="Y249" s="13" t="s">
        <v>99</v>
      </c>
      <c r="Z249">
        <f t="shared" si="19"/>
        <v>518</v>
      </c>
      <c r="AA249" s="39">
        <f t="shared" si="20"/>
        <v>63.305617977528087</v>
      </c>
      <c r="AB249" s="39">
        <f t="shared" si="21"/>
        <v>2121.7547831258985</v>
      </c>
      <c r="AC249">
        <f t="shared" si="24"/>
        <v>0.99972344428658366</v>
      </c>
      <c r="AD249">
        <f t="shared" si="22"/>
        <v>0.99960870982680072</v>
      </c>
      <c r="AE249">
        <f t="shared" si="23"/>
        <v>32682</v>
      </c>
    </row>
    <row r="250" spans="1:31">
      <c r="A250" s="9">
        <v>249</v>
      </c>
      <c r="B250" s="30">
        <v>40554</v>
      </c>
      <c r="C250" s="9">
        <v>1</v>
      </c>
      <c r="D250" s="9">
        <v>0</v>
      </c>
      <c r="E250" s="9">
        <v>1</v>
      </c>
      <c r="F250" s="9">
        <v>17</v>
      </c>
      <c r="G250" s="9" t="b">
        <v>0</v>
      </c>
      <c r="H250" s="9">
        <v>2</v>
      </c>
      <c r="I250" s="9">
        <v>2</v>
      </c>
      <c r="J250" s="9">
        <v>0.16</v>
      </c>
      <c r="K250" s="9">
        <v>0.1515</v>
      </c>
      <c r="L250" s="9">
        <v>0.86</v>
      </c>
      <c r="M250" s="9">
        <v>0.22389999999999999</v>
      </c>
      <c r="N250" s="9">
        <v>6</v>
      </c>
      <c r="O250" s="9">
        <v>130</v>
      </c>
      <c r="P250" s="9">
        <v>136</v>
      </c>
      <c r="Q250" s="13" t="s">
        <v>98</v>
      </c>
      <c r="R250" s="13" t="s">
        <v>79</v>
      </c>
      <c r="S250" s="9" t="s">
        <v>80</v>
      </c>
      <c r="T250" s="11" t="s">
        <v>88</v>
      </c>
      <c r="U250" s="15" t="s">
        <v>95</v>
      </c>
      <c r="V250" s="13" t="s">
        <v>93</v>
      </c>
      <c r="W250" s="15" t="s">
        <v>84</v>
      </c>
      <c r="X250" s="9" t="s">
        <v>85</v>
      </c>
      <c r="Y250" s="13" t="s">
        <v>99</v>
      </c>
      <c r="Z250">
        <f t="shared" si="19"/>
        <v>517</v>
      </c>
      <c r="AA250" s="39">
        <f t="shared" si="20"/>
        <v>63.305617977528087</v>
      </c>
      <c r="AB250" s="39">
        <f t="shared" si="21"/>
        <v>2123.1638893386862</v>
      </c>
      <c r="AC250">
        <f t="shared" si="24"/>
        <v>0.99972356253647221</v>
      </c>
      <c r="AD250">
        <f t="shared" si="22"/>
        <v>0.99960872510228138</v>
      </c>
      <c r="AE250">
        <f t="shared" si="23"/>
        <v>32606</v>
      </c>
    </row>
    <row r="251" spans="1:31">
      <c r="A251" s="10">
        <v>250</v>
      </c>
      <c r="B251" s="31">
        <v>40554</v>
      </c>
      <c r="C251" s="10">
        <v>1</v>
      </c>
      <c r="D251" s="10">
        <v>0</v>
      </c>
      <c r="E251" s="10">
        <v>1</v>
      </c>
      <c r="F251" s="10">
        <v>18</v>
      </c>
      <c r="G251" s="10" t="b">
        <v>0</v>
      </c>
      <c r="H251" s="10">
        <v>2</v>
      </c>
      <c r="I251" s="10">
        <v>3</v>
      </c>
      <c r="J251" s="10">
        <v>0.16</v>
      </c>
      <c r="K251" s="10">
        <v>0.18179999999999999</v>
      </c>
      <c r="L251" s="10">
        <v>0.93</v>
      </c>
      <c r="M251" s="10">
        <v>0.1045</v>
      </c>
      <c r="N251" s="10">
        <v>1</v>
      </c>
      <c r="O251" s="10">
        <v>94</v>
      </c>
      <c r="P251" s="10">
        <v>95</v>
      </c>
      <c r="Q251" s="13" t="s">
        <v>98</v>
      </c>
      <c r="R251" s="13" t="s">
        <v>79</v>
      </c>
      <c r="S251" s="10" t="s">
        <v>80</v>
      </c>
      <c r="T251" s="12" t="s">
        <v>96</v>
      </c>
      <c r="U251" s="15" t="s">
        <v>95</v>
      </c>
      <c r="V251" s="13" t="s">
        <v>93</v>
      </c>
      <c r="W251" s="15" t="s">
        <v>84</v>
      </c>
      <c r="X251" s="10" t="s">
        <v>85</v>
      </c>
      <c r="Y251" s="13" t="s">
        <v>99</v>
      </c>
      <c r="Z251">
        <f t="shared" si="19"/>
        <v>516</v>
      </c>
      <c r="AA251" s="39">
        <f t="shared" si="20"/>
        <v>63.305617977528087</v>
      </c>
      <c r="AB251" s="39">
        <f t="shared" si="21"/>
        <v>2124.576976584538</v>
      </c>
      <c r="AC251">
        <f t="shared" si="24"/>
        <v>0.9997247161243642</v>
      </c>
      <c r="AD251">
        <f t="shared" si="22"/>
        <v>0.99960908971389084</v>
      </c>
      <c r="AE251">
        <f t="shared" si="23"/>
        <v>32470</v>
      </c>
    </row>
    <row r="252" spans="1:31">
      <c r="A252" s="9">
        <v>251</v>
      </c>
      <c r="B252" s="30">
        <v>40554</v>
      </c>
      <c r="C252" s="9">
        <v>1</v>
      </c>
      <c r="D252" s="9">
        <v>0</v>
      </c>
      <c r="E252" s="9">
        <v>1</v>
      </c>
      <c r="F252" s="9">
        <v>19</v>
      </c>
      <c r="G252" s="9" t="b">
        <v>0</v>
      </c>
      <c r="H252" s="9">
        <v>2</v>
      </c>
      <c r="I252" s="9">
        <v>3</v>
      </c>
      <c r="J252" s="9">
        <v>0.16</v>
      </c>
      <c r="K252" s="9">
        <v>0.2273</v>
      </c>
      <c r="L252" s="9">
        <v>0.93</v>
      </c>
      <c r="M252" s="9">
        <v>0</v>
      </c>
      <c r="N252" s="9">
        <v>0</v>
      </c>
      <c r="O252" s="9">
        <v>51</v>
      </c>
      <c r="P252" s="9">
        <v>51</v>
      </c>
      <c r="Q252" s="13" t="s">
        <v>98</v>
      </c>
      <c r="R252" s="13" t="s">
        <v>79</v>
      </c>
      <c r="S252" s="9" t="s">
        <v>80</v>
      </c>
      <c r="T252" s="12" t="s">
        <v>96</v>
      </c>
      <c r="U252" s="15" t="s">
        <v>95</v>
      </c>
      <c r="V252" s="11" t="s">
        <v>87</v>
      </c>
      <c r="W252" s="15" t="s">
        <v>84</v>
      </c>
      <c r="X252" s="9" t="s">
        <v>85</v>
      </c>
      <c r="Y252" s="13" t="s">
        <v>99</v>
      </c>
      <c r="Z252">
        <f t="shared" si="19"/>
        <v>515</v>
      </c>
      <c r="AA252" s="39">
        <f t="shared" si="20"/>
        <v>63.305617977528087</v>
      </c>
      <c r="AB252" s="39">
        <f t="shared" si="21"/>
        <v>2125.992333706577</v>
      </c>
      <c r="AC252">
        <f t="shared" si="24"/>
        <v>0.99972504907536297</v>
      </c>
      <c r="AD252">
        <f t="shared" si="22"/>
        <v>0.99960908995510089</v>
      </c>
      <c r="AE252">
        <f t="shared" si="23"/>
        <v>32375</v>
      </c>
    </row>
    <row r="253" spans="1:31">
      <c r="A253" s="10">
        <v>252</v>
      </c>
      <c r="B253" s="31">
        <v>40554</v>
      </c>
      <c r="C253" s="10">
        <v>1</v>
      </c>
      <c r="D253" s="10">
        <v>0</v>
      </c>
      <c r="E253" s="10">
        <v>1</v>
      </c>
      <c r="F253" s="10">
        <v>20</v>
      </c>
      <c r="G253" s="10" t="b">
        <v>0</v>
      </c>
      <c r="H253" s="10">
        <v>2</v>
      </c>
      <c r="I253" s="10">
        <v>3</v>
      </c>
      <c r="J253" s="10">
        <v>0.16</v>
      </c>
      <c r="K253" s="10">
        <v>0.1515</v>
      </c>
      <c r="L253" s="10">
        <v>0.93</v>
      </c>
      <c r="M253" s="10">
        <v>0.19400000000000001</v>
      </c>
      <c r="N253" s="10">
        <v>0</v>
      </c>
      <c r="O253" s="10">
        <v>32</v>
      </c>
      <c r="P253" s="10">
        <v>32</v>
      </c>
      <c r="Q253" s="13" t="s">
        <v>98</v>
      </c>
      <c r="R253" s="13" t="s">
        <v>79</v>
      </c>
      <c r="S253" s="10" t="s">
        <v>80</v>
      </c>
      <c r="T253" s="12" t="s">
        <v>96</v>
      </c>
      <c r="U253" s="16" t="s">
        <v>97</v>
      </c>
      <c r="V253" s="11" t="s">
        <v>87</v>
      </c>
      <c r="W253" s="15" t="s">
        <v>84</v>
      </c>
      <c r="X253" s="10" t="s">
        <v>85</v>
      </c>
      <c r="Y253" s="13" t="s">
        <v>99</v>
      </c>
      <c r="Z253">
        <f t="shared" si="19"/>
        <v>514</v>
      </c>
      <c r="AA253" s="39">
        <f t="shared" si="20"/>
        <v>63.305617977528087</v>
      </c>
      <c r="AB253" s="39">
        <f t="shared" si="21"/>
        <v>2127.4087501905183</v>
      </c>
      <c r="AC253">
        <f t="shared" si="24"/>
        <v>0.99972505033130166</v>
      </c>
      <c r="AD253">
        <f t="shared" si="22"/>
        <v>0.99960935298381182</v>
      </c>
      <c r="AE253">
        <f t="shared" si="23"/>
        <v>32324</v>
      </c>
    </row>
    <row r="254" spans="1:31">
      <c r="A254" s="9">
        <v>253</v>
      </c>
      <c r="B254" s="30">
        <v>40554</v>
      </c>
      <c r="C254" s="9">
        <v>1</v>
      </c>
      <c r="D254" s="9">
        <v>0</v>
      </c>
      <c r="E254" s="9">
        <v>1</v>
      </c>
      <c r="F254" s="9">
        <v>21</v>
      </c>
      <c r="G254" s="9" t="b">
        <v>0</v>
      </c>
      <c r="H254" s="9">
        <v>2</v>
      </c>
      <c r="I254" s="9">
        <v>3</v>
      </c>
      <c r="J254" s="9">
        <v>0.16</v>
      </c>
      <c r="K254" s="9">
        <v>0.19700000000000001</v>
      </c>
      <c r="L254" s="9">
        <v>0.86</v>
      </c>
      <c r="M254" s="9">
        <v>8.9599999999999999E-2</v>
      </c>
      <c r="N254" s="9">
        <v>0</v>
      </c>
      <c r="O254" s="9">
        <v>20</v>
      </c>
      <c r="P254" s="9">
        <v>20</v>
      </c>
      <c r="Q254" s="13" t="s">
        <v>98</v>
      </c>
      <c r="R254" s="13" t="s">
        <v>79</v>
      </c>
      <c r="S254" s="9" t="s">
        <v>80</v>
      </c>
      <c r="T254" s="12" t="s">
        <v>96</v>
      </c>
      <c r="U254" s="16" t="s">
        <v>97</v>
      </c>
      <c r="V254" s="12" t="s">
        <v>83</v>
      </c>
      <c r="W254" s="15" t="s">
        <v>84</v>
      </c>
      <c r="X254" s="9" t="s">
        <v>85</v>
      </c>
      <c r="Y254" s="13" t="s">
        <v>99</v>
      </c>
      <c r="Z254">
        <f t="shared" si="19"/>
        <v>513</v>
      </c>
      <c r="AA254" s="39">
        <f t="shared" si="20"/>
        <v>63.305617977528087</v>
      </c>
      <c r="AB254" s="39">
        <f t="shared" si="21"/>
        <v>2128.8268575702855</v>
      </c>
      <c r="AC254">
        <f t="shared" si="24"/>
        <v>0.9997250846898138</v>
      </c>
      <c r="AD254">
        <f t="shared" si="22"/>
        <v>0.99960990723183085</v>
      </c>
      <c r="AE254">
        <f t="shared" si="23"/>
        <v>32292</v>
      </c>
    </row>
    <row r="255" spans="1:31">
      <c r="A255" s="10">
        <v>254</v>
      </c>
      <c r="B255" s="31">
        <v>40554</v>
      </c>
      <c r="C255" s="10">
        <v>1</v>
      </c>
      <c r="D255" s="10">
        <v>0</v>
      </c>
      <c r="E255" s="10">
        <v>1</v>
      </c>
      <c r="F255" s="10">
        <v>22</v>
      </c>
      <c r="G255" s="10" t="b">
        <v>0</v>
      </c>
      <c r="H255" s="10">
        <v>2</v>
      </c>
      <c r="I255" s="10">
        <v>3</v>
      </c>
      <c r="J255" s="10">
        <v>0.16</v>
      </c>
      <c r="K255" s="10">
        <v>0.18179999999999999</v>
      </c>
      <c r="L255" s="10">
        <v>0.93</v>
      </c>
      <c r="M255" s="10">
        <v>0.1045</v>
      </c>
      <c r="N255" s="10">
        <v>1</v>
      </c>
      <c r="O255" s="10">
        <v>28</v>
      </c>
      <c r="P255" s="10">
        <v>29</v>
      </c>
      <c r="Q255" s="13" t="s">
        <v>98</v>
      </c>
      <c r="R255" s="13" t="s">
        <v>79</v>
      </c>
      <c r="S255" s="10" t="s">
        <v>80</v>
      </c>
      <c r="T255" s="12" t="s">
        <v>96</v>
      </c>
      <c r="U255" s="16" t="s">
        <v>97</v>
      </c>
      <c r="V255" s="11" t="s">
        <v>87</v>
      </c>
      <c r="W255" s="15" t="s">
        <v>84</v>
      </c>
      <c r="X255" s="10" t="s">
        <v>85</v>
      </c>
      <c r="Y255" s="13" t="s">
        <v>99</v>
      </c>
      <c r="Z255">
        <f t="shared" si="19"/>
        <v>512</v>
      </c>
      <c r="AA255" s="39">
        <f t="shared" si="20"/>
        <v>63.305617977528087</v>
      </c>
      <c r="AB255" s="39">
        <f t="shared" si="21"/>
        <v>2130.2469635636735</v>
      </c>
      <c r="AC255">
        <f t="shared" si="24"/>
        <v>0.99972519504656621</v>
      </c>
      <c r="AD255">
        <f t="shared" si="22"/>
        <v>0.99961055695971013</v>
      </c>
      <c r="AE255">
        <f t="shared" si="23"/>
        <v>32272</v>
      </c>
    </row>
    <row r="256" spans="1:31">
      <c r="A256" s="9">
        <v>255</v>
      </c>
      <c r="B256" s="30">
        <v>40554</v>
      </c>
      <c r="C256" s="9">
        <v>1</v>
      </c>
      <c r="D256" s="9">
        <v>0</v>
      </c>
      <c r="E256" s="9">
        <v>1</v>
      </c>
      <c r="F256" s="9">
        <v>23</v>
      </c>
      <c r="G256" s="9" t="b">
        <v>0</v>
      </c>
      <c r="H256" s="9">
        <v>2</v>
      </c>
      <c r="I256" s="9">
        <v>3</v>
      </c>
      <c r="J256" s="9">
        <v>0.16</v>
      </c>
      <c r="K256" s="9">
        <v>0.19700000000000001</v>
      </c>
      <c r="L256" s="9">
        <v>0.93</v>
      </c>
      <c r="M256" s="9">
        <v>8.9599999999999999E-2</v>
      </c>
      <c r="N256" s="9">
        <v>1</v>
      </c>
      <c r="O256" s="9">
        <v>18</v>
      </c>
      <c r="P256" s="9">
        <v>19</v>
      </c>
      <c r="Q256" s="13" t="s">
        <v>98</v>
      </c>
      <c r="R256" s="13" t="s">
        <v>79</v>
      </c>
      <c r="S256" s="9" t="s">
        <v>80</v>
      </c>
      <c r="T256" s="12" t="s">
        <v>96</v>
      </c>
      <c r="U256" s="16" t="s">
        <v>97</v>
      </c>
      <c r="V256" s="12" t="s">
        <v>83</v>
      </c>
      <c r="W256" s="15" t="s">
        <v>84</v>
      </c>
      <c r="X256" s="9" t="s">
        <v>85</v>
      </c>
      <c r="Y256" s="13" t="s">
        <v>99</v>
      </c>
      <c r="Z256">
        <f t="shared" si="19"/>
        <v>511</v>
      </c>
      <c r="AA256" s="39">
        <f t="shared" si="20"/>
        <v>63.305617977528087</v>
      </c>
      <c r="AB256" s="39">
        <f t="shared" si="21"/>
        <v>2131.6705559234342</v>
      </c>
      <c r="AC256">
        <f t="shared" si="24"/>
        <v>0.99972524468598134</v>
      </c>
      <c r="AD256">
        <f t="shared" si="22"/>
        <v>0.99961117007426237</v>
      </c>
      <c r="AE256">
        <f t="shared" si="23"/>
        <v>32243</v>
      </c>
    </row>
    <row r="257" spans="1:31">
      <c r="A257" s="10">
        <v>256</v>
      </c>
      <c r="B257" s="31">
        <v>40555</v>
      </c>
      <c r="C257" s="10">
        <v>1</v>
      </c>
      <c r="D257" s="10">
        <v>0</v>
      </c>
      <c r="E257" s="10">
        <v>1</v>
      </c>
      <c r="F257" s="10">
        <v>0</v>
      </c>
      <c r="G257" s="10" t="b">
        <v>0</v>
      </c>
      <c r="H257" s="10">
        <v>3</v>
      </c>
      <c r="I257" s="10">
        <v>2</v>
      </c>
      <c r="J257" s="10">
        <v>0.16</v>
      </c>
      <c r="K257" s="10">
        <v>0.19700000000000001</v>
      </c>
      <c r="L257" s="10">
        <v>0.86</v>
      </c>
      <c r="M257" s="10">
        <v>8.9599999999999999E-2</v>
      </c>
      <c r="N257" s="10">
        <v>0</v>
      </c>
      <c r="O257" s="10">
        <v>7</v>
      </c>
      <c r="P257" s="10">
        <v>7</v>
      </c>
      <c r="Q257" s="13" t="s">
        <v>98</v>
      </c>
      <c r="R257" s="13" t="s">
        <v>79</v>
      </c>
      <c r="S257" s="10" t="s">
        <v>80</v>
      </c>
      <c r="T257" s="11" t="s">
        <v>88</v>
      </c>
      <c r="U257" s="14" t="s">
        <v>82</v>
      </c>
      <c r="V257" s="12" t="s">
        <v>83</v>
      </c>
      <c r="W257" s="15" t="s">
        <v>84</v>
      </c>
      <c r="X257" s="10" t="s">
        <v>85</v>
      </c>
      <c r="Y257" s="13" t="s">
        <v>99</v>
      </c>
      <c r="Z257">
        <f t="shared" si="19"/>
        <v>510</v>
      </c>
      <c r="AA257" s="39">
        <f t="shared" si="20"/>
        <v>63.305617977528087</v>
      </c>
      <c r="AB257" s="39">
        <f t="shared" si="21"/>
        <v>2133.0962898232888</v>
      </c>
      <c r="AC257">
        <f t="shared" si="24"/>
        <v>0.99972536380271892</v>
      </c>
      <c r="AD257">
        <f t="shared" si="22"/>
        <v>0.99961199017652846</v>
      </c>
      <c r="AE257">
        <f t="shared" si="23"/>
        <v>32224</v>
      </c>
    </row>
    <row r="258" spans="1:31">
      <c r="A258" s="9">
        <v>257</v>
      </c>
      <c r="B258" s="30">
        <v>40555</v>
      </c>
      <c r="C258" s="9">
        <v>1</v>
      </c>
      <c r="D258" s="9">
        <v>0</v>
      </c>
      <c r="E258" s="9">
        <v>1</v>
      </c>
      <c r="F258" s="9">
        <v>1</v>
      </c>
      <c r="G258" s="9" t="b">
        <v>0</v>
      </c>
      <c r="H258" s="9">
        <v>3</v>
      </c>
      <c r="I258" s="9">
        <v>2</v>
      </c>
      <c r="J258" s="9">
        <v>0.16</v>
      </c>
      <c r="K258" s="9">
        <v>0.18179999999999999</v>
      </c>
      <c r="L258" s="9">
        <v>0.86</v>
      </c>
      <c r="M258" s="9">
        <v>0.1045</v>
      </c>
      <c r="N258" s="9">
        <v>0</v>
      </c>
      <c r="O258" s="9">
        <v>6</v>
      </c>
      <c r="P258" s="9">
        <v>6</v>
      </c>
      <c r="Q258" s="13" t="s">
        <v>98</v>
      </c>
      <c r="R258" s="13" t="s">
        <v>79</v>
      </c>
      <c r="S258" s="9" t="s">
        <v>80</v>
      </c>
      <c r="T258" s="11" t="s">
        <v>88</v>
      </c>
      <c r="U258" s="14" t="s">
        <v>82</v>
      </c>
      <c r="V258" s="12" t="s">
        <v>83</v>
      </c>
      <c r="W258" s="15" t="s">
        <v>84</v>
      </c>
      <c r="X258" s="9" t="s">
        <v>85</v>
      </c>
      <c r="Y258" s="13" t="s">
        <v>99</v>
      </c>
      <c r="Z258">
        <f t="shared" ref="Z258:Z321" si="25">COUNTIF(Q258:Q1257,"Weekday")</f>
        <v>509</v>
      </c>
      <c r="AA258" s="39">
        <f t="shared" ref="AA258:AA321" si="26">AVERAGEIF(T258:T1257,"Clear",P258:P1257)</f>
        <v>63.305617977528087</v>
      </c>
      <c r="AB258" s="39">
        <f t="shared" ref="AB258:AB321" si="27">STDEV(P258:P1257)</f>
        <v>2134.5239436682245</v>
      </c>
      <c r="AC258">
        <f t="shared" si="24"/>
        <v>0.99972560557134837</v>
      </c>
      <c r="AD258">
        <f t="shared" ref="AD258:AD321" si="28">CORREL(L258:L1257,P258:P1257)</f>
        <v>0.99961292604083662</v>
      </c>
      <c r="AE258">
        <f t="shared" ref="AE258:AE321" si="29">SUMIF(Q258:Q1257,"Weekday",P258:P1257)</f>
        <v>32217</v>
      </c>
    </row>
    <row r="259" spans="1:31">
      <c r="A259" s="10">
        <v>258</v>
      </c>
      <c r="B259" s="31">
        <v>40555</v>
      </c>
      <c r="C259" s="10">
        <v>1</v>
      </c>
      <c r="D259" s="10">
        <v>0</v>
      </c>
      <c r="E259" s="10">
        <v>1</v>
      </c>
      <c r="F259" s="10">
        <v>2</v>
      </c>
      <c r="G259" s="10" t="b">
        <v>0</v>
      </c>
      <c r="H259" s="10">
        <v>3</v>
      </c>
      <c r="I259" s="10">
        <v>1</v>
      </c>
      <c r="J259" s="10">
        <v>0.14000000000000001</v>
      </c>
      <c r="K259" s="10">
        <v>0.1515</v>
      </c>
      <c r="L259" s="10">
        <v>0.86</v>
      </c>
      <c r="M259" s="10">
        <v>0.1343</v>
      </c>
      <c r="N259" s="10">
        <v>0</v>
      </c>
      <c r="O259" s="10">
        <v>1</v>
      </c>
      <c r="P259" s="10">
        <v>1</v>
      </c>
      <c r="Q259" s="13" t="s">
        <v>98</v>
      </c>
      <c r="R259" s="13" t="s">
        <v>79</v>
      </c>
      <c r="S259" s="10" t="s">
        <v>80</v>
      </c>
      <c r="T259" s="13" t="s">
        <v>81</v>
      </c>
      <c r="U259" s="14" t="s">
        <v>82</v>
      </c>
      <c r="V259" s="12" t="s">
        <v>83</v>
      </c>
      <c r="W259" s="15" t="s">
        <v>84</v>
      </c>
      <c r="X259" s="10" t="s">
        <v>85</v>
      </c>
      <c r="Y259" s="13" t="s">
        <v>99</v>
      </c>
      <c r="Z259">
        <f t="shared" si="25"/>
        <v>508</v>
      </c>
      <c r="AA259" s="39">
        <f t="shared" si="26"/>
        <v>63.305617977528087</v>
      </c>
      <c r="AB259" s="39">
        <f t="shared" si="27"/>
        <v>2135.9543848688263</v>
      </c>
      <c r="AC259">
        <f t="shared" si="24"/>
        <v>0.99972586012344333</v>
      </c>
      <c r="AD259">
        <f t="shared" si="28"/>
        <v>0.99961388812363394</v>
      </c>
      <c r="AE259">
        <f t="shared" si="29"/>
        <v>32211</v>
      </c>
    </row>
    <row r="260" spans="1:31">
      <c r="A260" s="9">
        <v>259</v>
      </c>
      <c r="B260" s="30">
        <v>40555</v>
      </c>
      <c r="C260" s="9">
        <v>1</v>
      </c>
      <c r="D260" s="9">
        <v>0</v>
      </c>
      <c r="E260" s="9">
        <v>1</v>
      </c>
      <c r="F260" s="9">
        <v>5</v>
      </c>
      <c r="G260" s="9" t="b">
        <v>0</v>
      </c>
      <c r="H260" s="9">
        <v>3</v>
      </c>
      <c r="I260" s="9">
        <v>1</v>
      </c>
      <c r="J260" s="9">
        <v>0.14000000000000001</v>
      </c>
      <c r="K260" s="9">
        <v>0.1515</v>
      </c>
      <c r="L260" s="9">
        <v>0.86</v>
      </c>
      <c r="M260" s="9">
        <v>0.16420000000000001</v>
      </c>
      <c r="N260" s="9">
        <v>0</v>
      </c>
      <c r="O260" s="9">
        <v>5</v>
      </c>
      <c r="P260" s="9">
        <v>5</v>
      </c>
      <c r="Q260" s="13" t="s">
        <v>98</v>
      </c>
      <c r="R260" s="13" t="s">
        <v>79</v>
      </c>
      <c r="S260" s="9" t="s">
        <v>80</v>
      </c>
      <c r="T260" s="13" t="s">
        <v>81</v>
      </c>
      <c r="U260" s="15" t="s">
        <v>89</v>
      </c>
      <c r="V260" s="12" t="s">
        <v>83</v>
      </c>
      <c r="W260" s="15" t="s">
        <v>84</v>
      </c>
      <c r="X260" s="9" t="s">
        <v>85</v>
      </c>
      <c r="Y260" s="13" t="s">
        <v>99</v>
      </c>
      <c r="Z260">
        <f t="shared" si="25"/>
        <v>507</v>
      </c>
      <c r="AA260" s="39">
        <f t="shared" si="26"/>
        <v>63.445945945945944</v>
      </c>
      <c r="AB260" s="39">
        <f t="shared" si="27"/>
        <v>2137.3872804783728</v>
      </c>
      <c r="AC260">
        <f t="shared" si="24"/>
        <v>0.99972610715637811</v>
      </c>
      <c r="AD260">
        <f t="shared" si="28"/>
        <v>0.99961497586066317</v>
      </c>
      <c r="AE260">
        <f t="shared" si="29"/>
        <v>32210</v>
      </c>
    </row>
    <row r="261" spans="1:31">
      <c r="A261" s="10">
        <v>260</v>
      </c>
      <c r="B261" s="31">
        <v>40555</v>
      </c>
      <c r="C261" s="10">
        <v>1</v>
      </c>
      <c r="D261" s="10">
        <v>0</v>
      </c>
      <c r="E261" s="10">
        <v>1</v>
      </c>
      <c r="F261" s="10">
        <v>6</v>
      </c>
      <c r="G261" s="10" t="b">
        <v>0</v>
      </c>
      <c r="H261" s="10">
        <v>3</v>
      </c>
      <c r="I261" s="10">
        <v>1</v>
      </c>
      <c r="J261" s="10">
        <v>0.12</v>
      </c>
      <c r="K261" s="10">
        <v>0.1515</v>
      </c>
      <c r="L261" s="10">
        <v>0.93</v>
      </c>
      <c r="M261" s="10">
        <v>0.1343</v>
      </c>
      <c r="N261" s="10">
        <v>0</v>
      </c>
      <c r="O261" s="10">
        <v>16</v>
      </c>
      <c r="P261" s="10">
        <v>16</v>
      </c>
      <c r="Q261" s="13" t="s">
        <v>98</v>
      </c>
      <c r="R261" s="13" t="s">
        <v>79</v>
      </c>
      <c r="S261" s="10" t="s">
        <v>80</v>
      </c>
      <c r="T261" s="13" t="s">
        <v>81</v>
      </c>
      <c r="U261" s="15" t="s">
        <v>89</v>
      </c>
      <c r="V261" s="12" t="s">
        <v>83</v>
      </c>
      <c r="W261" s="15" t="s">
        <v>84</v>
      </c>
      <c r="X261" s="10" t="s">
        <v>85</v>
      </c>
      <c r="Y261" s="13" t="s">
        <v>99</v>
      </c>
      <c r="Z261">
        <f t="shared" si="25"/>
        <v>506</v>
      </c>
      <c r="AA261" s="39">
        <f t="shared" si="26"/>
        <v>63.57787810383747</v>
      </c>
      <c r="AB261" s="39">
        <f t="shared" si="27"/>
        <v>2138.8234058136236</v>
      </c>
      <c r="AC261">
        <f t="shared" si="24"/>
        <v>0.99972630876578394</v>
      </c>
      <c r="AD261">
        <f t="shared" si="28"/>
        <v>0.99961596737096303</v>
      </c>
      <c r="AE261">
        <f t="shared" si="29"/>
        <v>32205</v>
      </c>
    </row>
    <row r="262" spans="1:31">
      <c r="A262" s="9">
        <v>261</v>
      </c>
      <c r="B262" s="30">
        <v>40555</v>
      </c>
      <c r="C262" s="9">
        <v>1</v>
      </c>
      <c r="D262" s="9">
        <v>0</v>
      </c>
      <c r="E262" s="9">
        <v>1</v>
      </c>
      <c r="F262" s="9">
        <v>7</v>
      </c>
      <c r="G262" s="9" t="b">
        <v>0</v>
      </c>
      <c r="H262" s="9">
        <v>3</v>
      </c>
      <c r="I262" s="9">
        <v>1</v>
      </c>
      <c r="J262" s="9">
        <v>0.14000000000000001</v>
      </c>
      <c r="K262" s="9">
        <v>0.1515</v>
      </c>
      <c r="L262" s="9">
        <v>0.69</v>
      </c>
      <c r="M262" s="9">
        <v>0.1343</v>
      </c>
      <c r="N262" s="9">
        <v>0</v>
      </c>
      <c r="O262" s="9">
        <v>54</v>
      </c>
      <c r="P262" s="9">
        <v>54</v>
      </c>
      <c r="Q262" s="13" t="s">
        <v>98</v>
      </c>
      <c r="R262" s="13" t="s">
        <v>79</v>
      </c>
      <c r="S262" s="9" t="s">
        <v>80</v>
      </c>
      <c r="T262" s="13" t="s">
        <v>81</v>
      </c>
      <c r="U262" s="15" t="s">
        <v>89</v>
      </c>
      <c r="V262" s="11" t="s">
        <v>87</v>
      </c>
      <c r="W262" s="15" t="s">
        <v>84</v>
      </c>
      <c r="X262" s="9" t="s">
        <v>85</v>
      </c>
      <c r="Y262" s="13" t="s">
        <v>99</v>
      </c>
      <c r="Z262">
        <f t="shared" si="25"/>
        <v>505</v>
      </c>
      <c r="AA262" s="39">
        <f t="shared" si="26"/>
        <v>63.685520361990953</v>
      </c>
      <c r="AB262" s="39">
        <f t="shared" si="27"/>
        <v>2140.2633204496683</v>
      </c>
      <c r="AC262">
        <f t="shared" si="24"/>
        <v>0.99972636939396098</v>
      </c>
      <c r="AD262">
        <f t="shared" si="28"/>
        <v>0.99961686732089272</v>
      </c>
      <c r="AE262">
        <f t="shared" si="29"/>
        <v>32189</v>
      </c>
    </row>
    <row r="263" spans="1:31">
      <c r="A263" s="10">
        <v>262</v>
      </c>
      <c r="B263" s="31">
        <v>40555</v>
      </c>
      <c r="C263" s="10">
        <v>1</v>
      </c>
      <c r="D263" s="10">
        <v>0</v>
      </c>
      <c r="E263" s="10">
        <v>1</v>
      </c>
      <c r="F263" s="10">
        <v>8</v>
      </c>
      <c r="G263" s="10" t="b">
        <v>0</v>
      </c>
      <c r="H263" s="10">
        <v>3</v>
      </c>
      <c r="I263" s="10">
        <v>1</v>
      </c>
      <c r="J263" s="10">
        <v>0.16</v>
      </c>
      <c r="K263" s="10">
        <v>0.16669999999999999</v>
      </c>
      <c r="L263" s="10">
        <v>0.59</v>
      </c>
      <c r="M263" s="10">
        <v>0.16420000000000001</v>
      </c>
      <c r="N263" s="10">
        <v>3</v>
      </c>
      <c r="O263" s="10">
        <v>125</v>
      </c>
      <c r="P263" s="10">
        <v>128</v>
      </c>
      <c r="Q263" s="13" t="s">
        <v>98</v>
      </c>
      <c r="R263" s="13" t="s">
        <v>79</v>
      </c>
      <c r="S263" s="10" t="s">
        <v>80</v>
      </c>
      <c r="T263" s="13" t="s">
        <v>81</v>
      </c>
      <c r="U263" s="15" t="s">
        <v>89</v>
      </c>
      <c r="V263" s="13" t="s">
        <v>93</v>
      </c>
      <c r="W263" s="15" t="s">
        <v>84</v>
      </c>
      <c r="X263" s="10" t="s">
        <v>85</v>
      </c>
      <c r="Y263" s="13" t="s">
        <v>99</v>
      </c>
      <c r="Z263">
        <f t="shared" si="25"/>
        <v>504</v>
      </c>
      <c r="AA263" s="39">
        <f t="shared" si="26"/>
        <v>63.707482993197281</v>
      </c>
      <c r="AB263" s="39">
        <f t="shared" si="27"/>
        <v>2141.7086408721311</v>
      </c>
      <c r="AC263">
        <f t="shared" si="24"/>
        <v>0.99972638956095417</v>
      </c>
      <c r="AD263">
        <f t="shared" si="28"/>
        <v>0.99961690529794944</v>
      </c>
      <c r="AE263">
        <f t="shared" si="29"/>
        <v>32135</v>
      </c>
    </row>
    <row r="264" spans="1:31">
      <c r="A264" s="9">
        <v>263</v>
      </c>
      <c r="B264" s="30">
        <v>40555</v>
      </c>
      <c r="C264" s="9">
        <v>1</v>
      </c>
      <c r="D264" s="9">
        <v>0</v>
      </c>
      <c r="E264" s="9">
        <v>1</v>
      </c>
      <c r="F264" s="9">
        <v>9</v>
      </c>
      <c r="G264" s="9" t="b">
        <v>0</v>
      </c>
      <c r="H264" s="9">
        <v>3</v>
      </c>
      <c r="I264" s="9">
        <v>1</v>
      </c>
      <c r="J264" s="9">
        <v>0.16</v>
      </c>
      <c r="K264" s="9">
        <v>0.13639999999999999</v>
      </c>
      <c r="L264" s="9">
        <v>0.59</v>
      </c>
      <c r="M264" s="9">
        <v>0.32840000000000003</v>
      </c>
      <c r="N264" s="9">
        <v>3</v>
      </c>
      <c r="O264" s="9">
        <v>78</v>
      </c>
      <c r="P264" s="9">
        <v>81</v>
      </c>
      <c r="Q264" s="13" t="s">
        <v>98</v>
      </c>
      <c r="R264" s="13" t="s">
        <v>79</v>
      </c>
      <c r="S264" s="9" t="s">
        <v>80</v>
      </c>
      <c r="T264" s="13" t="s">
        <v>81</v>
      </c>
      <c r="U264" s="15" t="s">
        <v>89</v>
      </c>
      <c r="V264" s="13" t="s">
        <v>93</v>
      </c>
      <c r="W264" s="15" t="s">
        <v>84</v>
      </c>
      <c r="X264" s="9" t="s">
        <v>85</v>
      </c>
      <c r="Y264" s="13" t="s">
        <v>99</v>
      </c>
      <c r="Z264">
        <f t="shared" si="25"/>
        <v>503</v>
      </c>
      <c r="AA264" s="39">
        <f t="shared" si="26"/>
        <v>63.561363636363637</v>
      </c>
      <c r="AB264" s="39">
        <f t="shared" si="27"/>
        <v>2143.159134589434</v>
      </c>
      <c r="AC264">
        <f t="shared" si="24"/>
        <v>0.99972733993012619</v>
      </c>
      <c r="AD264">
        <f t="shared" si="28"/>
        <v>0.99961758419248181</v>
      </c>
      <c r="AE264">
        <f t="shared" si="29"/>
        <v>32007</v>
      </c>
    </row>
    <row r="265" spans="1:31">
      <c r="A265" s="10">
        <v>264</v>
      </c>
      <c r="B265" s="31">
        <v>40555</v>
      </c>
      <c r="C265" s="10">
        <v>1</v>
      </c>
      <c r="D265" s="10">
        <v>0</v>
      </c>
      <c r="E265" s="10">
        <v>1</v>
      </c>
      <c r="F265" s="10">
        <v>10</v>
      </c>
      <c r="G265" s="10" t="b">
        <v>0</v>
      </c>
      <c r="H265" s="10">
        <v>3</v>
      </c>
      <c r="I265" s="10">
        <v>1</v>
      </c>
      <c r="J265" s="10">
        <v>0.18</v>
      </c>
      <c r="K265" s="10">
        <v>0.18179999999999999</v>
      </c>
      <c r="L265" s="10">
        <v>0.55000000000000004</v>
      </c>
      <c r="M265" s="10">
        <v>0.22389999999999999</v>
      </c>
      <c r="N265" s="10">
        <v>0</v>
      </c>
      <c r="O265" s="10">
        <v>39</v>
      </c>
      <c r="P265" s="10">
        <v>39</v>
      </c>
      <c r="Q265" s="13" t="s">
        <v>98</v>
      </c>
      <c r="R265" s="13" t="s">
        <v>79</v>
      </c>
      <c r="S265" s="10" t="s">
        <v>80</v>
      </c>
      <c r="T265" s="13" t="s">
        <v>81</v>
      </c>
      <c r="U265" s="13" t="s">
        <v>91</v>
      </c>
      <c r="V265" s="11" t="s">
        <v>87</v>
      </c>
      <c r="W265" s="15" t="s">
        <v>84</v>
      </c>
      <c r="X265" s="10" t="s">
        <v>85</v>
      </c>
      <c r="Y265" s="13" t="s">
        <v>99</v>
      </c>
      <c r="Z265">
        <f t="shared" si="25"/>
        <v>502</v>
      </c>
      <c r="AA265" s="39">
        <f t="shared" si="26"/>
        <v>63.521640091116176</v>
      </c>
      <c r="AB265" s="39">
        <f t="shared" si="27"/>
        <v>2144.6115564604593</v>
      </c>
      <c r="AC265">
        <f t="shared" si="24"/>
        <v>0.99972750361217966</v>
      </c>
      <c r="AD265">
        <f t="shared" si="28"/>
        <v>0.99961764820744181</v>
      </c>
      <c r="AE265">
        <f t="shared" si="29"/>
        <v>31926</v>
      </c>
    </row>
    <row r="266" spans="1:31">
      <c r="A266" s="9">
        <v>265</v>
      </c>
      <c r="B266" s="30">
        <v>40555</v>
      </c>
      <c r="C266" s="9">
        <v>1</v>
      </c>
      <c r="D266" s="9">
        <v>0</v>
      </c>
      <c r="E266" s="9">
        <v>1</v>
      </c>
      <c r="F266" s="9">
        <v>11</v>
      </c>
      <c r="G266" s="9" t="b">
        <v>0</v>
      </c>
      <c r="H266" s="9">
        <v>3</v>
      </c>
      <c r="I266" s="9">
        <v>1</v>
      </c>
      <c r="J266" s="9">
        <v>0.2</v>
      </c>
      <c r="K266" s="9">
        <v>0.18179999999999999</v>
      </c>
      <c r="L266" s="9">
        <v>0.51</v>
      </c>
      <c r="M266" s="9">
        <v>0.3881</v>
      </c>
      <c r="N266" s="9">
        <v>3</v>
      </c>
      <c r="O266" s="9">
        <v>32</v>
      </c>
      <c r="P266" s="9">
        <v>35</v>
      </c>
      <c r="Q266" s="13" t="s">
        <v>98</v>
      </c>
      <c r="R266" s="13" t="s">
        <v>79</v>
      </c>
      <c r="S266" s="9" t="s">
        <v>80</v>
      </c>
      <c r="T266" s="13" t="s">
        <v>81</v>
      </c>
      <c r="U266" s="13" t="s">
        <v>91</v>
      </c>
      <c r="V266" s="11" t="s">
        <v>87</v>
      </c>
      <c r="W266" s="15" t="s">
        <v>84</v>
      </c>
      <c r="X266" s="9" t="s">
        <v>85</v>
      </c>
      <c r="Y266" s="13" t="s">
        <v>99</v>
      </c>
      <c r="Z266">
        <f t="shared" si="25"/>
        <v>501</v>
      </c>
      <c r="AA266" s="39">
        <f t="shared" si="26"/>
        <v>63.577625570776256</v>
      </c>
      <c r="AB266" s="39">
        <f t="shared" si="27"/>
        <v>2146.064833561104</v>
      </c>
      <c r="AC266">
        <f t="shared" si="24"/>
        <v>0.99972753304447026</v>
      </c>
      <c r="AD266">
        <f t="shared" si="28"/>
        <v>0.99961769024989799</v>
      </c>
      <c r="AE266">
        <f t="shared" si="29"/>
        <v>31887</v>
      </c>
    </row>
    <row r="267" spans="1:31">
      <c r="A267" s="10">
        <v>266</v>
      </c>
      <c r="B267" s="31">
        <v>40555</v>
      </c>
      <c r="C267" s="10">
        <v>1</v>
      </c>
      <c r="D267" s="10">
        <v>0</v>
      </c>
      <c r="E267" s="10">
        <v>1</v>
      </c>
      <c r="F267" s="10">
        <v>12</v>
      </c>
      <c r="G267" s="10" t="b">
        <v>0</v>
      </c>
      <c r="H267" s="10">
        <v>3</v>
      </c>
      <c r="I267" s="10">
        <v>1</v>
      </c>
      <c r="J267" s="10">
        <v>0.2</v>
      </c>
      <c r="K267" s="10">
        <v>0.1515</v>
      </c>
      <c r="L267" s="10">
        <v>0.47</v>
      </c>
      <c r="M267" s="10">
        <v>0.58209999999999995</v>
      </c>
      <c r="N267" s="10">
        <v>3</v>
      </c>
      <c r="O267" s="10">
        <v>52</v>
      </c>
      <c r="P267" s="10">
        <v>55</v>
      </c>
      <c r="Q267" s="13" t="s">
        <v>98</v>
      </c>
      <c r="R267" s="13" t="s">
        <v>79</v>
      </c>
      <c r="S267" s="10" t="s">
        <v>80</v>
      </c>
      <c r="T267" s="13" t="s">
        <v>81</v>
      </c>
      <c r="U267" s="11" t="s">
        <v>92</v>
      </c>
      <c r="V267" s="11" t="s">
        <v>87</v>
      </c>
      <c r="W267" s="15" t="s">
        <v>84</v>
      </c>
      <c r="X267" s="10" t="s">
        <v>85</v>
      </c>
      <c r="Y267" s="13" t="s">
        <v>99</v>
      </c>
      <c r="Z267">
        <f t="shared" si="25"/>
        <v>500</v>
      </c>
      <c r="AA267" s="39">
        <f t="shared" si="26"/>
        <v>63.643020594965677</v>
      </c>
      <c r="AB267" s="39">
        <f t="shared" si="27"/>
        <v>2147.5208100572177</v>
      </c>
      <c r="AC267">
        <f t="shared" si="24"/>
        <v>0.99972761718930903</v>
      </c>
      <c r="AD267">
        <f t="shared" si="28"/>
        <v>0.99961773229841488</v>
      </c>
      <c r="AE267">
        <f t="shared" si="29"/>
        <v>31852</v>
      </c>
    </row>
    <row r="268" spans="1:31">
      <c r="A268" s="9">
        <v>267</v>
      </c>
      <c r="B268" s="30">
        <v>40555</v>
      </c>
      <c r="C268" s="9">
        <v>1</v>
      </c>
      <c r="D268" s="9">
        <v>0</v>
      </c>
      <c r="E268" s="9">
        <v>1</v>
      </c>
      <c r="F268" s="9">
        <v>13</v>
      </c>
      <c r="G268" s="9" t="b">
        <v>0</v>
      </c>
      <c r="H268" s="9">
        <v>3</v>
      </c>
      <c r="I268" s="9">
        <v>1</v>
      </c>
      <c r="J268" s="9">
        <v>0.22</v>
      </c>
      <c r="K268" s="9">
        <v>0.19700000000000001</v>
      </c>
      <c r="L268" s="9">
        <v>0.44</v>
      </c>
      <c r="M268" s="9">
        <v>0.35820000000000002</v>
      </c>
      <c r="N268" s="9">
        <v>0</v>
      </c>
      <c r="O268" s="9">
        <v>49</v>
      </c>
      <c r="P268" s="9">
        <v>49</v>
      </c>
      <c r="Q268" s="13" t="s">
        <v>98</v>
      </c>
      <c r="R268" s="13" t="s">
        <v>79</v>
      </c>
      <c r="S268" s="9" t="s">
        <v>80</v>
      </c>
      <c r="T268" s="13" t="s">
        <v>81</v>
      </c>
      <c r="U268" s="11" t="s">
        <v>92</v>
      </c>
      <c r="V268" s="11" t="s">
        <v>87</v>
      </c>
      <c r="W268" s="15" t="s">
        <v>84</v>
      </c>
      <c r="X268" s="9" t="s">
        <v>85</v>
      </c>
      <c r="Y268" s="13" t="s">
        <v>99</v>
      </c>
      <c r="Z268">
        <f t="shared" si="25"/>
        <v>499</v>
      </c>
      <c r="AA268" s="39">
        <f t="shared" si="26"/>
        <v>63.662844036697251</v>
      </c>
      <c r="AB268" s="39">
        <f t="shared" si="27"/>
        <v>2148.9809500987612</v>
      </c>
      <c r="AC268">
        <f t="shared" si="24"/>
        <v>0.99972761900701956</v>
      </c>
      <c r="AD268">
        <f t="shared" si="28"/>
        <v>0.99961773846569202</v>
      </c>
      <c r="AE268">
        <f t="shared" si="29"/>
        <v>31797</v>
      </c>
    </row>
    <row r="269" spans="1:31">
      <c r="A269" s="10">
        <v>268</v>
      </c>
      <c r="B269" s="31">
        <v>40555</v>
      </c>
      <c r="C269" s="10">
        <v>1</v>
      </c>
      <c r="D269" s="10">
        <v>0</v>
      </c>
      <c r="E269" s="10">
        <v>1</v>
      </c>
      <c r="F269" s="10">
        <v>14</v>
      </c>
      <c r="G269" s="10" t="b">
        <v>0</v>
      </c>
      <c r="H269" s="10">
        <v>3</v>
      </c>
      <c r="I269" s="10">
        <v>1</v>
      </c>
      <c r="J269" s="10">
        <v>0.2</v>
      </c>
      <c r="K269" s="10">
        <v>0.18179999999999999</v>
      </c>
      <c r="L269" s="10">
        <v>0.47</v>
      </c>
      <c r="M269" s="10">
        <v>0.32840000000000003</v>
      </c>
      <c r="N269" s="10">
        <v>0</v>
      </c>
      <c r="O269" s="10">
        <v>44</v>
      </c>
      <c r="P269" s="10">
        <v>44</v>
      </c>
      <c r="Q269" s="13" t="s">
        <v>98</v>
      </c>
      <c r="R269" s="13" t="s">
        <v>79</v>
      </c>
      <c r="S269" s="10" t="s">
        <v>80</v>
      </c>
      <c r="T269" s="13" t="s">
        <v>81</v>
      </c>
      <c r="U269" s="13" t="s">
        <v>94</v>
      </c>
      <c r="V269" s="11" t="s">
        <v>87</v>
      </c>
      <c r="W269" s="15" t="s">
        <v>84</v>
      </c>
      <c r="X269" s="10" t="s">
        <v>85</v>
      </c>
      <c r="Y269" s="13" t="s">
        <v>99</v>
      </c>
      <c r="Z269">
        <f t="shared" si="25"/>
        <v>498</v>
      </c>
      <c r="AA269" s="39">
        <f t="shared" si="26"/>
        <v>63.696551724137933</v>
      </c>
      <c r="AB269" s="39">
        <f t="shared" si="27"/>
        <v>2150.4437396797166</v>
      </c>
      <c r="AC269">
        <f t="shared" si="24"/>
        <v>0.99972765471774827</v>
      </c>
      <c r="AD269">
        <f t="shared" si="28"/>
        <v>0.99961773976752721</v>
      </c>
      <c r="AE269">
        <f t="shared" si="29"/>
        <v>31748</v>
      </c>
    </row>
    <row r="270" spans="1:31">
      <c r="A270" s="9">
        <v>269</v>
      </c>
      <c r="B270" s="30">
        <v>40555</v>
      </c>
      <c r="C270" s="9">
        <v>1</v>
      </c>
      <c r="D270" s="9">
        <v>0</v>
      </c>
      <c r="E270" s="9">
        <v>1</v>
      </c>
      <c r="F270" s="9">
        <v>15</v>
      </c>
      <c r="G270" s="9" t="b">
        <v>0</v>
      </c>
      <c r="H270" s="9">
        <v>3</v>
      </c>
      <c r="I270" s="9">
        <v>1</v>
      </c>
      <c r="J270" s="9">
        <v>0.2</v>
      </c>
      <c r="K270" s="9">
        <v>0.16669999999999999</v>
      </c>
      <c r="L270" s="9">
        <v>0.47</v>
      </c>
      <c r="M270" s="9">
        <v>0.41789999999999999</v>
      </c>
      <c r="N270" s="9">
        <v>1</v>
      </c>
      <c r="O270" s="9">
        <v>48</v>
      </c>
      <c r="P270" s="9">
        <v>49</v>
      </c>
      <c r="Q270" s="13" t="s">
        <v>98</v>
      </c>
      <c r="R270" s="13" t="s">
        <v>79</v>
      </c>
      <c r="S270" s="9" t="s">
        <v>80</v>
      </c>
      <c r="T270" s="13" t="s">
        <v>81</v>
      </c>
      <c r="U270" s="13" t="s">
        <v>94</v>
      </c>
      <c r="V270" s="11" t="s">
        <v>87</v>
      </c>
      <c r="W270" s="15" t="s">
        <v>84</v>
      </c>
      <c r="X270" s="9" t="s">
        <v>85</v>
      </c>
      <c r="Y270" s="13" t="s">
        <v>99</v>
      </c>
      <c r="Z270">
        <f t="shared" si="25"/>
        <v>497</v>
      </c>
      <c r="AA270" s="39">
        <f t="shared" si="26"/>
        <v>63.741935483870968</v>
      </c>
      <c r="AB270" s="39">
        <f t="shared" si="27"/>
        <v>2151.9092250134581</v>
      </c>
      <c r="AC270">
        <f t="shared" si="24"/>
        <v>0.99972768743891183</v>
      </c>
      <c r="AD270">
        <f t="shared" si="28"/>
        <v>0.99961774124456382</v>
      </c>
      <c r="AE270">
        <f t="shared" si="29"/>
        <v>31704</v>
      </c>
    </row>
    <row r="271" spans="1:31">
      <c r="A271" s="10">
        <v>270</v>
      </c>
      <c r="B271" s="31">
        <v>40555</v>
      </c>
      <c r="C271" s="10">
        <v>1</v>
      </c>
      <c r="D271" s="10">
        <v>0</v>
      </c>
      <c r="E271" s="10">
        <v>1</v>
      </c>
      <c r="F271" s="10">
        <v>16</v>
      </c>
      <c r="G271" s="10" t="b">
        <v>0</v>
      </c>
      <c r="H271" s="10">
        <v>3</v>
      </c>
      <c r="I271" s="10">
        <v>1</v>
      </c>
      <c r="J271" s="10">
        <v>0.22</v>
      </c>
      <c r="K271" s="10">
        <v>0.19700000000000001</v>
      </c>
      <c r="L271" s="10">
        <v>0.44</v>
      </c>
      <c r="M271" s="10">
        <v>0.32840000000000003</v>
      </c>
      <c r="N271" s="10">
        <v>5</v>
      </c>
      <c r="O271" s="10">
        <v>63</v>
      </c>
      <c r="P271" s="10">
        <v>68</v>
      </c>
      <c r="Q271" s="13" t="s">
        <v>98</v>
      </c>
      <c r="R271" s="13" t="s">
        <v>79</v>
      </c>
      <c r="S271" s="10" t="s">
        <v>80</v>
      </c>
      <c r="T271" s="13" t="s">
        <v>81</v>
      </c>
      <c r="U271" s="13" t="s">
        <v>94</v>
      </c>
      <c r="V271" s="11" t="s">
        <v>87</v>
      </c>
      <c r="W271" s="15" t="s">
        <v>84</v>
      </c>
      <c r="X271" s="10" t="s">
        <v>85</v>
      </c>
      <c r="Y271" s="13" t="s">
        <v>99</v>
      </c>
      <c r="Z271">
        <f t="shared" si="25"/>
        <v>496</v>
      </c>
      <c r="AA271" s="39">
        <f t="shared" si="26"/>
        <v>63.775981524249424</v>
      </c>
      <c r="AB271" s="39">
        <f t="shared" si="27"/>
        <v>2153.3780065825076</v>
      </c>
      <c r="AC271">
        <f t="shared" si="24"/>
        <v>0.99972770175550196</v>
      </c>
      <c r="AD271">
        <f t="shared" si="28"/>
        <v>0.99961774043136309</v>
      </c>
      <c r="AE271">
        <f t="shared" si="29"/>
        <v>31655</v>
      </c>
    </row>
    <row r="272" spans="1:31">
      <c r="A272" s="9">
        <v>271</v>
      </c>
      <c r="B272" s="30">
        <v>40555</v>
      </c>
      <c r="C272" s="9">
        <v>1</v>
      </c>
      <c r="D272" s="9">
        <v>0</v>
      </c>
      <c r="E272" s="9">
        <v>1</v>
      </c>
      <c r="F272" s="9">
        <v>17</v>
      </c>
      <c r="G272" s="9" t="b">
        <v>0</v>
      </c>
      <c r="H272" s="9">
        <v>3</v>
      </c>
      <c r="I272" s="9">
        <v>1</v>
      </c>
      <c r="J272" s="9">
        <v>0.2</v>
      </c>
      <c r="K272" s="9">
        <v>0.18179999999999999</v>
      </c>
      <c r="L272" s="9">
        <v>0.47</v>
      </c>
      <c r="M272" s="9">
        <v>0.35820000000000002</v>
      </c>
      <c r="N272" s="9">
        <v>0</v>
      </c>
      <c r="O272" s="9">
        <v>139</v>
      </c>
      <c r="P272" s="9">
        <v>139</v>
      </c>
      <c r="Q272" s="13" t="s">
        <v>98</v>
      </c>
      <c r="R272" s="13" t="s">
        <v>79</v>
      </c>
      <c r="S272" s="9" t="s">
        <v>80</v>
      </c>
      <c r="T272" s="13" t="s">
        <v>81</v>
      </c>
      <c r="U272" s="15" t="s">
        <v>95</v>
      </c>
      <c r="V272" s="13" t="s">
        <v>93</v>
      </c>
      <c r="W272" s="15" t="s">
        <v>84</v>
      </c>
      <c r="X272" s="9" t="s">
        <v>85</v>
      </c>
      <c r="Y272" s="13" t="s">
        <v>99</v>
      </c>
      <c r="Z272">
        <f t="shared" si="25"/>
        <v>495</v>
      </c>
      <c r="AA272" s="39">
        <f t="shared" si="26"/>
        <v>63.766203703703702</v>
      </c>
      <c r="AB272" s="39">
        <f t="shared" si="27"/>
        <v>2154.8507819295428</v>
      </c>
      <c r="AC272">
        <f t="shared" ref="AC272:AC335" si="30">CORREL(J272:J1271,P272:P1271)</f>
        <v>0.99972770290755986</v>
      </c>
      <c r="AD272">
        <f t="shared" si="28"/>
        <v>0.99961781720400944</v>
      </c>
      <c r="AE272">
        <f t="shared" si="29"/>
        <v>31587</v>
      </c>
    </row>
    <row r="273" spans="1:31">
      <c r="A273" s="10">
        <v>272</v>
      </c>
      <c r="B273" s="31">
        <v>40555</v>
      </c>
      <c r="C273" s="10">
        <v>1</v>
      </c>
      <c r="D273" s="10">
        <v>0</v>
      </c>
      <c r="E273" s="10">
        <v>1</v>
      </c>
      <c r="F273" s="10">
        <v>18</v>
      </c>
      <c r="G273" s="10" t="b">
        <v>0</v>
      </c>
      <c r="H273" s="10">
        <v>3</v>
      </c>
      <c r="I273" s="10">
        <v>1</v>
      </c>
      <c r="J273" s="10">
        <v>0.2</v>
      </c>
      <c r="K273" s="10">
        <v>0.1515</v>
      </c>
      <c r="L273" s="10">
        <v>0.47</v>
      </c>
      <c r="M273" s="10">
        <v>0.52239999999999998</v>
      </c>
      <c r="N273" s="10">
        <v>2</v>
      </c>
      <c r="O273" s="10">
        <v>135</v>
      </c>
      <c r="P273" s="10">
        <v>137</v>
      </c>
      <c r="Q273" s="13" t="s">
        <v>98</v>
      </c>
      <c r="R273" s="13" t="s">
        <v>79</v>
      </c>
      <c r="S273" s="10" t="s">
        <v>80</v>
      </c>
      <c r="T273" s="13" t="s">
        <v>81</v>
      </c>
      <c r="U273" s="15" t="s">
        <v>95</v>
      </c>
      <c r="V273" s="13" t="s">
        <v>93</v>
      </c>
      <c r="W273" s="15" t="s">
        <v>84</v>
      </c>
      <c r="X273" s="10" t="s">
        <v>85</v>
      </c>
      <c r="Y273" s="13" t="s">
        <v>99</v>
      </c>
      <c r="Z273">
        <f t="shared" si="25"/>
        <v>494</v>
      </c>
      <c r="AA273" s="39">
        <f t="shared" si="26"/>
        <v>63.59164733178654</v>
      </c>
      <c r="AB273" s="39">
        <f t="shared" si="27"/>
        <v>2156.32822501394</v>
      </c>
      <c r="AC273">
        <f t="shared" si="30"/>
        <v>0.99972864667646577</v>
      </c>
      <c r="AD273">
        <f t="shared" si="28"/>
        <v>0.99961903840018129</v>
      </c>
      <c r="AE273">
        <f t="shared" si="29"/>
        <v>31448</v>
      </c>
    </row>
    <row r="274" spans="1:31">
      <c r="A274" s="9">
        <v>273</v>
      </c>
      <c r="B274" s="30">
        <v>40555</v>
      </c>
      <c r="C274" s="9">
        <v>1</v>
      </c>
      <c r="D274" s="9">
        <v>0</v>
      </c>
      <c r="E274" s="9">
        <v>1</v>
      </c>
      <c r="F274" s="9">
        <v>19</v>
      </c>
      <c r="G274" s="9" t="b">
        <v>0</v>
      </c>
      <c r="H274" s="9">
        <v>3</v>
      </c>
      <c r="I274" s="9">
        <v>1</v>
      </c>
      <c r="J274" s="9">
        <v>0.18</v>
      </c>
      <c r="K274" s="9">
        <v>0.1515</v>
      </c>
      <c r="L274" s="9">
        <v>0.47</v>
      </c>
      <c r="M274" s="9">
        <v>0.41789999999999999</v>
      </c>
      <c r="N274" s="9">
        <v>1</v>
      </c>
      <c r="O274" s="9">
        <v>82</v>
      </c>
      <c r="P274" s="9">
        <v>83</v>
      </c>
      <c r="Q274" s="13" t="s">
        <v>98</v>
      </c>
      <c r="R274" s="13" t="s">
        <v>79</v>
      </c>
      <c r="S274" s="9" t="s">
        <v>80</v>
      </c>
      <c r="T274" s="13" t="s">
        <v>81</v>
      </c>
      <c r="U274" s="15" t="s">
        <v>95</v>
      </c>
      <c r="V274" s="13" t="s">
        <v>93</v>
      </c>
      <c r="W274" s="15" t="s">
        <v>84</v>
      </c>
      <c r="X274" s="9" t="s">
        <v>85</v>
      </c>
      <c r="Y274" s="13" t="s">
        <v>99</v>
      </c>
      <c r="Z274">
        <f t="shared" si="25"/>
        <v>493</v>
      </c>
      <c r="AA274" s="39">
        <f t="shared" si="26"/>
        <v>63.420930232558142</v>
      </c>
      <c r="AB274" s="39">
        <f t="shared" si="27"/>
        <v>2157.8087089408159</v>
      </c>
      <c r="AC274">
        <f t="shared" si="30"/>
        <v>0.99972954632881805</v>
      </c>
      <c r="AD274">
        <f t="shared" si="28"/>
        <v>0.99962020973496124</v>
      </c>
      <c r="AE274">
        <f t="shared" si="29"/>
        <v>31311</v>
      </c>
    </row>
    <row r="275" spans="1:31">
      <c r="A275" s="10">
        <v>274</v>
      </c>
      <c r="B275" s="31">
        <v>40555</v>
      </c>
      <c r="C275" s="10">
        <v>1</v>
      </c>
      <c r="D275" s="10">
        <v>0</v>
      </c>
      <c r="E275" s="10">
        <v>1</v>
      </c>
      <c r="F275" s="10">
        <v>20</v>
      </c>
      <c r="G275" s="10" t="b">
        <v>0</v>
      </c>
      <c r="H275" s="10">
        <v>3</v>
      </c>
      <c r="I275" s="10">
        <v>1</v>
      </c>
      <c r="J275" s="10">
        <v>0.16</v>
      </c>
      <c r="K275" s="10">
        <v>0.13639999999999999</v>
      </c>
      <c r="L275" s="10">
        <v>0.5</v>
      </c>
      <c r="M275" s="10">
        <v>0.32840000000000003</v>
      </c>
      <c r="N275" s="10">
        <v>2</v>
      </c>
      <c r="O275" s="10">
        <v>54</v>
      </c>
      <c r="P275" s="10">
        <v>56</v>
      </c>
      <c r="Q275" s="13" t="s">
        <v>98</v>
      </c>
      <c r="R275" s="13" t="s">
        <v>79</v>
      </c>
      <c r="S275" s="10" t="s">
        <v>80</v>
      </c>
      <c r="T275" s="13" t="s">
        <v>81</v>
      </c>
      <c r="U275" s="16" t="s">
        <v>97</v>
      </c>
      <c r="V275" s="11" t="s">
        <v>87</v>
      </c>
      <c r="W275" s="15" t="s">
        <v>84</v>
      </c>
      <c r="X275" s="10" t="s">
        <v>85</v>
      </c>
      <c r="Y275" s="13" t="s">
        <v>99</v>
      </c>
      <c r="Z275">
        <f t="shared" si="25"/>
        <v>492</v>
      </c>
      <c r="AA275" s="39">
        <f t="shared" si="26"/>
        <v>63.375291375291376</v>
      </c>
      <c r="AB275" s="39">
        <f t="shared" si="27"/>
        <v>2159.2912198208478</v>
      </c>
      <c r="AC275">
        <f t="shared" si="30"/>
        <v>0.99972967729992712</v>
      </c>
      <c r="AD275">
        <f t="shared" si="28"/>
        <v>0.99962039200232933</v>
      </c>
      <c r="AE275">
        <f t="shared" si="29"/>
        <v>31228</v>
      </c>
    </row>
    <row r="276" spans="1:31">
      <c r="A276" s="9">
        <v>275</v>
      </c>
      <c r="B276" s="30">
        <v>40555</v>
      </c>
      <c r="C276" s="9">
        <v>1</v>
      </c>
      <c r="D276" s="9">
        <v>0</v>
      </c>
      <c r="E276" s="9">
        <v>1</v>
      </c>
      <c r="F276" s="9">
        <v>21</v>
      </c>
      <c r="G276" s="9" t="b">
        <v>0</v>
      </c>
      <c r="H276" s="9">
        <v>3</v>
      </c>
      <c r="I276" s="9">
        <v>1</v>
      </c>
      <c r="J276" s="9">
        <v>0.16</v>
      </c>
      <c r="K276" s="9">
        <v>0.13639999999999999</v>
      </c>
      <c r="L276" s="9">
        <v>0.55000000000000004</v>
      </c>
      <c r="M276" s="9">
        <v>0.32840000000000003</v>
      </c>
      <c r="N276" s="9">
        <v>0</v>
      </c>
      <c r="O276" s="9">
        <v>57</v>
      </c>
      <c r="P276" s="9">
        <v>57</v>
      </c>
      <c r="Q276" s="13" t="s">
        <v>98</v>
      </c>
      <c r="R276" s="13" t="s">
        <v>79</v>
      </c>
      <c r="S276" s="9" t="s">
        <v>80</v>
      </c>
      <c r="T276" s="13" t="s">
        <v>81</v>
      </c>
      <c r="U276" s="16" t="s">
        <v>97</v>
      </c>
      <c r="V276" s="11" t="s">
        <v>87</v>
      </c>
      <c r="W276" s="15" t="s">
        <v>84</v>
      </c>
      <c r="X276" s="9" t="s">
        <v>85</v>
      </c>
      <c r="Y276" s="13" t="s">
        <v>99</v>
      </c>
      <c r="Z276">
        <f t="shared" si="25"/>
        <v>491</v>
      </c>
      <c r="AA276" s="39">
        <f t="shared" si="26"/>
        <v>63.392523364485982</v>
      </c>
      <c r="AB276" s="39">
        <f t="shared" si="27"/>
        <v>2160.7755775209866</v>
      </c>
      <c r="AC276">
        <f t="shared" si="30"/>
        <v>0.99972968742880008</v>
      </c>
      <c r="AD276">
        <f t="shared" si="28"/>
        <v>0.9996203952114846</v>
      </c>
      <c r="AE276">
        <f t="shared" si="29"/>
        <v>31172</v>
      </c>
    </row>
    <row r="277" spans="1:31">
      <c r="A277" s="10">
        <v>276</v>
      </c>
      <c r="B277" s="31">
        <v>40555</v>
      </c>
      <c r="C277" s="10">
        <v>1</v>
      </c>
      <c r="D277" s="10">
        <v>0</v>
      </c>
      <c r="E277" s="10">
        <v>1</v>
      </c>
      <c r="F277" s="10">
        <v>22</v>
      </c>
      <c r="G277" s="10" t="b">
        <v>0</v>
      </c>
      <c r="H277" s="10">
        <v>3</v>
      </c>
      <c r="I277" s="10">
        <v>1</v>
      </c>
      <c r="J277" s="10">
        <v>0.16</v>
      </c>
      <c r="K277" s="10">
        <v>0.1212</v>
      </c>
      <c r="L277" s="10">
        <v>0.55000000000000004</v>
      </c>
      <c r="M277" s="10">
        <v>0.44779999999999998</v>
      </c>
      <c r="N277" s="10">
        <v>1</v>
      </c>
      <c r="O277" s="10">
        <v>32</v>
      </c>
      <c r="P277" s="10">
        <v>33</v>
      </c>
      <c r="Q277" s="13" t="s">
        <v>98</v>
      </c>
      <c r="R277" s="13" t="s">
        <v>79</v>
      </c>
      <c r="S277" s="10" t="s">
        <v>80</v>
      </c>
      <c r="T277" s="13" t="s">
        <v>81</v>
      </c>
      <c r="U277" s="16" t="s">
        <v>97</v>
      </c>
      <c r="V277" s="11" t="s">
        <v>87</v>
      </c>
      <c r="W277" s="15" t="s">
        <v>84</v>
      </c>
      <c r="X277" s="10" t="s">
        <v>85</v>
      </c>
      <c r="Y277" s="13" t="s">
        <v>99</v>
      </c>
      <c r="Z277">
        <f t="shared" si="25"/>
        <v>490</v>
      </c>
      <c r="AA277" s="39">
        <f t="shared" si="26"/>
        <v>63.40749414519906</v>
      </c>
      <c r="AB277" s="39">
        <f t="shared" si="27"/>
        <v>2162.2630539394281</v>
      </c>
      <c r="AC277">
        <f t="shared" si="30"/>
        <v>0.99972970026386154</v>
      </c>
      <c r="AD277">
        <f t="shared" si="28"/>
        <v>0.9996203946533504</v>
      </c>
      <c r="AE277">
        <f t="shared" si="29"/>
        <v>31115</v>
      </c>
    </row>
    <row r="278" spans="1:31">
      <c r="A278" s="9">
        <v>277</v>
      </c>
      <c r="B278" s="30">
        <v>40555</v>
      </c>
      <c r="C278" s="9">
        <v>1</v>
      </c>
      <c r="D278" s="9">
        <v>0</v>
      </c>
      <c r="E278" s="9">
        <v>1</v>
      </c>
      <c r="F278" s="9">
        <v>23</v>
      </c>
      <c r="G278" s="9" t="b">
        <v>0</v>
      </c>
      <c r="H278" s="9">
        <v>3</v>
      </c>
      <c r="I278" s="9">
        <v>1</v>
      </c>
      <c r="J278" s="9">
        <v>0.14000000000000001</v>
      </c>
      <c r="K278" s="9">
        <v>0.1061</v>
      </c>
      <c r="L278" s="9">
        <v>0.59</v>
      </c>
      <c r="M278" s="9">
        <v>0.41789999999999999</v>
      </c>
      <c r="N278" s="9">
        <v>1</v>
      </c>
      <c r="O278" s="9">
        <v>19</v>
      </c>
      <c r="P278" s="9">
        <v>20</v>
      </c>
      <c r="Q278" s="13" t="s">
        <v>98</v>
      </c>
      <c r="R278" s="13" t="s">
        <v>79</v>
      </c>
      <c r="S278" s="9" t="s">
        <v>80</v>
      </c>
      <c r="T278" s="13" t="s">
        <v>81</v>
      </c>
      <c r="U278" s="16" t="s">
        <v>97</v>
      </c>
      <c r="V278" s="12" t="s">
        <v>83</v>
      </c>
      <c r="W278" s="15" t="s">
        <v>84</v>
      </c>
      <c r="X278" s="9" t="s">
        <v>85</v>
      </c>
      <c r="Y278" s="13" t="s">
        <v>99</v>
      </c>
      <c r="Z278">
        <f t="shared" si="25"/>
        <v>489</v>
      </c>
      <c r="AA278" s="39">
        <f t="shared" si="26"/>
        <v>63.478873239436616</v>
      </c>
      <c r="AB278" s="39">
        <f t="shared" si="27"/>
        <v>2163.7521473859256</v>
      </c>
      <c r="AC278">
        <f t="shared" si="30"/>
        <v>0.99972973027905387</v>
      </c>
      <c r="AD278">
        <f t="shared" si="28"/>
        <v>0.9996204701382233</v>
      </c>
      <c r="AE278">
        <f t="shared" si="29"/>
        <v>31082</v>
      </c>
    </row>
    <row r="279" spans="1:31">
      <c r="A279" s="10">
        <v>278</v>
      </c>
      <c r="B279" s="31">
        <v>40556</v>
      </c>
      <c r="C279" s="10">
        <v>1</v>
      </c>
      <c r="D279" s="10">
        <v>0</v>
      </c>
      <c r="E279" s="10">
        <v>1</v>
      </c>
      <c r="F279" s="10">
        <v>0</v>
      </c>
      <c r="G279" s="10" t="b">
        <v>0</v>
      </c>
      <c r="H279" s="10">
        <v>4</v>
      </c>
      <c r="I279" s="10">
        <v>1</v>
      </c>
      <c r="J279" s="10">
        <v>0.14000000000000001</v>
      </c>
      <c r="K279" s="10">
        <v>0.1212</v>
      </c>
      <c r="L279" s="10">
        <v>0.59</v>
      </c>
      <c r="M279" s="10">
        <v>0.28360000000000002</v>
      </c>
      <c r="N279" s="10">
        <v>1</v>
      </c>
      <c r="O279" s="10">
        <v>6</v>
      </c>
      <c r="P279" s="10">
        <v>7</v>
      </c>
      <c r="Q279" s="13" t="s">
        <v>98</v>
      </c>
      <c r="R279" s="13" t="s">
        <v>79</v>
      </c>
      <c r="S279" s="10" t="s">
        <v>80</v>
      </c>
      <c r="T279" s="13" t="s">
        <v>81</v>
      </c>
      <c r="U279" s="14" t="s">
        <v>82</v>
      </c>
      <c r="V279" s="12" t="s">
        <v>83</v>
      </c>
      <c r="W279" s="15" t="s">
        <v>84</v>
      </c>
      <c r="X279" s="10" t="s">
        <v>85</v>
      </c>
      <c r="Y279" s="13" t="s">
        <v>99</v>
      </c>
      <c r="Z279">
        <f t="shared" si="25"/>
        <v>488</v>
      </c>
      <c r="AA279" s="39">
        <f t="shared" si="26"/>
        <v>63.581176470588233</v>
      </c>
      <c r="AB279" s="39">
        <f t="shared" si="27"/>
        <v>2165.2433755770885</v>
      </c>
      <c r="AC279">
        <f t="shared" si="30"/>
        <v>0.99972979950922447</v>
      </c>
      <c r="AD279">
        <f t="shared" si="28"/>
        <v>0.99962070292034133</v>
      </c>
      <c r="AE279">
        <f t="shared" si="29"/>
        <v>31062</v>
      </c>
    </row>
    <row r="280" spans="1:31">
      <c r="A280" s="9">
        <v>279</v>
      </c>
      <c r="B280" s="30">
        <v>40556</v>
      </c>
      <c r="C280" s="9">
        <v>1</v>
      </c>
      <c r="D280" s="9">
        <v>0</v>
      </c>
      <c r="E280" s="9">
        <v>1</v>
      </c>
      <c r="F280" s="9">
        <v>1</v>
      </c>
      <c r="G280" s="9" t="b">
        <v>0</v>
      </c>
      <c r="H280" s="9">
        <v>4</v>
      </c>
      <c r="I280" s="9">
        <v>1</v>
      </c>
      <c r="J280" s="9">
        <v>0.14000000000000001</v>
      </c>
      <c r="K280" s="9">
        <v>0.1212</v>
      </c>
      <c r="L280" s="9">
        <v>0.5</v>
      </c>
      <c r="M280" s="9">
        <v>0.28360000000000002</v>
      </c>
      <c r="N280" s="9">
        <v>0</v>
      </c>
      <c r="O280" s="9">
        <v>2</v>
      </c>
      <c r="P280" s="9">
        <v>2</v>
      </c>
      <c r="Q280" s="13" t="s">
        <v>98</v>
      </c>
      <c r="R280" s="13" t="s">
        <v>79</v>
      </c>
      <c r="S280" s="9" t="s">
        <v>80</v>
      </c>
      <c r="T280" s="13" t="s">
        <v>81</v>
      </c>
      <c r="U280" s="14" t="s">
        <v>82</v>
      </c>
      <c r="V280" s="12" t="s">
        <v>83</v>
      </c>
      <c r="W280" s="15" t="s">
        <v>84</v>
      </c>
      <c r="X280" s="9" t="s">
        <v>85</v>
      </c>
      <c r="Y280" s="13" t="s">
        <v>99</v>
      </c>
      <c r="Z280">
        <f t="shared" si="25"/>
        <v>487</v>
      </c>
      <c r="AA280" s="39">
        <f t="shared" si="26"/>
        <v>63.714622641509436</v>
      </c>
      <c r="AB280" s="39">
        <f t="shared" si="27"/>
        <v>2166.736634997631</v>
      </c>
      <c r="AC280">
        <f t="shared" si="30"/>
        <v>0.99972997760146276</v>
      </c>
      <c r="AD280">
        <f t="shared" si="28"/>
        <v>0.9996211141851733</v>
      </c>
      <c r="AE280">
        <f t="shared" si="29"/>
        <v>31055</v>
      </c>
    </row>
    <row r="281" spans="1:31">
      <c r="A281" s="10">
        <v>280</v>
      </c>
      <c r="B281" s="31">
        <v>40556</v>
      </c>
      <c r="C281" s="10">
        <v>1</v>
      </c>
      <c r="D281" s="10">
        <v>0</v>
      </c>
      <c r="E281" s="10">
        <v>1</v>
      </c>
      <c r="F281" s="10">
        <v>2</v>
      </c>
      <c r="G281" s="10" t="b">
        <v>0</v>
      </c>
      <c r="H281" s="10">
        <v>4</v>
      </c>
      <c r="I281" s="10">
        <v>1</v>
      </c>
      <c r="J281" s="10">
        <v>0.14000000000000001</v>
      </c>
      <c r="K281" s="10">
        <v>0.1212</v>
      </c>
      <c r="L281" s="10">
        <v>0.5</v>
      </c>
      <c r="M281" s="10">
        <v>0.35820000000000002</v>
      </c>
      <c r="N281" s="10">
        <v>0</v>
      </c>
      <c r="O281" s="10">
        <v>2</v>
      </c>
      <c r="P281" s="10">
        <v>2</v>
      </c>
      <c r="Q281" s="13" t="s">
        <v>98</v>
      </c>
      <c r="R281" s="13" t="s">
        <v>79</v>
      </c>
      <c r="S281" s="10" t="s">
        <v>80</v>
      </c>
      <c r="T281" s="13" t="s">
        <v>81</v>
      </c>
      <c r="U281" s="14" t="s">
        <v>82</v>
      </c>
      <c r="V281" s="12" t="s">
        <v>83</v>
      </c>
      <c r="W281" s="15" t="s">
        <v>84</v>
      </c>
      <c r="X281" s="10" t="s">
        <v>85</v>
      </c>
      <c r="Y281" s="13" t="s">
        <v>99</v>
      </c>
      <c r="Z281">
        <f t="shared" si="25"/>
        <v>486</v>
      </c>
      <c r="AA281" s="39">
        <f t="shared" si="26"/>
        <v>63.860520094562645</v>
      </c>
      <c r="AB281" s="39">
        <f t="shared" si="27"/>
        <v>2168.2325521918965</v>
      </c>
      <c r="AC281">
        <f t="shared" si="30"/>
        <v>0.99973021134833684</v>
      </c>
      <c r="AD281">
        <f t="shared" si="28"/>
        <v>0.99962146609776603</v>
      </c>
      <c r="AE281">
        <f t="shared" si="29"/>
        <v>31053</v>
      </c>
    </row>
    <row r="282" spans="1:31">
      <c r="A282" s="9">
        <v>281</v>
      </c>
      <c r="B282" s="30">
        <v>40556</v>
      </c>
      <c r="C282" s="9">
        <v>1</v>
      </c>
      <c r="D282" s="9">
        <v>0</v>
      </c>
      <c r="E282" s="9">
        <v>1</v>
      </c>
      <c r="F282" s="9">
        <v>3</v>
      </c>
      <c r="G282" s="9" t="b">
        <v>0</v>
      </c>
      <c r="H282" s="9">
        <v>4</v>
      </c>
      <c r="I282" s="9">
        <v>1</v>
      </c>
      <c r="J282" s="9">
        <v>0.14000000000000001</v>
      </c>
      <c r="K282" s="9">
        <v>0.1212</v>
      </c>
      <c r="L282" s="9">
        <v>0.5</v>
      </c>
      <c r="M282" s="9">
        <v>0.32840000000000003</v>
      </c>
      <c r="N282" s="9">
        <v>0</v>
      </c>
      <c r="O282" s="9">
        <v>3</v>
      </c>
      <c r="P282" s="9">
        <v>3</v>
      </c>
      <c r="Q282" s="13" t="s">
        <v>98</v>
      </c>
      <c r="R282" s="13" t="s">
        <v>79</v>
      </c>
      <c r="S282" s="9" t="s">
        <v>80</v>
      </c>
      <c r="T282" s="13" t="s">
        <v>81</v>
      </c>
      <c r="U282" s="14" t="s">
        <v>82</v>
      </c>
      <c r="V282" s="12" t="s">
        <v>83</v>
      </c>
      <c r="W282" s="15" t="s">
        <v>84</v>
      </c>
      <c r="X282" s="9" t="s">
        <v>85</v>
      </c>
      <c r="Y282" s="13" t="s">
        <v>99</v>
      </c>
      <c r="Z282">
        <f t="shared" si="25"/>
        <v>485</v>
      </c>
      <c r="AA282" s="39">
        <f t="shared" si="26"/>
        <v>64.007109004739334</v>
      </c>
      <c r="AB282" s="39">
        <f t="shared" si="27"/>
        <v>2169.7315719723542</v>
      </c>
      <c r="AC282">
        <f t="shared" si="30"/>
        <v>0.99973044574757808</v>
      </c>
      <c r="AD282">
        <f t="shared" si="28"/>
        <v>0.99962181899211566</v>
      </c>
      <c r="AE282">
        <f t="shared" si="29"/>
        <v>31051</v>
      </c>
    </row>
    <row r="283" spans="1:31">
      <c r="A283" s="10">
        <v>282</v>
      </c>
      <c r="B283" s="31">
        <v>40556</v>
      </c>
      <c r="C283" s="10">
        <v>1</v>
      </c>
      <c r="D283" s="10">
        <v>0</v>
      </c>
      <c r="E283" s="10">
        <v>1</v>
      </c>
      <c r="F283" s="10">
        <v>4</v>
      </c>
      <c r="G283" s="10" t="b">
        <v>0</v>
      </c>
      <c r="H283" s="10">
        <v>4</v>
      </c>
      <c r="I283" s="10">
        <v>1</v>
      </c>
      <c r="J283" s="10">
        <v>0.14000000000000001</v>
      </c>
      <c r="K283" s="10">
        <v>0.1212</v>
      </c>
      <c r="L283" s="10">
        <v>0.5</v>
      </c>
      <c r="M283" s="10">
        <v>0.25369999999999998</v>
      </c>
      <c r="N283" s="10">
        <v>0</v>
      </c>
      <c r="O283" s="10">
        <v>4</v>
      </c>
      <c r="P283" s="10">
        <v>4</v>
      </c>
      <c r="Q283" s="13" t="s">
        <v>98</v>
      </c>
      <c r="R283" s="13" t="s">
        <v>79</v>
      </c>
      <c r="S283" s="10" t="s">
        <v>80</v>
      </c>
      <c r="T283" s="13" t="s">
        <v>81</v>
      </c>
      <c r="U283" s="14" t="s">
        <v>82</v>
      </c>
      <c r="V283" s="12" t="s">
        <v>83</v>
      </c>
      <c r="W283" s="15" t="s">
        <v>84</v>
      </c>
      <c r="X283" s="10" t="s">
        <v>85</v>
      </c>
      <c r="Y283" s="13" t="s">
        <v>99</v>
      </c>
      <c r="Z283">
        <f t="shared" si="25"/>
        <v>484</v>
      </c>
      <c r="AA283" s="39">
        <f t="shared" si="26"/>
        <v>64.152019002375297</v>
      </c>
      <c r="AB283" s="39">
        <f t="shared" si="27"/>
        <v>2171.2337939166691</v>
      </c>
      <c r="AC283">
        <f t="shared" si="30"/>
        <v>0.99973066914660325</v>
      </c>
      <c r="AD283">
        <f t="shared" si="28"/>
        <v>0.999622158544062</v>
      </c>
      <c r="AE283">
        <f t="shared" si="29"/>
        <v>31048</v>
      </c>
    </row>
    <row r="284" spans="1:31">
      <c r="A284" s="9">
        <v>283</v>
      </c>
      <c r="B284" s="30">
        <v>40556</v>
      </c>
      <c r="C284" s="9">
        <v>1</v>
      </c>
      <c r="D284" s="9">
        <v>0</v>
      </c>
      <c r="E284" s="9">
        <v>1</v>
      </c>
      <c r="F284" s="9">
        <v>5</v>
      </c>
      <c r="G284" s="9" t="b">
        <v>0</v>
      </c>
      <c r="H284" s="9">
        <v>4</v>
      </c>
      <c r="I284" s="9">
        <v>1</v>
      </c>
      <c r="J284" s="9">
        <v>0.14000000000000001</v>
      </c>
      <c r="K284" s="9">
        <v>0.1212</v>
      </c>
      <c r="L284" s="9">
        <v>0.5</v>
      </c>
      <c r="M284" s="9">
        <v>0.29849999999999999</v>
      </c>
      <c r="N284" s="9">
        <v>0</v>
      </c>
      <c r="O284" s="9">
        <v>3</v>
      </c>
      <c r="P284" s="9">
        <v>3</v>
      </c>
      <c r="Q284" s="13" t="s">
        <v>98</v>
      </c>
      <c r="R284" s="13" t="s">
        <v>79</v>
      </c>
      <c r="S284" s="9" t="s">
        <v>80</v>
      </c>
      <c r="T284" s="13" t="s">
        <v>81</v>
      </c>
      <c r="U284" s="15" t="s">
        <v>89</v>
      </c>
      <c r="V284" s="12" t="s">
        <v>83</v>
      </c>
      <c r="W284" s="15" t="s">
        <v>84</v>
      </c>
      <c r="X284" s="9" t="s">
        <v>85</v>
      </c>
      <c r="Y284" s="13" t="s">
        <v>99</v>
      </c>
      <c r="Z284">
        <f t="shared" si="25"/>
        <v>483</v>
      </c>
      <c r="AA284" s="39">
        <f t="shared" si="26"/>
        <v>64.295238095238091</v>
      </c>
      <c r="AB284" s="39">
        <f t="shared" si="27"/>
        <v>2172.7392287313014</v>
      </c>
      <c r="AC284">
        <f t="shared" si="30"/>
        <v>0.99973088179474823</v>
      </c>
      <c r="AD284">
        <f t="shared" si="28"/>
        <v>0.9996224849930736</v>
      </c>
      <c r="AE284">
        <f t="shared" si="29"/>
        <v>31044</v>
      </c>
    </row>
    <row r="285" spans="1:31">
      <c r="A285" s="10">
        <v>284</v>
      </c>
      <c r="B285" s="31">
        <v>40556</v>
      </c>
      <c r="C285" s="10">
        <v>1</v>
      </c>
      <c r="D285" s="10">
        <v>0</v>
      </c>
      <c r="E285" s="10">
        <v>1</v>
      </c>
      <c r="F285" s="10">
        <v>6</v>
      </c>
      <c r="G285" s="10" t="b">
        <v>0</v>
      </c>
      <c r="H285" s="10">
        <v>4</v>
      </c>
      <c r="I285" s="10">
        <v>1</v>
      </c>
      <c r="J285" s="10">
        <v>0.12</v>
      </c>
      <c r="K285" s="10">
        <v>0.1515</v>
      </c>
      <c r="L285" s="10">
        <v>0.54</v>
      </c>
      <c r="M285" s="10">
        <v>0.1343</v>
      </c>
      <c r="N285" s="10">
        <v>0</v>
      </c>
      <c r="O285" s="10">
        <v>28</v>
      </c>
      <c r="P285" s="10">
        <v>28</v>
      </c>
      <c r="Q285" s="13" t="s">
        <v>98</v>
      </c>
      <c r="R285" s="13" t="s">
        <v>79</v>
      </c>
      <c r="S285" s="10" t="s">
        <v>80</v>
      </c>
      <c r="T285" s="13" t="s">
        <v>81</v>
      </c>
      <c r="U285" s="15" t="s">
        <v>89</v>
      </c>
      <c r="V285" s="12" t="s">
        <v>83</v>
      </c>
      <c r="W285" s="15" t="s">
        <v>84</v>
      </c>
      <c r="X285" s="10" t="s">
        <v>85</v>
      </c>
      <c r="Y285" s="13" t="s">
        <v>99</v>
      </c>
      <c r="Z285">
        <f t="shared" si="25"/>
        <v>482</v>
      </c>
      <c r="AA285" s="39">
        <f t="shared" si="26"/>
        <v>64.441527446300711</v>
      </c>
      <c r="AB285" s="39">
        <f t="shared" si="27"/>
        <v>2174.2477106845859</v>
      </c>
      <c r="AC285">
        <f t="shared" si="30"/>
        <v>0.99973110643063423</v>
      </c>
      <c r="AD285">
        <f t="shared" si="28"/>
        <v>0.99962282642884159</v>
      </c>
      <c r="AE285">
        <f t="shared" si="29"/>
        <v>31041</v>
      </c>
    </row>
    <row r="286" spans="1:31">
      <c r="A286" s="9">
        <v>285</v>
      </c>
      <c r="B286" s="30">
        <v>40556</v>
      </c>
      <c r="C286" s="9">
        <v>1</v>
      </c>
      <c r="D286" s="9">
        <v>0</v>
      </c>
      <c r="E286" s="9">
        <v>1</v>
      </c>
      <c r="F286" s="9">
        <v>7</v>
      </c>
      <c r="G286" s="9" t="b">
        <v>0</v>
      </c>
      <c r="H286" s="9">
        <v>4</v>
      </c>
      <c r="I286" s="9">
        <v>1</v>
      </c>
      <c r="J286" s="9">
        <v>0.12</v>
      </c>
      <c r="K286" s="9">
        <v>0.1515</v>
      </c>
      <c r="L286" s="9">
        <v>0.54</v>
      </c>
      <c r="M286" s="9">
        <v>0.1343</v>
      </c>
      <c r="N286" s="9">
        <v>0</v>
      </c>
      <c r="O286" s="9">
        <v>72</v>
      </c>
      <c r="P286" s="9">
        <v>72</v>
      </c>
      <c r="Q286" s="13" t="s">
        <v>98</v>
      </c>
      <c r="R286" s="13" t="s">
        <v>79</v>
      </c>
      <c r="S286" s="9" t="s">
        <v>80</v>
      </c>
      <c r="T286" s="13" t="s">
        <v>81</v>
      </c>
      <c r="U286" s="15" t="s">
        <v>89</v>
      </c>
      <c r="V286" s="13" t="s">
        <v>93</v>
      </c>
      <c r="W286" s="15" t="s">
        <v>84</v>
      </c>
      <c r="X286" s="9" t="s">
        <v>85</v>
      </c>
      <c r="Y286" s="13" t="s">
        <v>99</v>
      </c>
      <c r="Z286">
        <f t="shared" si="25"/>
        <v>481</v>
      </c>
      <c r="AA286" s="39">
        <f t="shared" si="26"/>
        <v>64.528708133971293</v>
      </c>
      <c r="AB286" s="39">
        <f t="shared" si="27"/>
        <v>2175.7613648360029</v>
      </c>
      <c r="AC286">
        <f t="shared" si="30"/>
        <v>0.99973111611777288</v>
      </c>
      <c r="AD286">
        <f t="shared" si="28"/>
        <v>0.99962293503331101</v>
      </c>
      <c r="AE286">
        <f t="shared" si="29"/>
        <v>31013</v>
      </c>
    </row>
    <row r="287" spans="1:31">
      <c r="A287" s="10">
        <v>286</v>
      </c>
      <c r="B287" s="31">
        <v>40556</v>
      </c>
      <c r="C287" s="10">
        <v>1</v>
      </c>
      <c r="D287" s="10">
        <v>0</v>
      </c>
      <c r="E287" s="10">
        <v>1</v>
      </c>
      <c r="F287" s="10">
        <v>8</v>
      </c>
      <c r="G287" s="10" t="b">
        <v>0</v>
      </c>
      <c r="H287" s="10">
        <v>4</v>
      </c>
      <c r="I287" s="10">
        <v>1</v>
      </c>
      <c r="J287" s="10">
        <v>0.14000000000000001</v>
      </c>
      <c r="K287" s="10">
        <v>0.13639999999999999</v>
      </c>
      <c r="L287" s="10">
        <v>0.5</v>
      </c>
      <c r="M287" s="10">
        <v>0.19400000000000001</v>
      </c>
      <c r="N287" s="10">
        <v>5</v>
      </c>
      <c r="O287" s="10">
        <v>197</v>
      </c>
      <c r="P287" s="10">
        <v>202</v>
      </c>
      <c r="Q287" s="13" t="s">
        <v>98</v>
      </c>
      <c r="R287" s="13" t="s">
        <v>79</v>
      </c>
      <c r="S287" s="10" t="s">
        <v>80</v>
      </c>
      <c r="T287" s="13" t="s">
        <v>81</v>
      </c>
      <c r="U287" s="15" t="s">
        <v>89</v>
      </c>
      <c r="V287" s="13" t="s">
        <v>93</v>
      </c>
      <c r="W287" s="15" t="s">
        <v>84</v>
      </c>
      <c r="X287" s="10" t="s">
        <v>85</v>
      </c>
      <c r="Y287" s="13" t="s">
        <v>99</v>
      </c>
      <c r="Z287">
        <f t="shared" si="25"/>
        <v>480</v>
      </c>
      <c r="AA287" s="39">
        <f t="shared" si="26"/>
        <v>64.510791366906474</v>
      </c>
      <c r="AB287" s="39">
        <f t="shared" si="27"/>
        <v>2177.2807808937905</v>
      </c>
      <c r="AC287">
        <f t="shared" si="30"/>
        <v>0.99973130167111324</v>
      </c>
      <c r="AD287">
        <f t="shared" si="28"/>
        <v>0.99962297557457247</v>
      </c>
      <c r="AE287">
        <f t="shared" si="29"/>
        <v>30941</v>
      </c>
    </row>
    <row r="288" spans="1:31">
      <c r="A288" s="9">
        <v>287</v>
      </c>
      <c r="B288" s="30">
        <v>40556</v>
      </c>
      <c r="C288" s="9">
        <v>1</v>
      </c>
      <c r="D288" s="9">
        <v>0</v>
      </c>
      <c r="E288" s="9">
        <v>1</v>
      </c>
      <c r="F288" s="9">
        <v>9</v>
      </c>
      <c r="G288" s="9" t="b">
        <v>0</v>
      </c>
      <c r="H288" s="9">
        <v>4</v>
      </c>
      <c r="I288" s="9">
        <v>1</v>
      </c>
      <c r="J288" s="9">
        <v>0.14000000000000001</v>
      </c>
      <c r="K288" s="9">
        <v>0.1212</v>
      </c>
      <c r="L288" s="9">
        <v>0.5</v>
      </c>
      <c r="M288" s="9">
        <v>0.32840000000000003</v>
      </c>
      <c r="N288" s="9">
        <v>2</v>
      </c>
      <c r="O288" s="9">
        <v>137</v>
      </c>
      <c r="P288" s="9">
        <v>139</v>
      </c>
      <c r="Q288" s="13" t="s">
        <v>98</v>
      </c>
      <c r="R288" s="13" t="s">
        <v>79</v>
      </c>
      <c r="S288" s="9" t="s">
        <v>80</v>
      </c>
      <c r="T288" s="13" t="s">
        <v>81</v>
      </c>
      <c r="U288" s="15" t="s">
        <v>89</v>
      </c>
      <c r="V288" s="13" t="s">
        <v>93</v>
      </c>
      <c r="W288" s="15" t="s">
        <v>84</v>
      </c>
      <c r="X288" s="9" t="s">
        <v>85</v>
      </c>
      <c r="Y288" s="13" t="s">
        <v>99</v>
      </c>
      <c r="Z288">
        <f t="shared" si="25"/>
        <v>479</v>
      </c>
      <c r="AA288" s="39">
        <f t="shared" si="26"/>
        <v>64.180288461538467</v>
      </c>
      <c r="AB288" s="39">
        <f t="shared" si="27"/>
        <v>2178.8037884043988</v>
      </c>
      <c r="AC288">
        <f t="shared" si="30"/>
        <v>0.99973507746869117</v>
      </c>
      <c r="AD288">
        <f t="shared" si="28"/>
        <v>0.99962633126205891</v>
      </c>
      <c r="AE288">
        <f t="shared" si="29"/>
        <v>30739</v>
      </c>
    </row>
    <row r="289" spans="1:31">
      <c r="A289" s="10">
        <v>288</v>
      </c>
      <c r="B289" s="31">
        <v>40556</v>
      </c>
      <c r="C289" s="10">
        <v>1</v>
      </c>
      <c r="D289" s="10">
        <v>0</v>
      </c>
      <c r="E289" s="10">
        <v>1</v>
      </c>
      <c r="F289" s="10">
        <v>10</v>
      </c>
      <c r="G289" s="10" t="b">
        <v>0</v>
      </c>
      <c r="H289" s="10">
        <v>4</v>
      </c>
      <c r="I289" s="10">
        <v>2</v>
      </c>
      <c r="J289" s="10">
        <v>0.16</v>
      </c>
      <c r="K289" s="10">
        <v>0.13639999999999999</v>
      </c>
      <c r="L289" s="10">
        <v>0.5</v>
      </c>
      <c r="M289" s="10">
        <v>0.35820000000000002</v>
      </c>
      <c r="N289" s="10">
        <v>2</v>
      </c>
      <c r="O289" s="10">
        <v>36</v>
      </c>
      <c r="P289" s="10">
        <v>38</v>
      </c>
      <c r="Q289" s="13" t="s">
        <v>98</v>
      </c>
      <c r="R289" s="13" t="s">
        <v>79</v>
      </c>
      <c r="S289" s="10" t="s">
        <v>80</v>
      </c>
      <c r="T289" s="11" t="s">
        <v>88</v>
      </c>
      <c r="U289" s="13" t="s">
        <v>91</v>
      </c>
      <c r="V289" s="11" t="s">
        <v>87</v>
      </c>
      <c r="W289" s="15" t="s">
        <v>84</v>
      </c>
      <c r="X289" s="10" t="s">
        <v>85</v>
      </c>
      <c r="Y289" s="13" t="s">
        <v>99</v>
      </c>
      <c r="Z289">
        <f t="shared" si="25"/>
        <v>478</v>
      </c>
      <c r="AA289" s="39">
        <f t="shared" si="26"/>
        <v>64</v>
      </c>
      <c r="AB289" s="39">
        <f t="shared" si="27"/>
        <v>2180.3311635207378</v>
      </c>
      <c r="AC289">
        <f t="shared" si="30"/>
        <v>0.99973647017348632</v>
      </c>
      <c r="AD289">
        <f t="shared" si="28"/>
        <v>0.99962747333795354</v>
      </c>
      <c r="AE289">
        <f t="shared" si="29"/>
        <v>30600</v>
      </c>
    </row>
    <row r="290" spans="1:31">
      <c r="A290" s="9">
        <v>289</v>
      </c>
      <c r="B290" s="30">
        <v>40556</v>
      </c>
      <c r="C290" s="9">
        <v>1</v>
      </c>
      <c r="D290" s="9">
        <v>0</v>
      </c>
      <c r="E290" s="9">
        <v>1</v>
      </c>
      <c r="F290" s="9">
        <v>11</v>
      </c>
      <c r="G290" s="9" t="b">
        <v>0</v>
      </c>
      <c r="H290" s="9">
        <v>4</v>
      </c>
      <c r="I290" s="9">
        <v>2</v>
      </c>
      <c r="J290" s="9">
        <v>0.2</v>
      </c>
      <c r="K290" s="9">
        <v>0.16669999999999999</v>
      </c>
      <c r="L290" s="9">
        <v>0.44</v>
      </c>
      <c r="M290" s="9">
        <v>0.44779999999999998</v>
      </c>
      <c r="N290" s="9">
        <v>4</v>
      </c>
      <c r="O290" s="9">
        <v>33</v>
      </c>
      <c r="P290" s="9">
        <v>37</v>
      </c>
      <c r="Q290" s="13" t="s">
        <v>98</v>
      </c>
      <c r="R290" s="13" t="s">
        <v>79</v>
      </c>
      <c r="S290" s="9" t="s">
        <v>80</v>
      </c>
      <c r="T290" s="11" t="s">
        <v>88</v>
      </c>
      <c r="U290" s="13" t="s">
        <v>91</v>
      </c>
      <c r="V290" s="11" t="s">
        <v>87</v>
      </c>
      <c r="W290" s="15" t="s">
        <v>84</v>
      </c>
      <c r="X290" s="9" t="s">
        <v>85</v>
      </c>
      <c r="Y290" s="13" t="s">
        <v>99</v>
      </c>
      <c r="Z290">
        <f t="shared" si="25"/>
        <v>477</v>
      </c>
      <c r="AA290" s="39">
        <f t="shared" si="26"/>
        <v>64</v>
      </c>
      <c r="AB290" s="39">
        <f t="shared" si="27"/>
        <v>2181.8582886952331</v>
      </c>
      <c r="AC290">
        <f t="shared" si="30"/>
        <v>0.99973648250899905</v>
      </c>
      <c r="AD290">
        <f t="shared" si="28"/>
        <v>0.99962749699487874</v>
      </c>
      <c r="AE290">
        <f t="shared" si="29"/>
        <v>30562</v>
      </c>
    </row>
    <row r="291" spans="1:31">
      <c r="A291" s="10">
        <v>290</v>
      </c>
      <c r="B291" s="31">
        <v>40556</v>
      </c>
      <c r="C291" s="10">
        <v>1</v>
      </c>
      <c r="D291" s="10">
        <v>0</v>
      </c>
      <c r="E291" s="10">
        <v>1</v>
      </c>
      <c r="F291" s="10">
        <v>12</v>
      </c>
      <c r="G291" s="10" t="b">
        <v>0</v>
      </c>
      <c r="H291" s="10">
        <v>4</v>
      </c>
      <c r="I291" s="10">
        <v>1</v>
      </c>
      <c r="J291" s="10">
        <v>0.2</v>
      </c>
      <c r="K291" s="10">
        <v>0.16669999999999999</v>
      </c>
      <c r="L291" s="10">
        <v>0.44</v>
      </c>
      <c r="M291" s="10">
        <v>0.41789999999999999</v>
      </c>
      <c r="N291" s="10">
        <v>3</v>
      </c>
      <c r="O291" s="10">
        <v>49</v>
      </c>
      <c r="P291" s="10">
        <v>52</v>
      </c>
      <c r="Q291" s="13" t="s">
        <v>98</v>
      </c>
      <c r="R291" s="13" t="s">
        <v>79</v>
      </c>
      <c r="S291" s="10" t="s">
        <v>80</v>
      </c>
      <c r="T291" s="13" t="s">
        <v>81</v>
      </c>
      <c r="U291" s="11" t="s">
        <v>92</v>
      </c>
      <c r="V291" s="11" t="s">
        <v>87</v>
      </c>
      <c r="W291" s="15" t="s">
        <v>84</v>
      </c>
      <c r="X291" s="10" t="s">
        <v>85</v>
      </c>
      <c r="Y291" s="13" t="s">
        <v>99</v>
      </c>
      <c r="Z291">
        <f t="shared" si="25"/>
        <v>476</v>
      </c>
      <c r="AA291" s="39">
        <f t="shared" si="26"/>
        <v>64</v>
      </c>
      <c r="AB291" s="39">
        <f t="shared" si="27"/>
        <v>2183.3885598633024</v>
      </c>
      <c r="AC291">
        <f t="shared" si="30"/>
        <v>0.99973655175441822</v>
      </c>
      <c r="AD291">
        <f t="shared" si="28"/>
        <v>0.99962750519149413</v>
      </c>
      <c r="AE291">
        <f t="shared" si="29"/>
        <v>30525</v>
      </c>
    </row>
    <row r="292" spans="1:31">
      <c r="A292" s="9">
        <v>291</v>
      </c>
      <c r="B292" s="30">
        <v>40556</v>
      </c>
      <c r="C292" s="9">
        <v>1</v>
      </c>
      <c r="D292" s="9">
        <v>0</v>
      </c>
      <c r="E292" s="9">
        <v>1</v>
      </c>
      <c r="F292" s="9">
        <v>13</v>
      </c>
      <c r="G292" s="9" t="b">
        <v>0</v>
      </c>
      <c r="H292" s="9">
        <v>4</v>
      </c>
      <c r="I292" s="9">
        <v>1</v>
      </c>
      <c r="J292" s="9">
        <v>0.22</v>
      </c>
      <c r="K292" s="9">
        <v>0.19700000000000001</v>
      </c>
      <c r="L292" s="9">
        <v>0.41</v>
      </c>
      <c r="M292" s="9">
        <v>0.44779999999999998</v>
      </c>
      <c r="N292" s="9">
        <v>2</v>
      </c>
      <c r="O292" s="9">
        <v>81</v>
      </c>
      <c r="P292" s="9">
        <v>83</v>
      </c>
      <c r="Q292" s="13" t="s">
        <v>98</v>
      </c>
      <c r="R292" s="13" t="s">
        <v>79</v>
      </c>
      <c r="S292" s="9" t="s">
        <v>80</v>
      </c>
      <c r="T292" s="13" t="s">
        <v>81</v>
      </c>
      <c r="U292" s="11" t="s">
        <v>92</v>
      </c>
      <c r="V292" s="13" t="s">
        <v>93</v>
      </c>
      <c r="W292" s="15" t="s">
        <v>84</v>
      </c>
      <c r="X292" s="9" t="s">
        <v>85</v>
      </c>
      <c r="Y292" s="13" t="s">
        <v>99</v>
      </c>
      <c r="Z292">
        <f t="shared" si="25"/>
        <v>475</v>
      </c>
      <c r="AA292" s="39">
        <f t="shared" si="26"/>
        <v>64.028985507246375</v>
      </c>
      <c r="AB292" s="39">
        <f t="shared" si="27"/>
        <v>2184.9229998186179</v>
      </c>
      <c r="AC292">
        <f t="shared" si="30"/>
        <v>0.99973655797990979</v>
      </c>
      <c r="AD292">
        <f t="shared" si="28"/>
        <v>0.99962751156104868</v>
      </c>
      <c r="AE292">
        <f t="shared" si="29"/>
        <v>30473</v>
      </c>
    </row>
    <row r="293" spans="1:31">
      <c r="A293" s="10">
        <v>292</v>
      </c>
      <c r="B293" s="31">
        <v>40556</v>
      </c>
      <c r="C293" s="10">
        <v>1</v>
      </c>
      <c r="D293" s="10">
        <v>0</v>
      </c>
      <c r="E293" s="10">
        <v>1</v>
      </c>
      <c r="F293" s="10">
        <v>14</v>
      </c>
      <c r="G293" s="10" t="b">
        <v>0</v>
      </c>
      <c r="H293" s="10">
        <v>4</v>
      </c>
      <c r="I293" s="10">
        <v>1</v>
      </c>
      <c r="J293" s="10">
        <v>0.22</v>
      </c>
      <c r="K293" s="10">
        <v>0.19700000000000001</v>
      </c>
      <c r="L293" s="10">
        <v>0.41</v>
      </c>
      <c r="M293" s="10">
        <v>0.3881</v>
      </c>
      <c r="N293" s="10">
        <v>3</v>
      </c>
      <c r="O293" s="10">
        <v>39</v>
      </c>
      <c r="P293" s="10">
        <v>42</v>
      </c>
      <c r="Q293" s="13" t="s">
        <v>98</v>
      </c>
      <c r="R293" s="13" t="s">
        <v>79</v>
      </c>
      <c r="S293" s="10" t="s">
        <v>80</v>
      </c>
      <c r="T293" s="13" t="s">
        <v>81</v>
      </c>
      <c r="U293" s="13" t="s">
        <v>94</v>
      </c>
      <c r="V293" s="11" t="s">
        <v>87</v>
      </c>
      <c r="W293" s="15" t="s">
        <v>84</v>
      </c>
      <c r="X293" s="10" t="s">
        <v>85</v>
      </c>
      <c r="Y293" s="13" t="s">
        <v>99</v>
      </c>
      <c r="Z293">
        <f t="shared" si="25"/>
        <v>474</v>
      </c>
      <c r="AA293" s="39">
        <f t="shared" si="26"/>
        <v>63.983050847457626</v>
      </c>
      <c r="AB293" s="39">
        <f t="shared" si="27"/>
        <v>2186.4621746431008</v>
      </c>
      <c r="AC293">
        <f t="shared" si="30"/>
        <v>0.99973660836434475</v>
      </c>
      <c r="AD293">
        <f t="shared" si="28"/>
        <v>0.99962775986370034</v>
      </c>
      <c r="AE293">
        <f t="shared" si="29"/>
        <v>30390</v>
      </c>
    </row>
    <row r="294" spans="1:31">
      <c r="A294" s="9">
        <v>293</v>
      </c>
      <c r="B294" s="30">
        <v>40556</v>
      </c>
      <c r="C294" s="9">
        <v>1</v>
      </c>
      <c r="D294" s="9">
        <v>0</v>
      </c>
      <c r="E294" s="9">
        <v>1</v>
      </c>
      <c r="F294" s="9">
        <v>15</v>
      </c>
      <c r="G294" s="9" t="b">
        <v>0</v>
      </c>
      <c r="H294" s="9">
        <v>4</v>
      </c>
      <c r="I294" s="9">
        <v>1</v>
      </c>
      <c r="J294" s="9">
        <v>0.24</v>
      </c>
      <c r="K294" s="9">
        <v>0.21210000000000001</v>
      </c>
      <c r="L294" s="9">
        <v>0.38</v>
      </c>
      <c r="M294" s="9">
        <v>0.29849999999999999</v>
      </c>
      <c r="N294" s="9">
        <v>5</v>
      </c>
      <c r="O294" s="9">
        <v>55</v>
      </c>
      <c r="P294" s="9">
        <v>60</v>
      </c>
      <c r="Q294" s="13" t="s">
        <v>98</v>
      </c>
      <c r="R294" s="13" t="s">
        <v>79</v>
      </c>
      <c r="S294" s="9" t="s">
        <v>80</v>
      </c>
      <c r="T294" s="13" t="s">
        <v>81</v>
      </c>
      <c r="U294" s="13" t="s">
        <v>94</v>
      </c>
      <c r="V294" s="11" t="s">
        <v>87</v>
      </c>
      <c r="W294" s="15" t="s">
        <v>84</v>
      </c>
      <c r="X294" s="9" t="s">
        <v>85</v>
      </c>
      <c r="Y294" s="13" t="s">
        <v>99</v>
      </c>
      <c r="Z294">
        <f t="shared" si="25"/>
        <v>473</v>
      </c>
      <c r="AA294" s="39">
        <f t="shared" si="26"/>
        <v>64.036407766990294</v>
      </c>
      <c r="AB294" s="39">
        <f t="shared" si="27"/>
        <v>2188.0024932329052</v>
      </c>
      <c r="AC294">
        <f t="shared" si="30"/>
        <v>0.99973668211100886</v>
      </c>
      <c r="AD294">
        <f t="shared" si="28"/>
        <v>0.99962775875920529</v>
      </c>
      <c r="AE294">
        <f t="shared" si="29"/>
        <v>30348</v>
      </c>
    </row>
    <row r="295" spans="1:31">
      <c r="A295" s="10">
        <v>294</v>
      </c>
      <c r="B295" s="31">
        <v>40556</v>
      </c>
      <c r="C295" s="10">
        <v>1</v>
      </c>
      <c r="D295" s="10">
        <v>0</v>
      </c>
      <c r="E295" s="10">
        <v>1</v>
      </c>
      <c r="F295" s="10">
        <v>16</v>
      </c>
      <c r="G295" s="10" t="b">
        <v>0</v>
      </c>
      <c r="H295" s="10">
        <v>4</v>
      </c>
      <c r="I295" s="10">
        <v>1</v>
      </c>
      <c r="J295" s="10">
        <v>0.24</v>
      </c>
      <c r="K295" s="10">
        <v>0.21210000000000001</v>
      </c>
      <c r="L295" s="10">
        <v>0.38</v>
      </c>
      <c r="M295" s="10">
        <v>0.35820000000000002</v>
      </c>
      <c r="N295" s="10">
        <v>2</v>
      </c>
      <c r="O295" s="10">
        <v>76</v>
      </c>
      <c r="P295" s="10">
        <v>78</v>
      </c>
      <c r="Q295" s="13" t="s">
        <v>98</v>
      </c>
      <c r="R295" s="13" t="s">
        <v>79</v>
      </c>
      <c r="S295" s="10" t="s">
        <v>80</v>
      </c>
      <c r="T295" s="13" t="s">
        <v>81</v>
      </c>
      <c r="U295" s="13" t="s">
        <v>94</v>
      </c>
      <c r="V295" s="13" t="s">
        <v>93</v>
      </c>
      <c r="W295" s="15" t="s">
        <v>84</v>
      </c>
      <c r="X295" s="10" t="s">
        <v>85</v>
      </c>
      <c r="Y295" s="13" t="s">
        <v>99</v>
      </c>
      <c r="Z295">
        <f t="shared" si="25"/>
        <v>472</v>
      </c>
      <c r="AA295" s="39">
        <f t="shared" si="26"/>
        <v>64.046228710462287</v>
      </c>
      <c r="AB295" s="39">
        <f t="shared" si="27"/>
        <v>2189.5471359405619</v>
      </c>
      <c r="AC295">
        <f t="shared" si="30"/>
        <v>0.99973669681491084</v>
      </c>
      <c r="AD295">
        <f t="shared" si="28"/>
        <v>0.99962782369870784</v>
      </c>
      <c r="AE295">
        <f t="shared" si="29"/>
        <v>30288</v>
      </c>
    </row>
    <row r="296" spans="1:31">
      <c r="A296" s="9">
        <v>295</v>
      </c>
      <c r="B296" s="30">
        <v>40556</v>
      </c>
      <c r="C296" s="9">
        <v>1</v>
      </c>
      <c r="D296" s="9">
        <v>0</v>
      </c>
      <c r="E296" s="9">
        <v>1</v>
      </c>
      <c r="F296" s="9">
        <v>17</v>
      </c>
      <c r="G296" s="9" t="b">
        <v>0</v>
      </c>
      <c r="H296" s="9">
        <v>4</v>
      </c>
      <c r="I296" s="9">
        <v>1</v>
      </c>
      <c r="J296" s="9">
        <v>0.2</v>
      </c>
      <c r="K296" s="9">
        <v>0.18179999999999999</v>
      </c>
      <c r="L296" s="9">
        <v>0.4</v>
      </c>
      <c r="M296" s="9">
        <v>0.28360000000000002</v>
      </c>
      <c r="N296" s="9">
        <v>4</v>
      </c>
      <c r="O296" s="9">
        <v>158</v>
      </c>
      <c r="P296" s="9">
        <v>162</v>
      </c>
      <c r="Q296" s="13" t="s">
        <v>98</v>
      </c>
      <c r="R296" s="13" t="s">
        <v>79</v>
      </c>
      <c r="S296" s="9" t="s">
        <v>80</v>
      </c>
      <c r="T296" s="13" t="s">
        <v>81</v>
      </c>
      <c r="U296" s="15" t="s">
        <v>95</v>
      </c>
      <c r="V296" s="13" t="s">
        <v>93</v>
      </c>
      <c r="W296" s="15" t="s">
        <v>84</v>
      </c>
      <c r="X296" s="9" t="s">
        <v>85</v>
      </c>
      <c r="Y296" s="13" t="s">
        <v>99</v>
      </c>
      <c r="Z296">
        <f t="shared" si="25"/>
        <v>471</v>
      </c>
      <c r="AA296" s="39">
        <f t="shared" si="26"/>
        <v>64.012195121951223</v>
      </c>
      <c r="AB296" s="39">
        <f t="shared" si="27"/>
        <v>2191.0959111697912</v>
      </c>
      <c r="AC296">
        <f t="shared" si="30"/>
        <v>0.99973670555660044</v>
      </c>
      <c r="AD296">
        <f t="shared" si="28"/>
        <v>0.99962804931653082</v>
      </c>
      <c r="AE296">
        <f t="shared" si="29"/>
        <v>30210</v>
      </c>
    </row>
    <row r="297" spans="1:31">
      <c r="A297" s="10">
        <v>296</v>
      </c>
      <c r="B297" s="31">
        <v>40556</v>
      </c>
      <c r="C297" s="10">
        <v>1</v>
      </c>
      <c r="D297" s="10">
        <v>0</v>
      </c>
      <c r="E297" s="10">
        <v>1</v>
      </c>
      <c r="F297" s="10">
        <v>18</v>
      </c>
      <c r="G297" s="10" t="b">
        <v>0</v>
      </c>
      <c r="H297" s="10">
        <v>4</v>
      </c>
      <c r="I297" s="10">
        <v>1</v>
      </c>
      <c r="J297" s="10">
        <v>0.2</v>
      </c>
      <c r="K297" s="10">
        <v>0.18179999999999999</v>
      </c>
      <c r="L297" s="10">
        <v>0.4</v>
      </c>
      <c r="M297" s="10">
        <v>0.32840000000000003</v>
      </c>
      <c r="N297" s="10">
        <v>3</v>
      </c>
      <c r="O297" s="10">
        <v>141</v>
      </c>
      <c r="P297" s="10">
        <v>144</v>
      </c>
      <c r="Q297" s="13" t="s">
        <v>98</v>
      </c>
      <c r="R297" s="13" t="s">
        <v>79</v>
      </c>
      <c r="S297" s="10" t="s">
        <v>80</v>
      </c>
      <c r="T297" s="13" t="s">
        <v>81</v>
      </c>
      <c r="U297" s="15" t="s">
        <v>95</v>
      </c>
      <c r="V297" s="13" t="s">
        <v>93</v>
      </c>
      <c r="W297" s="15" t="s">
        <v>84</v>
      </c>
      <c r="X297" s="10" t="s">
        <v>85</v>
      </c>
      <c r="Y297" s="13" t="s">
        <v>99</v>
      </c>
      <c r="Z297">
        <f t="shared" si="25"/>
        <v>470</v>
      </c>
      <c r="AA297" s="39">
        <f t="shared" si="26"/>
        <v>63.772616136919318</v>
      </c>
      <c r="AB297" s="39">
        <f t="shared" si="27"/>
        <v>2192.6492072923861</v>
      </c>
      <c r="AC297">
        <f t="shared" si="30"/>
        <v>0.9997382783350538</v>
      </c>
      <c r="AD297">
        <f t="shared" si="28"/>
        <v>0.9996302188989501</v>
      </c>
      <c r="AE297">
        <f t="shared" si="29"/>
        <v>30048</v>
      </c>
    </row>
    <row r="298" spans="1:31">
      <c r="A298" s="9">
        <v>297</v>
      </c>
      <c r="B298" s="30">
        <v>40556</v>
      </c>
      <c r="C298" s="9">
        <v>1</v>
      </c>
      <c r="D298" s="9">
        <v>0</v>
      </c>
      <c r="E298" s="9">
        <v>1</v>
      </c>
      <c r="F298" s="9">
        <v>19</v>
      </c>
      <c r="G298" s="9" t="b">
        <v>0</v>
      </c>
      <c r="H298" s="9">
        <v>4</v>
      </c>
      <c r="I298" s="9">
        <v>1</v>
      </c>
      <c r="J298" s="9">
        <v>0.16</v>
      </c>
      <c r="K298" s="9">
        <v>0.1515</v>
      </c>
      <c r="L298" s="9">
        <v>0.47</v>
      </c>
      <c r="M298" s="9">
        <v>0.25369999999999998</v>
      </c>
      <c r="N298" s="9">
        <v>1</v>
      </c>
      <c r="O298" s="9">
        <v>98</v>
      </c>
      <c r="P298" s="9">
        <v>99</v>
      </c>
      <c r="Q298" s="13" t="s">
        <v>98</v>
      </c>
      <c r="R298" s="13" t="s">
        <v>79</v>
      </c>
      <c r="S298" s="9" t="s">
        <v>80</v>
      </c>
      <c r="T298" s="13" t="s">
        <v>81</v>
      </c>
      <c r="U298" s="15" t="s">
        <v>95</v>
      </c>
      <c r="V298" s="13" t="s">
        <v>93</v>
      </c>
      <c r="W298" s="15" t="s">
        <v>84</v>
      </c>
      <c r="X298" s="9" t="s">
        <v>85</v>
      </c>
      <c r="Y298" s="13" t="s">
        <v>99</v>
      </c>
      <c r="Z298">
        <f t="shared" si="25"/>
        <v>469</v>
      </c>
      <c r="AA298" s="39">
        <f t="shared" si="26"/>
        <v>63.575980392156865</v>
      </c>
      <c r="AB298" s="39">
        <f t="shared" si="27"/>
        <v>2194.2059332768513</v>
      </c>
      <c r="AC298">
        <f t="shared" si="30"/>
        <v>0.99973935389048407</v>
      </c>
      <c r="AD298">
        <f t="shared" si="28"/>
        <v>0.9996317970316112</v>
      </c>
      <c r="AE298">
        <f t="shared" si="29"/>
        <v>29904</v>
      </c>
    </row>
    <row r="299" spans="1:31">
      <c r="A299" s="10">
        <v>298</v>
      </c>
      <c r="B299" s="31">
        <v>40556</v>
      </c>
      <c r="C299" s="10">
        <v>1</v>
      </c>
      <c r="D299" s="10">
        <v>0</v>
      </c>
      <c r="E299" s="10">
        <v>1</v>
      </c>
      <c r="F299" s="10">
        <v>20</v>
      </c>
      <c r="G299" s="10" t="b">
        <v>0</v>
      </c>
      <c r="H299" s="10">
        <v>4</v>
      </c>
      <c r="I299" s="10">
        <v>1</v>
      </c>
      <c r="J299" s="10">
        <v>0.16</v>
      </c>
      <c r="K299" s="10">
        <v>0.1515</v>
      </c>
      <c r="L299" s="10">
        <v>0.47</v>
      </c>
      <c r="M299" s="10">
        <v>0.22389999999999999</v>
      </c>
      <c r="N299" s="10">
        <v>0</v>
      </c>
      <c r="O299" s="10">
        <v>64</v>
      </c>
      <c r="P299" s="10">
        <v>64</v>
      </c>
      <c r="Q299" s="13" t="s">
        <v>98</v>
      </c>
      <c r="R299" s="13" t="s">
        <v>79</v>
      </c>
      <c r="S299" s="10" t="s">
        <v>80</v>
      </c>
      <c r="T299" s="13" t="s">
        <v>81</v>
      </c>
      <c r="U299" s="16" t="s">
        <v>97</v>
      </c>
      <c r="V299" s="11" t="s">
        <v>87</v>
      </c>
      <c r="W299" s="15" t="s">
        <v>84</v>
      </c>
      <c r="X299" s="10" t="s">
        <v>85</v>
      </c>
      <c r="Y299" s="13" t="s">
        <v>99</v>
      </c>
      <c r="Z299">
        <f t="shared" si="25"/>
        <v>468</v>
      </c>
      <c r="AA299" s="39">
        <f t="shared" si="26"/>
        <v>63.488943488943491</v>
      </c>
      <c r="AB299" s="39">
        <f t="shared" si="27"/>
        <v>2195.7653646531885</v>
      </c>
      <c r="AC299">
        <f t="shared" si="30"/>
        <v>0.99973974966949297</v>
      </c>
      <c r="AD299">
        <f t="shared" si="28"/>
        <v>0.99963218846793511</v>
      </c>
      <c r="AE299">
        <f t="shared" si="29"/>
        <v>29805</v>
      </c>
    </row>
    <row r="300" spans="1:31">
      <c r="A300" s="9">
        <v>299</v>
      </c>
      <c r="B300" s="30">
        <v>40556</v>
      </c>
      <c r="C300" s="9">
        <v>1</v>
      </c>
      <c r="D300" s="9">
        <v>0</v>
      </c>
      <c r="E300" s="9">
        <v>1</v>
      </c>
      <c r="F300" s="9">
        <v>21</v>
      </c>
      <c r="G300" s="9" t="b">
        <v>0</v>
      </c>
      <c r="H300" s="9">
        <v>4</v>
      </c>
      <c r="I300" s="9">
        <v>1</v>
      </c>
      <c r="J300" s="9">
        <v>0.14000000000000001</v>
      </c>
      <c r="K300" s="9">
        <v>0.1212</v>
      </c>
      <c r="L300" s="9">
        <v>0.46</v>
      </c>
      <c r="M300" s="9">
        <v>0.29849999999999999</v>
      </c>
      <c r="N300" s="9">
        <v>0</v>
      </c>
      <c r="O300" s="9">
        <v>40</v>
      </c>
      <c r="P300" s="9">
        <v>40</v>
      </c>
      <c r="Q300" s="13" t="s">
        <v>98</v>
      </c>
      <c r="R300" s="13" t="s">
        <v>79</v>
      </c>
      <c r="S300" s="9" t="s">
        <v>80</v>
      </c>
      <c r="T300" s="13" t="s">
        <v>81</v>
      </c>
      <c r="U300" s="16" t="s">
        <v>97</v>
      </c>
      <c r="V300" s="11" t="s">
        <v>87</v>
      </c>
      <c r="W300" s="15" t="s">
        <v>84</v>
      </c>
      <c r="X300" s="9" t="s">
        <v>85</v>
      </c>
      <c r="Y300" s="13" t="s">
        <v>99</v>
      </c>
      <c r="Z300">
        <f t="shared" si="25"/>
        <v>467</v>
      </c>
      <c r="AA300" s="39">
        <f t="shared" si="26"/>
        <v>63.487684729064043</v>
      </c>
      <c r="AB300" s="39">
        <f t="shared" si="27"/>
        <v>2197.326736646397</v>
      </c>
      <c r="AC300">
        <f t="shared" si="30"/>
        <v>0.99973979108202837</v>
      </c>
      <c r="AD300">
        <f t="shared" si="28"/>
        <v>0.99963222828771392</v>
      </c>
      <c r="AE300">
        <f t="shared" si="29"/>
        <v>29741</v>
      </c>
    </row>
    <row r="301" spans="1:31">
      <c r="A301" s="10">
        <v>300</v>
      </c>
      <c r="B301" s="31">
        <v>40556</v>
      </c>
      <c r="C301" s="10">
        <v>1</v>
      </c>
      <c r="D301" s="10">
        <v>0</v>
      </c>
      <c r="E301" s="10">
        <v>1</v>
      </c>
      <c r="F301" s="10">
        <v>22</v>
      </c>
      <c r="G301" s="10" t="b">
        <v>0</v>
      </c>
      <c r="H301" s="10">
        <v>4</v>
      </c>
      <c r="I301" s="10">
        <v>1</v>
      </c>
      <c r="J301" s="10">
        <v>0.14000000000000001</v>
      </c>
      <c r="K301" s="10">
        <v>0.1212</v>
      </c>
      <c r="L301" s="10">
        <v>0.46</v>
      </c>
      <c r="M301" s="10">
        <v>0.32840000000000003</v>
      </c>
      <c r="N301" s="10">
        <v>0</v>
      </c>
      <c r="O301" s="10">
        <v>30</v>
      </c>
      <c r="P301" s="10">
        <v>30</v>
      </c>
      <c r="Q301" s="13" t="s">
        <v>98</v>
      </c>
      <c r="R301" s="13" t="s">
        <v>79</v>
      </c>
      <c r="S301" s="10" t="s">
        <v>80</v>
      </c>
      <c r="T301" s="13" t="s">
        <v>81</v>
      </c>
      <c r="U301" s="16" t="s">
        <v>97</v>
      </c>
      <c r="V301" s="11" t="s">
        <v>87</v>
      </c>
      <c r="W301" s="15" t="s">
        <v>84</v>
      </c>
      <c r="X301" s="10" t="s">
        <v>85</v>
      </c>
      <c r="Y301" s="13" t="s">
        <v>99</v>
      </c>
      <c r="Z301">
        <f t="shared" si="25"/>
        <v>466</v>
      </c>
      <c r="AA301" s="39">
        <f t="shared" si="26"/>
        <v>63.54567901234568</v>
      </c>
      <c r="AB301" s="39">
        <f t="shared" si="27"/>
        <v>2198.8900293260353</v>
      </c>
      <c r="AC301">
        <f t="shared" si="30"/>
        <v>0.99973979059246021</v>
      </c>
      <c r="AD301">
        <f t="shared" si="28"/>
        <v>0.99963223323680406</v>
      </c>
      <c r="AE301">
        <f t="shared" si="29"/>
        <v>29701</v>
      </c>
    </row>
    <row r="302" spans="1:31">
      <c r="A302" s="9">
        <v>301</v>
      </c>
      <c r="B302" s="30">
        <v>40556</v>
      </c>
      <c r="C302" s="9">
        <v>1</v>
      </c>
      <c r="D302" s="9">
        <v>0</v>
      </c>
      <c r="E302" s="9">
        <v>1</v>
      </c>
      <c r="F302" s="9">
        <v>23</v>
      </c>
      <c r="G302" s="9" t="b">
        <v>0</v>
      </c>
      <c r="H302" s="9">
        <v>4</v>
      </c>
      <c r="I302" s="9">
        <v>1</v>
      </c>
      <c r="J302" s="9">
        <v>0.12</v>
      </c>
      <c r="K302" s="9">
        <v>0.13639999999999999</v>
      </c>
      <c r="L302" s="9">
        <v>0.5</v>
      </c>
      <c r="M302" s="9">
        <v>0.19400000000000001</v>
      </c>
      <c r="N302" s="9">
        <v>1</v>
      </c>
      <c r="O302" s="9">
        <v>14</v>
      </c>
      <c r="P302" s="9">
        <v>15</v>
      </c>
      <c r="Q302" s="13" t="s">
        <v>98</v>
      </c>
      <c r="R302" s="13" t="s">
        <v>79</v>
      </c>
      <c r="S302" s="9" t="s">
        <v>80</v>
      </c>
      <c r="T302" s="13" t="s">
        <v>81</v>
      </c>
      <c r="U302" s="16" t="s">
        <v>97</v>
      </c>
      <c r="V302" s="12" t="s">
        <v>83</v>
      </c>
      <c r="W302" s="15" t="s">
        <v>84</v>
      </c>
      <c r="X302" s="9" t="s">
        <v>85</v>
      </c>
      <c r="Y302" s="13" t="s">
        <v>99</v>
      </c>
      <c r="Z302">
        <f t="shared" si="25"/>
        <v>465</v>
      </c>
      <c r="AA302" s="39">
        <f t="shared" si="26"/>
        <v>63.628712871287128</v>
      </c>
      <c r="AB302" s="39">
        <f t="shared" si="27"/>
        <v>2200.4559619545503</v>
      </c>
      <c r="AC302">
        <f t="shared" si="30"/>
        <v>0.99973980908168603</v>
      </c>
      <c r="AD302">
        <f t="shared" si="28"/>
        <v>0.99963227175459679</v>
      </c>
      <c r="AE302">
        <f t="shared" si="29"/>
        <v>29671</v>
      </c>
    </row>
    <row r="303" spans="1:31">
      <c r="A303" s="10">
        <v>302</v>
      </c>
      <c r="B303" s="31">
        <v>40557</v>
      </c>
      <c r="C303" s="10">
        <v>1</v>
      </c>
      <c r="D303" s="10">
        <v>0</v>
      </c>
      <c r="E303" s="10">
        <v>1</v>
      </c>
      <c r="F303" s="10">
        <v>0</v>
      </c>
      <c r="G303" s="10" t="b">
        <v>0</v>
      </c>
      <c r="H303" s="10">
        <v>5</v>
      </c>
      <c r="I303" s="10">
        <v>1</v>
      </c>
      <c r="J303" s="10">
        <v>0.12</v>
      </c>
      <c r="K303" s="10">
        <v>0.13639999999999999</v>
      </c>
      <c r="L303" s="10">
        <v>0.5</v>
      </c>
      <c r="M303" s="10">
        <v>0.19400000000000001</v>
      </c>
      <c r="N303" s="10">
        <v>0</v>
      </c>
      <c r="O303" s="10">
        <v>14</v>
      </c>
      <c r="P303" s="10">
        <v>14</v>
      </c>
      <c r="Q303" s="13" t="s">
        <v>98</v>
      </c>
      <c r="R303" s="13" t="s">
        <v>79</v>
      </c>
      <c r="S303" s="10" t="s">
        <v>80</v>
      </c>
      <c r="T303" s="13" t="s">
        <v>81</v>
      </c>
      <c r="U303" s="14" t="s">
        <v>82</v>
      </c>
      <c r="V303" s="12" t="s">
        <v>83</v>
      </c>
      <c r="W303" s="15" t="s">
        <v>84</v>
      </c>
      <c r="X303" s="10" t="s">
        <v>85</v>
      </c>
      <c r="Y303" s="13" t="s">
        <v>99</v>
      </c>
      <c r="Z303">
        <f t="shared" si="25"/>
        <v>464</v>
      </c>
      <c r="AA303" s="39">
        <f t="shared" si="26"/>
        <v>63.749379652605462</v>
      </c>
      <c r="AB303" s="39">
        <f t="shared" si="27"/>
        <v>2202.0240684121372</v>
      </c>
      <c r="AC303">
        <f t="shared" si="30"/>
        <v>0.99973987194793867</v>
      </c>
      <c r="AD303">
        <f t="shared" si="28"/>
        <v>0.9996324557853532</v>
      </c>
      <c r="AE303">
        <f t="shared" si="29"/>
        <v>29656</v>
      </c>
    </row>
    <row r="304" spans="1:31">
      <c r="A304" s="9">
        <v>303</v>
      </c>
      <c r="B304" s="30">
        <v>40557</v>
      </c>
      <c r="C304" s="9">
        <v>1</v>
      </c>
      <c r="D304" s="9">
        <v>0</v>
      </c>
      <c r="E304" s="9">
        <v>1</v>
      </c>
      <c r="F304" s="9">
        <v>1</v>
      </c>
      <c r="G304" s="9" t="b">
        <v>0</v>
      </c>
      <c r="H304" s="9">
        <v>5</v>
      </c>
      <c r="I304" s="9">
        <v>1</v>
      </c>
      <c r="J304" s="9">
        <v>0.1</v>
      </c>
      <c r="K304" s="9">
        <v>0.1212</v>
      </c>
      <c r="L304" s="9">
        <v>0.54</v>
      </c>
      <c r="M304" s="9">
        <v>0.16420000000000001</v>
      </c>
      <c r="N304" s="9">
        <v>0</v>
      </c>
      <c r="O304" s="9">
        <v>5</v>
      </c>
      <c r="P304" s="9">
        <v>5</v>
      </c>
      <c r="Q304" s="13" t="s">
        <v>98</v>
      </c>
      <c r="R304" s="13" t="s">
        <v>79</v>
      </c>
      <c r="S304" s="9" t="s">
        <v>80</v>
      </c>
      <c r="T304" s="13" t="s">
        <v>81</v>
      </c>
      <c r="U304" s="14" t="s">
        <v>82</v>
      </c>
      <c r="V304" s="12" t="s">
        <v>83</v>
      </c>
      <c r="W304" s="15" t="s">
        <v>84</v>
      </c>
      <c r="X304" s="9" t="s">
        <v>85</v>
      </c>
      <c r="Y304" s="13" t="s">
        <v>99</v>
      </c>
      <c r="Z304">
        <f t="shared" si="25"/>
        <v>463</v>
      </c>
      <c r="AA304" s="39">
        <f t="shared" si="26"/>
        <v>63.873134328358212</v>
      </c>
      <c r="AB304" s="39">
        <f t="shared" si="27"/>
        <v>2203.5954482400821</v>
      </c>
      <c r="AC304">
        <f t="shared" si="30"/>
        <v>0.99973994128856503</v>
      </c>
      <c r="AD304">
        <f t="shared" si="28"/>
        <v>0.99963265096077714</v>
      </c>
      <c r="AE304">
        <f t="shared" si="29"/>
        <v>29642</v>
      </c>
    </row>
    <row r="305" spans="1:31">
      <c r="A305" s="10">
        <v>304</v>
      </c>
      <c r="B305" s="31">
        <v>40557</v>
      </c>
      <c r="C305" s="10">
        <v>1</v>
      </c>
      <c r="D305" s="10">
        <v>0</v>
      </c>
      <c r="E305" s="10">
        <v>1</v>
      </c>
      <c r="F305" s="10">
        <v>2</v>
      </c>
      <c r="G305" s="10" t="b">
        <v>0</v>
      </c>
      <c r="H305" s="10">
        <v>5</v>
      </c>
      <c r="I305" s="10">
        <v>1</v>
      </c>
      <c r="J305" s="10">
        <v>0.1</v>
      </c>
      <c r="K305" s="10">
        <v>0.1212</v>
      </c>
      <c r="L305" s="10">
        <v>0.54</v>
      </c>
      <c r="M305" s="10">
        <v>0.1343</v>
      </c>
      <c r="N305" s="10">
        <v>0</v>
      </c>
      <c r="O305" s="10">
        <v>1</v>
      </c>
      <c r="P305" s="10">
        <v>1</v>
      </c>
      <c r="Q305" s="13" t="s">
        <v>98</v>
      </c>
      <c r="R305" s="13" t="s">
        <v>79</v>
      </c>
      <c r="S305" s="10" t="s">
        <v>80</v>
      </c>
      <c r="T305" s="13" t="s">
        <v>81</v>
      </c>
      <c r="U305" s="14" t="s">
        <v>82</v>
      </c>
      <c r="V305" s="12" t="s">
        <v>83</v>
      </c>
      <c r="W305" s="15" t="s">
        <v>84</v>
      </c>
      <c r="X305" s="10" t="s">
        <v>85</v>
      </c>
      <c r="Y305" s="13" t="s">
        <v>99</v>
      </c>
      <c r="Z305">
        <f t="shared" si="25"/>
        <v>462</v>
      </c>
      <c r="AA305" s="39">
        <f t="shared" si="26"/>
        <v>64.019950124688279</v>
      </c>
      <c r="AB305" s="39">
        <f t="shared" si="27"/>
        <v>2205.1694116107715</v>
      </c>
      <c r="AC305">
        <f t="shared" si="30"/>
        <v>0.99974003388120203</v>
      </c>
      <c r="AD305">
        <f t="shared" si="28"/>
        <v>0.99963301194787391</v>
      </c>
      <c r="AE305">
        <f t="shared" si="29"/>
        <v>29637</v>
      </c>
    </row>
    <row r="306" spans="1:31">
      <c r="A306" s="9">
        <v>305</v>
      </c>
      <c r="B306" s="30">
        <v>40557</v>
      </c>
      <c r="C306" s="9">
        <v>1</v>
      </c>
      <c r="D306" s="9">
        <v>0</v>
      </c>
      <c r="E306" s="9">
        <v>1</v>
      </c>
      <c r="F306" s="9">
        <v>3</v>
      </c>
      <c r="G306" s="9" t="b">
        <v>0</v>
      </c>
      <c r="H306" s="9">
        <v>5</v>
      </c>
      <c r="I306" s="9">
        <v>1</v>
      </c>
      <c r="J306" s="9">
        <v>0.1</v>
      </c>
      <c r="K306" s="9">
        <v>0.13639999999999999</v>
      </c>
      <c r="L306" s="9">
        <v>0.54</v>
      </c>
      <c r="M306" s="9">
        <v>0.1045</v>
      </c>
      <c r="N306" s="9">
        <v>0</v>
      </c>
      <c r="O306" s="9">
        <v>1</v>
      </c>
      <c r="P306" s="9">
        <v>1</v>
      </c>
      <c r="Q306" s="13" t="s">
        <v>98</v>
      </c>
      <c r="R306" s="13" t="s">
        <v>79</v>
      </c>
      <c r="S306" s="9" t="s">
        <v>80</v>
      </c>
      <c r="T306" s="13" t="s">
        <v>81</v>
      </c>
      <c r="U306" s="14" t="s">
        <v>82</v>
      </c>
      <c r="V306" s="12" t="s">
        <v>83</v>
      </c>
      <c r="W306" s="15" t="s">
        <v>84</v>
      </c>
      <c r="X306" s="9" t="s">
        <v>85</v>
      </c>
      <c r="Y306" s="13" t="s">
        <v>99</v>
      </c>
      <c r="Z306">
        <f t="shared" si="25"/>
        <v>461</v>
      </c>
      <c r="AA306" s="39">
        <f t="shared" si="26"/>
        <v>64.177499999999995</v>
      </c>
      <c r="AB306" s="39">
        <f t="shared" si="27"/>
        <v>2206.7463857343682</v>
      </c>
      <c r="AC306">
        <f t="shared" si="30"/>
        <v>0.99974015888859735</v>
      </c>
      <c r="AD306">
        <f t="shared" si="28"/>
        <v>0.9996334349042113</v>
      </c>
      <c r="AE306">
        <f t="shared" si="29"/>
        <v>29636</v>
      </c>
    </row>
    <row r="307" spans="1:31">
      <c r="A307" s="10">
        <v>306</v>
      </c>
      <c r="B307" s="31">
        <v>40557</v>
      </c>
      <c r="C307" s="10">
        <v>1</v>
      </c>
      <c r="D307" s="10">
        <v>0</v>
      </c>
      <c r="E307" s="10">
        <v>1</v>
      </c>
      <c r="F307" s="10">
        <v>5</v>
      </c>
      <c r="G307" s="10" t="b">
        <v>0</v>
      </c>
      <c r="H307" s="10">
        <v>5</v>
      </c>
      <c r="I307" s="10">
        <v>1</v>
      </c>
      <c r="J307" s="10">
        <v>0.1</v>
      </c>
      <c r="K307" s="10">
        <v>0.13639999999999999</v>
      </c>
      <c r="L307" s="10">
        <v>0.54</v>
      </c>
      <c r="M307" s="10">
        <v>8.9599999999999999E-2</v>
      </c>
      <c r="N307" s="10">
        <v>0</v>
      </c>
      <c r="O307" s="10">
        <v>8</v>
      </c>
      <c r="P307" s="10">
        <v>8</v>
      </c>
      <c r="Q307" s="13" t="s">
        <v>98</v>
      </c>
      <c r="R307" s="13" t="s">
        <v>79</v>
      </c>
      <c r="S307" s="10" t="s">
        <v>80</v>
      </c>
      <c r="T307" s="13" t="s">
        <v>81</v>
      </c>
      <c r="U307" s="15" t="s">
        <v>89</v>
      </c>
      <c r="V307" s="12" t="s">
        <v>83</v>
      </c>
      <c r="W307" s="15" t="s">
        <v>84</v>
      </c>
      <c r="X307" s="10" t="s">
        <v>85</v>
      </c>
      <c r="Y307" s="13" t="s">
        <v>99</v>
      </c>
      <c r="Z307">
        <f t="shared" si="25"/>
        <v>460</v>
      </c>
      <c r="AA307" s="39">
        <f t="shared" si="26"/>
        <v>64.335839598997495</v>
      </c>
      <c r="AB307" s="39">
        <f t="shared" si="27"/>
        <v>2208.3267478572611</v>
      </c>
      <c r="AC307">
        <f t="shared" si="30"/>
        <v>0.99974028425766803</v>
      </c>
      <c r="AD307">
        <f t="shared" si="28"/>
        <v>0.99963385908286539</v>
      </c>
      <c r="AE307">
        <f t="shared" si="29"/>
        <v>29635</v>
      </c>
    </row>
    <row r="308" spans="1:31">
      <c r="A308" s="9">
        <v>307</v>
      </c>
      <c r="B308" s="30">
        <v>40557</v>
      </c>
      <c r="C308" s="9">
        <v>1</v>
      </c>
      <c r="D308" s="9">
        <v>0</v>
      </c>
      <c r="E308" s="9">
        <v>1</v>
      </c>
      <c r="F308" s="9">
        <v>6</v>
      </c>
      <c r="G308" s="9" t="b">
        <v>0</v>
      </c>
      <c r="H308" s="9">
        <v>5</v>
      </c>
      <c r="I308" s="9">
        <v>1</v>
      </c>
      <c r="J308" s="9">
        <v>0.1</v>
      </c>
      <c r="K308" s="9">
        <v>0.18179999999999999</v>
      </c>
      <c r="L308" s="9">
        <v>0.54</v>
      </c>
      <c r="M308" s="9">
        <v>0</v>
      </c>
      <c r="N308" s="9">
        <v>0</v>
      </c>
      <c r="O308" s="9">
        <v>17</v>
      </c>
      <c r="P308" s="9">
        <v>17</v>
      </c>
      <c r="Q308" s="13" t="s">
        <v>98</v>
      </c>
      <c r="R308" s="13" t="s">
        <v>79</v>
      </c>
      <c r="S308" s="9" t="s">
        <v>80</v>
      </c>
      <c r="T308" s="13" t="s">
        <v>81</v>
      </c>
      <c r="U308" s="15" t="s">
        <v>89</v>
      </c>
      <c r="V308" s="12" t="s">
        <v>83</v>
      </c>
      <c r="W308" s="15" t="s">
        <v>84</v>
      </c>
      <c r="X308" s="9" t="s">
        <v>85</v>
      </c>
      <c r="Y308" s="13" t="s">
        <v>99</v>
      </c>
      <c r="Z308">
        <f t="shared" si="25"/>
        <v>459</v>
      </c>
      <c r="AA308" s="39">
        <f t="shared" si="26"/>
        <v>64.477386934673362</v>
      </c>
      <c r="AB308" s="39">
        <f t="shared" si="27"/>
        <v>2209.9111478604786</v>
      </c>
      <c r="AC308">
        <f t="shared" si="30"/>
        <v>0.99974035665881023</v>
      </c>
      <c r="AD308">
        <f t="shared" si="28"/>
        <v>0.99963418064602227</v>
      </c>
      <c r="AE308">
        <f t="shared" si="29"/>
        <v>29627</v>
      </c>
    </row>
    <row r="309" spans="1:31">
      <c r="A309" s="10">
        <v>308</v>
      </c>
      <c r="B309" s="31">
        <v>40557</v>
      </c>
      <c r="C309" s="10">
        <v>1</v>
      </c>
      <c r="D309" s="10">
        <v>0</v>
      </c>
      <c r="E309" s="10">
        <v>1</v>
      </c>
      <c r="F309" s="10">
        <v>7</v>
      </c>
      <c r="G309" s="10" t="b">
        <v>0</v>
      </c>
      <c r="H309" s="10">
        <v>5</v>
      </c>
      <c r="I309" s="10">
        <v>1</v>
      </c>
      <c r="J309" s="10">
        <v>0.1</v>
      </c>
      <c r="K309" s="10">
        <v>0.1212</v>
      </c>
      <c r="L309" s="10">
        <v>0.74</v>
      </c>
      <c r="M309" s="10">
        <v>0.16420000000000001</v>
      </c>
      <c r="N309" s="10">
        <v>0</v>
      </c>
      <c r="O309" s="10">
        <v>70</v>
      </c>
      <c r="P309" s="10">
        <v>70</v>
      </c>
      <c r="Q309" s="13" t="s">
        <v>98</v>
      </c>
      <c r="R309" s="13" t="s">
        <v>79</v>
      </c>
      <c r="S309" s="10" t="s">
        <v>80</v>
      </c>
      <c r="T309" s="13" t="s">
        <v>81</v>
      </c>
      <c r="U309" s="15" t="s">
        <v>89</v>
      </c>
      <c r="V309" s="13" t="s">
        <v>93</v>
      </c>
      <c r="W309" s="15" t="s">
        <v>84</v>
      </c>
      <c r="X309" s="10" t="s">
        <v>85</v>
      </c>
      <c r="Y309" s="13" t="s">
        <v>99</v>
      </c>
      <c r="Z309">
        <f t="shared" si="25"/>
        <v>458</v>
      </c>
      <c r="AA309" s="39">
        <f t="shared" si="26"/>
        <v>64.596977329974806</v>
      </c>
      <c r="AB309" s="39">
        <f t="shared" si="27"/>
        <v>2211.4997376241836</v>
      </c>
      <c r="AC309">
        <f t="shared" si="30"/>
        <v>0.99974038188396008</v>
      </c>
      <c r="AD309">
        <f t="shared" si="28"/>
        <v>0.99963439071454441</v>
      </c>
      <c r="AE309">
        <f t="shared" si="29"/>
        <v>29610</v>
      </c>
    </row>
    <row r="310" spans="1:31">
      <c r="A310" s="9">
        <v>309</v>
      </c>
      <c r="B310" s="30">
        <v>40557</v>
      </c>
      <c r="C310" s="9">
        <v>1</v>
      </c>
      <c r="D310" s="9">
        <v>0</v>
      </c>
      <c r="E310" s="9">
        <v>1</v>
      </c>
      <c r="F310" s="9">
        <v>8</v>
      </c>
      <c r="G310" s="9" t="b">
        <v>0</v>
      </c>
      <c r="H310" s="9">
        <v>5</v>
      </c>
      <c r="I310" s="9">
        <v>1</v>
      </c>
      <c r="J310" s="9">
        <v>0.12</v>
      </c>
      <c r="K310" s="9">
        <v>0.16669999999999999</v>
      </c>
      <c r="L310" s="9">
        <v>0.68</v>
      </c>
      <c r="M310" s="9">
        <v>0</v>
      </c>
      <c r="N310" s="9">
        <v>2</v>
      </c>
      <c r="O310" s="9">
        <v>156</v>
      </c>
      <c r="P310" s="9">
        <v>158</v>
      </c>
      <c r="Q310" s="13" t="s">
        <v>98</v>
      </c>
      <c r="R310" s="13" t="s">
        <v>79</v>
      </c>
      <c r="S310" s="9" t="s">
        <v>80</v>
      </c>
      <c r="T310" s="13" t="s">
        <v>81</v>
      </c>
      <c r="U310" s="15" t="s">
        <v>89</v>
      </c>
      <c r="V310" s="13" t="s">
        <v>93</v>
      </c>
      <c r="W310" s="15" t="s">
        <v>84</v>
      </c>
      <c r="X310" s="9" t="s">
        <v>85</v>
      </c>
      <c r="Y310" s="13" t="s">
        <v>99</v>
      </c>
      <c r="Z310">
        <f t="shared" si="25"/>
        <v>457</v>
      </c>
      <c r="AA310" s="39">
        <f t="shared" si="26"/>
        <v>64.583333333333329</v>
      </c>
      <c r="AB310" s="39">
        <f t="shared" si="27"/>
        <v>2213.0952552082972</v>
      </c>
      <c r="AC310">
        <f t="shared" si="30"/>
        <v>0.99974061316949336</v>
      </c>
      <c r="AD310">
        <f t="shared" si="28"/>
        <v>0.99963439370693563</v>
      </c>
      <c r="AE310">
        <f t="shared" si="29"/>
        <v>29540</v>
      </c>
    </row>
    <row r="311" spans="1:31">
      <c r="A311" s="10">
        <v>310</v>
      </c>
      <c r="B311" s="31">
        <v>40557</v>
      </c>
      <c r="C311" s="10">
        <v>1</v>
      </c>
      <c r="D311" s="10">
        <v>0</v>
      </c>
      <c r="E311" s="10">
        <v>1</v>
      </c>
      <c r="F311" s="10">
        <v>9</v>
      </c>
      <c r="G311" s="10" t="b">
        <v>0</v>
      </c>
      <c r="H311" s="10">
        <v>5</v>
      </c>
      <c r="I311" s="10">
        <v>1</v>
      </c>
      <c r="J311" s="10">
        <v>0.14000000000000001</v>
      </c>
      <c r="K311" s="10">
        <v>0.1515</v>
      </c>
      <c r="L311" s="10">
        <v>0.69</v>
      </c>
      <c r="M311" s="10">
        <v>0.1343</v>
      </c>
      <c r="N311" s="10">
        <v>0</v>
      </c>
      <c r="O311" s="10">
        <v>117</v>
      </c>
      <c r="P311" s="10">
        <v>117</v>
      </c>
      <c r="Q311" s="13" t="s">
        <v>98</v>
      </c>
      <c r="R311" s="13" t="s">
        <v>79</v>
      </c>
      <c r="S311" s="10" t="s">
        <v>80</v>
      </c>
      <c r="T311" s="13" t="s">
        <v>81</v>
      </c>
      <c r="U311" s="15" t="s">
        <v>89</v>
      </c>
      <c r="V311" s="13" t="s">
        <v>93</v>
      </c>
      <c r="W311" s="15" t="s">
        <v>84</v>
      </c>
      <c r="X311" s="10" t="s">
        <v>85</v>
      </c>
      <c r="Y311" s="13" t="s">
        <v>99</v>
      </c>
      <c r="Z311">
        <f t="shared" si="25"/>
        <v>456</v>
      </c>
      <c r="AA311" s="39">
        <f t="shared" si="26"/>
        <v>64.346835443037975</v>
      </c>
      <c r="AB311" s="39">
        <f t="shared" si="27"/>
        <v>2214.6959881101179</v>
      </c>
      <c r="AC311">
        <f t="shared" si="30"/>
        <v>0.99974281237188589</v>
      </c>
      <c r="AD311">
        <f t="shared" si="28"/>
        <v>0.99963556615681259</v>
      </c>
      <c r="AE311">
        <f t="shared" si="29"/>
        <v>29382</v>
      </c>
    </row>
    <row r="312" spans="1:31">
      <c r="A312" s="9">
        <v>311</v>
      </c>
      <c r="B312" s="30">
        <v>40557</v>
      </c>
      <c r="C312" s="9">
        <v>1</v>
      </c>
      <c r="D312" s="9">
        <v>0</v>
      </c>
      <c r="E312" s="9">
        <v>1</v>
      </c>
      <c r="F312" s="9">
        <v>10</v>
      </c>
      <c r="G312" s="9" t="b">
        <v>0</v>
      </c>
      <c r="H312" s="9">
        <v>5</v>
      </c>
      <c r="I312" s="9">
        <v>1</v>
      </c>
      <c r="J312" s="9">
        <v>0.18</v>
      </c>
      <c r="K312" s="9">
        <v>0.18179999999999999</v>
      </c>
      <c r="L312" s="9">
        <v>0.55000000000000004</v>
      </c>
      <c r="M312" s="9">
        <v>0.19400000000000001</v>
      </c>
      <c r="N312" s="9">
        <v>4</v>
      </c>
      <c r="O312" s="9">
        <v>40</v>
      </c>
      <c r="P312" s="9">
        <v>44</v>
      </c>
      <c r="Q312" s="13" t="s">
        <v>98</v>
      </c>
      <c r="R312" s="13" t="s">
        <v>79</v>
      </c>
      <c r="S312" s="9" t="s">
        <v>80</v>
      </c>
      <c r="T312" s="13" t="s">
        <v>81</v>
      </c>
      <c r="U312" s="13" t="s">
        <v>91</v>
      </c>
      <c r="V312" s="11" t="s">
        <v>87</v>
      </c>
      <c r="W312" s="15" t="s">
        <v>84</v>
      </c>
      <c r="X312" s="9" t="s">
        <v>85</v>
      </c>
      <c r="Y312" s="13" t="s">
        <v>99</v>
      </c>
      <c r="Z312">
        <f t="shared" si="25"/>
        <v>455</v>
      </c>
      <c r="AA312" s="39">
        <f t="shared" si="26"/>
        <v>64.213197969543145</v>
      </c>
      <c r="AB312" s="39">
        <f t="shared" si="27"/>
        <v>2216.3000117643001</v>
      </c>
      <c r="AC312">
        <f t="shared" si="30"/>
        <v>0.99974365480674965</v>
      </c>
      <c r="AD312">
        <f t="shared" si="28"/>
        <v>0.99963589528855101</v>
      </c>
      <c r="AE312">
        <f t="shared" si="29"/>
        <v>29265</v>
      </c>
    </row>
    <row r="313" spans="1:31">
      <c r="A313" s="10">
        <v>312</v>
      </c>
      <c r="B313" s="31">
        <v>40557</v>
      </c>
      <c r="C313" s="10">
        <v>1</v>
      </c>
      <c r="D313" s="10">
        <v>0</v>
      </c>
      <c r="E313" s="10">
        <v>1</v>
      </c>
      <c r="F313" s="10">
        <v>11</v>
      </c>
      <c r="G313" s="10" t="b">
        <v>0</v>
      </c>
      <c r="H313" s="10">
        <v>5</v>
      </c>
      <c r="I313" s="10">
        <v>1</v>
      </c>
      <c r="J313" s="10">
        <v>0.18</v>
      </c>
      <c r="K313" s="10">
        <v>0.16669999999999999</v>
      </c>
      <c r="L313" s="10">
        <v>0.51</v>
      </c>
      <c r="M313" s="10">
        <v>0.28360000000000002</v>
      </c>
      <c r="N313" s="10">
        <v>6</v>
      </c>
      <c r="O313" s="10">
        <v>47</v>
      </c>
      <c r="P313" s="10">
        <v>53</v>
      </c>
      <c r="Q313" s="13" t="s">
        <v>98</v>
      </c>
      <c r="R313" s="13" t="s">
        <v>79</v>
      </c>
      <c r="S313" s="10" t="s">
        <v>80</v>
      </c>
      <c r="T313" s="13" t="s">
        <v>81</v>
      </c>
      <c r="U313" s="13" t="s">
        <v>91</v>
      </c>
      <c r="V313" s="11" t="s">
        <v>87</v>
      </c>
      <c r="W313" s="15" t="s">
        <v>84</v>
      </c>
      <c r="X313" s="10" t="s">
        <v>85</v>
      </c>
      <c r="Y313" s="13" t="s">
        <v>99</v>
      </c>
      <c r="Z313">
        <f t="shared" si="25"/>
        <v>454</v>
      </c>
      <c r="AA313" s="39">
        <f t="shared" si="26"/>
        <v>64.264631043256998</v>
      </c>
      <c r="AB313" s="39">
        <f t="shared" si="27"/>
        <v>2217.9044624467806</v>
      </c>
      <c r="AC313">
        <f t="shared" si="30"/>
        <v>0.99974366525363367</v>
      </c>
      <c r="AD313">
        <f t="shared" si="28"/>
        <v>0.99963591451302369</v>
      </c>
      <c r="AE313">
        <f t="shared" si="29"/>
        <v>29221</v>
      </c>
    </row>
    <row r="314" spans="1:31">
      <c r="A314" s="9">
        <v>313</v>
      </c>
      <c r="B314" s="30">
        <v>40557</v>
      </c>
      <c r="C314" s="9">
        <v>1</v>
      </c>
      <c r="D314" s="9">
        <v>0</v>
      </c>
      <c r="E314" s="9">
        <v>1</v>
      </c>
      <c r="F314" s="9">
        <v>12</v>
      </c>
      <c r="G314" s="9" t="b">
        <v>0</v>
      </c>
      <c r="H314" s="9">
        <v>5</v>
      </c>
      <c r="I314" s="9">
        <v>1</v>
      </c>
      <c r="J314" s="9">
        <v>0.2</v>
      </c>
      <c r="K314" s="9">
        <v>0.19700000000000001</v>
      </c>
      <c r="L314" s="9">
        <v>0.44</v>
      </c>
      <c r="M314" s="9">
        <v>0.25369999999999998</v>
      </c>
      <c r="N314" s="9">
        <v>2</v>
      </c>
      <c r="O314" s="9">
        <v>59</v>
      </c>
      <c r="P314" s="9">
        <v>61</v>
      </c>
      <c r="Q314" s="13" t="s">
        <v>98</v>
      </c>
      <c r="R314" s="13" t="s">
        <v>79</v>
      </c>
      <c r="S314" s="9" t="s">
        <v>80</v>
      </c>
      <c r="T314" s="13" t="s">
        <v>81</v>
      </c>
      <c r="U314" s="11" t="s">
        <v>92</v>
      </c>
      <c r="V314" s="11" t="s">
        <v>87</v>
      </c>
      <c r="W314" s="15" t="s">
        <v>84</v>
      </c>
      <c r="X314" s="9" t="s">
        <v>85</v>
      </c>
      <c r="Y314" s="13" t="s">
        <v>99</v>
      </c>
      <c r="Z314">
        <f t="shared" si="25"/>
        <v>453</v>
      </c>
      <c r="AA314" s="39">
        <f t="shared" si="26"/>
        <v>64.29336734693878</v>
      </c>
      <c r="AB314" s="39">
        <f t="shared" si="27"/>
        <v>2219.5129703870639</v>
      </c>
      <c r="AC314">
        <f t="shared" si="30"/>
        <v>0.99974366462829189</v>
      </c>
      <c r="AD314">
        <f t="shared" si="28"/>
        <v>0.99963591384443573</v>
      </c>
      <c r="AE314">
        <f t="shared" si="29"/>
        <v>29168</v>
      </c>
    </row>
    <row r="315" spans="1:31">
      <c r="A315" s="10">
        <v>314</v>
      </c>
      <c r="B315" s="31">
        <v>40557</v>
      </c>
      <c r="C315" s="10">
        <v>1</v>
      </c>
      <c r="D315" s="10">
        <v>0</v>
      </c>
      <c r="E315" s="10">
        <v>1</v>
      </c>
      <c r="F315" s="10">
        <v>13</v>
      </c>
      <c r="G315" s="10" t="b">
        <v>0</v>
      </c>
      <c r="H315" s="10">
        <v>5</v>
      </c>
      <c r="I315" s="10">
        <v>1</v>
      </c>
      <c r="J315" s="10">
        <v>0.22</v>
      </c>
      <c r="K315" s="10">
        <v>0.19700000000000001</v>
      </c>
      <c r="L315" s="10">
        <v>0.37</v>
      </c>
      <c r="M315" s="10">
        <v>0.3881</v>
      </c>
      <c r="N315" s="10">
        <v>4</v>
      </c>
      <c r="O315" s="10">
        <v>73</v>
      </c>
      <c r="P315" s="10">
        <v>77</v>
      </c>
      <c r="Q315" s="13" t="s">
        <v>98</v>
      </c>
      <c r="R315" s="13" t="s">
        <v>79</v>
      </c>
      <c r="S315" s="10" t="s">
        <v>80</v>
      </c>
      <c r="T315" s="13" t="s">
        <v>81</v>
      </c>
      <c r="U315" s="11" t="s">
        <v>92</v>
      </c>
      <c r="V315" s="13" t="s">
        <v>93</v>
      </c>
      <c r="W315" s="15" t="s">
        <v>84</v>
      </c>
      <c r="X315" s="10" t="s">
        <v>85</v>
      </c>
      <c r="Y315" s="13" t="s">
        <v>99</v>
      </c>
      <c r="Z315">
        <f t="shared" si="25"/>
        <v>452</v>
      </c>
      <c r="AA315" s="39">
        <f t="shared" si="26"/>
        <v>64.301790281329929</v>
      </c>
      <c r="AB315" s="39">
        <f t="shared" si="27"/>
        <v>2221.1254440963689</v>
      </c>
      <c r="AC315">
        <f t="shared" si="30"/>
        <v>0.99974366510611778</v>
      </c>
      <c r="AD315">
        <f t="shared" si="28"/>
        <v>0.99963595221423629</v>
      </c>
      <c r="AE315">
        <f t="shared" si="29"/>
        <v>29107</v>
      </c>
    </row>
    <row r="316" spans="1:31">
      <c r="A316" s="9">
        <v>315</v>
      </c>
      <c r="B316" s="30">
        <v>40557</v>
      </c>
      <c r="C316" s="9">
        <v>1</v>
      </c>
      <c r="D316" s="9">
        <v>0</v>
      </c>
      <c r="E316" s="9">
        <v>1</v>
      </c>
      <c r="F316" s="9">
        <v>14</v>
      </c>
      <c r="G316" s="9" t="b">
        <v>0</v>
      </c>
      <c r="H316" s="9">
        <v>5</v>
      </c>
      <c r="I316" s="9">
        <v>1</v>
      </c>
      <c r="J316" s="9">
        <v>0.22</v>
      </c>
      <c r="K316" s="9">
        <v>0.21210000000000001</v>
      </c>
      <c r="L316" s="9">
        <v>0.41</v>
      </c>
      <c r="M316" s="9">
        <v>0.28360000000000002</v>
      </c>
      <c r="N316" s="9">
        <v>5</v>
      </c>
      <c r="O316" s="9">
        <v>59</v>
      </c>
      <c r="P316" s="9">
        <v>64</v>
      </c>
      <c r="Q316" s="13" t="s">
        <v>98</v>
      </c>
      <c r="R316" s="13" t="s">
        <v>79</v>
      </c>
      <c r="S316" s="9" t="s">
        <v>80</v>
      </c>
      <c r="T316" s="13" t="s">
        <v>81</v>
      </c>
      <c r="U316" s="13" t="s">
        <v>94</v>
      </c>
      <c r="V316" s="11" t="s">
        <v>87</v>
      </c>
      <c r="W316" s="15" t="s">
        <v>84</v>
      </c>
      <c r="X316" s="9" t="s">
        <v>85</v>
      </c>
      <c r="Y316" s="13" t="s">
        <v>99</v>
      </c>
      <c r="Z316">
        <f t="shared" si="25"/>
        <v>451</v>
      </c>
      <c r="AA316" s="39">
        <f t="shared" si="26"/>
        <v>64.269230769230774</v>
      </c>
      <c r="AB316" s="39">
        <f t="shared" si="27"/>
        <v>2222.7422352251642</v>
      </c>
      <c r="AC316">
        <f t="shared" si="30"/>
        <v>0.99974368955859727</v>
      </c>
      <c r="AD316">
        <f t="shared" si="28"/>
        <v>0.99963617998481225</v>
      </c>
      <c r="AE316">
        <f t="shared" si="29"/>
        <v>29030</v>
      </c>
    </row>
    <row r="317" spans="1:31">
      <c r="A317" s="10">
        <v>316</v>
      </c>
      <c r="B317" s="31">
        <v>40557</v>
      </c>
      <c r="C317" s="10">
        <v>1</v>
      </c>
      <c r="D317" s="10">
        <v>0</v>
      </c>
      <c r="E317" s="10">
        <v>1</v>
      </c>
      <c r="F317" s="10">
        <v>15</v>
      </c>
      <c r="G317" s="10" t="b">
        <v>0</v>
      </c>
      <c r="H317" s="10">
        <v>5</v>
      </c>
      <c r="I317" s="10">
        <v>1</v>
      </c>
      <c r="J317" s="10">
        <v>0.24</v>
      </c>
      <c r="K317" s="10">
        <v>0.2424</v>
      </c>
      <c r="L317" s="10">
        <v>0.38</v>
      </c>
      <c r="M317" s="10">
        <v>0.16420000000000001</v>
      </c>
      <c r="N317" s="10">
        <v>9</v>
      </c>
      <c r="O317" s="10">
        <v>59</v>
      </c>
      <c r="P317" s="10">
        <v>68</v>
      </c>
      <c r="Q317" s="13" t="s">
        <v>98</v>
      </c>
      <c r="R317" s="13" t="s">
        <v>79</v>
      </c>
      <c r="S317" s="10" t="s">
        <v>80</v>
      </c>
      <c r="T317" s="13" t="s">
        <v>81</v>
      </c>
      <c r="U317" s="13" t="s">
        <v>94</v>
      </c>
      <c r="V317" s="11" t="s">
        <v>87</v>
      </c>
      <c r="W317" s="15" t="s">
        <v>84</v>
      </c>
      <c r="X317" s="10" t="s">
        <v>85</v>
      </c>
      <c r="Y317" s="13" t="s">
        <v>99</v>
      </c>
      <c r="Z317">
        <f t="shared" si="25"/>
        <v>450</v>
      </c>
      <c r="AA317" s="39">
        <f t="shared" si="26"/>
        <v>64.269922879177372</v>
      </c>
      <c r="AB317" s="39">
        <f t="shared" si="27"/>
        <v>2224.3619253484544</v>
      </c>
      <c r="AC317">
        <f t="shared" si="30"/>
        <v>0.9997436890613608</v>
      </c>
      <c r="AD317">
        <f t="shared" si="28"/>
        <v>0.99963625313246762</v>
      </c>
      <c r="AE317">
        <f t="shared" si="29"/>
        <v>28966</v>
      </c>
    </row>
    <row r="318" spans="1:31">
      <c r="A318" s="9">
        <v>317</v>
      </c>
      <c r="B318" s="30">
        <v>40557</v>
      </c>
      <c r="C318" s="9">
        <v>1</v>
      </c>
      <c r="D318" s="9">
        <v>0</v>
      </c>
      <c r="E318" s="9">
        <v>1</v>
      </c>
      <c r="F318" s="9">
        <v>16</v>
      </c>
      <c r="G318" s="9" t="b">
        <v>0</v>
      </c>
      <c r="H318" s="9">
        <v>5</v>
      </c>
      <c r="I318" s="9">
        <v>1</v>
      </c>
      <c r="J318" s="9">
        <v>0.22</v>
      </c>
      <c r="K318" s="9">
        <v>0.2424</v>
      </c>
      <c r="L318" s="9">
        <v>0.41</v>
      </c>
      <c r="M318" s="9">
        <v>0.1045</v>
      </c>
      <c r="N318" s="9">
        <v>3</v>
      </c>
      <c r="O318" s="9">
        <v>87</v>
      </c>
      <c r="P318" s="9">
        <v>90</v>
      </c>
      <c r="Q318" s="13" t="s">
        <v>98</v>
      </c>
      <c r="R318" s="13" t="s">
        <v>79</v>
      </c>
      <c r="S318" s="9" t="s">
        <v>80</v>
      </c>
      <c r="T318" s="13" t="s">
        <v>81</v>
      </c>
      <c r="U318" s="13" t="s">
        <v>94</v>
      </c>
      <c r="V318" s="13" t="s">
        <v>93</v>
      </c>
      <c r="W318" s="15" t="s">
        <v>84</v>
      </c>
      <c r="X318" s="9" t="s">
        <v>85</v>
      </c>
      <c r="Y318" s="13" t="s">
        <v>99</v>
      </c>
      <c r="Z318">
        <f t="shared" si="25"/>
        <v>449</v>
      </c>
      <c r="AA318" s="39">
        <f t="shared" si="26"/>
        <v>64.260309278350519</v>
      </c>
      <c r="AB318" s="39">
        <f t="shared" si="27"/>
        <v>2225.9853696342566</v>
      </c>
      <c r="AC318">
        <f t="shared" si="30"/>
        <v>0.99974368903216182</v>
      </c>
      <c r="AD318">
        <f t="shared" si="28"/>
        <v>0.99963638014711798</v>
      </c>
      <c r="AE318">
        <f t="shared" si="29"/>
        <v>28898</v>
      </c>
    </row>
    <row r="319" spans="1:31">
      <c r="A319" s="10">
        <v>318</v>
      </c>
      <c r="B319" s="31">
        <v>40557</v>
      </c>
      <c r="C319" s="10">
        <v>1</v>
      </c>
      <c r="D319" s="10">
        <v>0</v>
      </c>
      <c r="E319" s="10">
        <v>1</v>
      </c>
      <c r="F319" s="10">
        <v>17</v>
      </c>
      <c r="G319" s="10" t="b">
        <v>0</v>
      </c>
      <c r="H319" s="10">
        <v>5</v>
      </c>
      <c r="I319" s="10">
        <v>1</v>
      </c>
      <c r="J319" s="10">
        <v>0.22</v>
      </c>
      <c r="K319" s="10">
        <v>0.2273</v>
      </c>
      <c r="L319" s="10">
        <v>0.41</v>
      </c>
      <c r="M319" s="10">
        <v>0.16420000000000001</v>
      </c>
      <c r="N319" s="10">
        <v>4</v>
      </c>
      <c r="O319" s="10">
        <v>155</v>
      </c>
      <c r="P319" s="10">
        <v>159</v>
      </c>
      <c r="Q319" s="13" t="s">
        <v>98</v>
      </c>
      <c r="R319" s="13" t="s">
        <v>79</v>
      </c>
      <c r="S319" s="10" t="s">
        <v>80</v>
      </c>
      <c r="T319" s="13" t="s">
        <v>81</v>
      </c>
      <c r="U319" s="15" t="s">
        <v>95</v>
      </c>
      <c r="V319" s="13" t="s">
        <v>93</v>
      </c>
      <c r="W319" s="15" t="s">
        <v>84</v>
      </c>
      <c r="X319" s="10" t="s">
        <v>85</v>
      </c>
      <c r="Y319" s="13" t="s">
        <v>99</v>
      </c>
      <c r="Z319">
        <f t="shared" si="25"/>
        <v>448</v>
      </c>
      <c r="AA319" s="39">
        <f t="shared" si="26"/>
        <v>64.193798449612402</v>
      </c>
      <c r="AB319" s="39">
        <f t="shared" si="27"/>
        <v>2227.6133332428326</v>
      </c>
      <c r="AC319">
        <f t="shared" si="30"/>
        <v>0.99974378848057188</v>
      </c>
      <c r="AD319">
        <f t="shared" si="28"/>
        <v>0.99963672646525725</v>
      </c>
      <c r="AE319">
        <f t="shared" si="29"/>
        <v>28808</v>
      </c>
    </row>
    <row r="320" spans="1:31">
      <c r="A320" s="9">
        <v>319</v>
      </c>
      <c r="B320" s="30">
        <v>40557</v>
      </c>
      <c r="C320" s="9">
        <v>1</v>
      </c>
      <c r="D320" s="9">
        <v>0</v>
      </c>
      <c r="E320" s="9">
        <v>1</v>
      </c>
      <c r="F320" s="9">
        <v>18</v>
      </c>
      <c r="G320" s="9" t="b">
        <v>0</v>
      </c>
      <c r="H320" s="9">
        <v>5</v>
      </c>
      <c r="I320" s="9">
        <v>1</v>
      </c>
      <c r="J320" s="9">
        <v>0.2</v>
      </c>
      <c r="K320" s="9">
        <v>0.2576</v>
      </c>
      <c r="L320" s="9">
        <v>0.47</v>
      </c>
      <c r="M320" s="9">
        <v>0</v>
      </c>
      <c r="N320" s="9">
        <v>5</v>
      </c>
      <c r="O320" s="9">
        <v>134</v>
      </c>
      <c r="P320" s="9">
        <v>139</v>
      </c>
      <c r="Q320" s="13" t="s">
        <v>98</v>
      </c>
      <c r="R320" s="13" t="s">
        <v>79</v>
      </c>
      <c r="S320" s="9" t="s">
        <v>80</v>
      </c>
      <c r="T320" s="13" t="s">
        <v>81</v>
      </c>
      <c r="U320" s="15" t="s">
        <v>95</v>
      </c>
      <c r="V320" s="13" t="s">
        <v>93</v>
      </c>
      <c r="W320" s="15" t="s">
        <v>84</v>
      </c>
      <c r="X320" s="9" t="s">
        <v>85</v>
      </c>
      <c r="Y320" s="13" t="s">
        <v>99</v>
      </c>
      <c r="Z320">
        <f t="shared" si="25"/>
        <v>447</v>
      </c>
      <c r="AA320" s="39">
        <f t="shared" si="26"/>
        <v>63.948186528497409</v>
      </c>
      <c r="AB320" s="39">
        <f t="shared" si="27"/>
        <v>2229.2458211881208</v>
      </c>
      <c r="AC320">
        <f t="shared" si="30"/>
        <v>0.99974512244925728</v>
      </c>
      <c r="AD320">
        <f t="shared" si="28"/>
        <v>0.99963876698133369</v>
      </c>
      <c r="AE320">
        <f t="shared" si="29"/>
        <v>28649</v>
      </c>
    </row>
    <row r="321" spans="1:31">
      <c r="A321" s="10">
        <v>320</v>
      </c>
      <c r="B321" s="31">
        <v>40557</v>
      </c>
      <c r="C321" s="10">
        <v>1</v>
      </c>
      <c r="D321" s="10">
        <v>0</v>
      </c>
      <c r="E321" s="10">
        <v>1</v>
      </c>
      <c r="F321" s="10">
        <v>19</v>
      </c>
      <c r="G321" s="10" t="b">
        <v>0</v>
      </c>
      <c r="H321" s="10">
        <v>5</v>
      </c>
      <c r="I321" s="10">
        <v>1</v>
      </c>
      <c r="J321" s="10">
        <v>0.16</v>
      </c>
      <c r="K321" s="10">
        <v>0.19700000000000001</v>
      </c>
      <c r="L321" s="10">
        <v>0.59</v>
      </c>
      <c r="M321" s="10">
        <v>8.9599999999999999E-2</v>
      </c>
      <c r="N321" s="10">
        <v>3</v>
      </c>
      <c r="O321" s="10">
        <v>89</v>
      </c>
      <c r="P321" s="10">
        <v>92</v>
      </c>
      <c r="Q321" s="13" t="s">
        <v>98</v>
      </c>
      <c r="R321" s="13" t="s">
        <v>79</v>
      </c>
      <c r="S321" s="10" t="s">
        <v>80</v>
      </c>
      <c r="T321" s="13" t="s">
        <v>81</v>
      </c>
      <c r="U321" s="15" t="s">
        <v>95</v>
      </c>
      <c r="V321" s="13" t="s">
        <v>93</v>
      </c>
      <c r="W321" s="15" t="s">
        <v>84</v>
      </c>
      <c r="X321" s="10" t="s">
        <v>85</v>
      </c>
      <c r="Y321" s="13" t="s">
        <v>99</v>
      </c>
      <c r="Z321">
        <f t="shared" si="25"/>
        <v>446</v>
      </c>
      <c r="AA321" s="39">
        <f t="shared" si="26"/>
        <v>63.753246753246756</v>
      </c>
      <c r="AB321" s="39">
        <f t="shared" si="27"/>
        <v>2230.8819519566887</v>
      </c>
      <c r="AC321">
        <f t="shared" si="30"/>
        <v>0.99974608753219196</v>
      </c>
      <c r="AD321">
        <f t="shared" si="28"/>
        <v>0.99964000891599991</v>
      </c>
      <c r="AE321">
        <f t="shared" si="29"/>
        <v>28510</v>
      </c>
    </row>
    <row r="322" spans="1:31">
      <c r="A322" s="9">
        <v>321</v>
      </c>
      <c r="B322" s="30">
        <v>40557</v>
      </c>
      <c r="C322" s="9">
        <v>1</v>
      </c>
      <c r="D322" s="9">
        <v>0</v>
      </c>
      <c r="E322" s="9">
        <v>1</v>
      </c>
      <c r="F322" s="9">
        <v>20</v>
      </c>
      <c r="G322" s="9" t="b">
        <v>0</v>
      </c>
      <c r="H322" s="9">
        <v>5</v>
      </c>
      <c r="I322" s="9">
        <v>1</v>
      </c>
      <c r="J322" s="9">
        <v>0.18</v>
      </c>
      <c r="K322" s="9">
        <v>0.2424</v>
      </c>
      <c r="L322" s="9">
        <v>0.59</v>
      </c>
      <c r="M322" s="9">
        <v>0</v>
      </c>
      <c r="N322" s="9">
        <v>0</v>
      </c>
      <c r="O322" s="9">
        <v>68</v>
      </c>
      <c r="P322" s="9">
        <v>68</v>
      </c>
      <c r="Q322" s="13" t="s">
        <v>98</v>
      </c>
      <c r="R322" s="13" t="s">
        <v>79</v>
      </c>
      <c r="S322" s="9" t="s">
        <v>80</v>
      </c>
      <c r="T322" s="13" t="s">
        <v>81</v>
      </c>
      <c r="U322" s="16" t="s">
        <v>97</v>
      </c>
      <c r="V322" s="11" t="s">
        <v>87</v>
      </c>
      <c r="W322" s="15" t="s">
        <v>84</v>
      </c>
      <c r="X322" s="9" t="s">
        <v>85</v>
      </c>
      <c r="Y322" s="13" t="s">
        <v>99</v>
      </c>
      <c r="Z322">
        <f t="shared" ref="Z322:Z385" si="31">COUNTIF(Q322:Q1321,"Weekday")</f>
        <v>445</v>
      </c>
      <c r="AA322" s="39">
        <f t="shared" ref="AA322:AA385" si="32">AVERAGEIF(T322:T1321,"Clear",P322:P1321)</f>
        <v>63.6796875</v>
      </c>
      <c r="AB322" s="39">
        <f t="shared" ref="AB322:AB385" si="33">STDEV(P322:P1321)</f>
        <v>2232.5207655631425</v>
      </c>
      <c r="AC322">
        <f t="shared" si="30"/>
        <v>0.99974638999511034</v>
      </c>
      <c r="AD322">
        <f t="shared" ref="AD322:AD385" si="34">CORREL(L322:L1321,P322:P1321)</f>
        <v>0.9996401675491744</v>
      </c>
      <c r="AE322">
        <f t="shared" ref="AE322:AE385" si="35">SUMIF(Q322:Q1321,"Weekday",P322:P1321)</f>
        <v>28418</v>
      </c>
    </row>
    <row r="323" spans="1:31">
      <c r="A323" s="10">
        <v>322</v>
      </c>
      <c r="B323" s="31">
        <v>40557</v>
      </c>
      <c r="C323" s="10">
        <v>1</v>
      </c>
      <c r="D323" s="10">
        <v>0</v>
      </c>
      <c r="E323" s="10">
        <v>1</v>
      </c>
      <c r="F323" s="10">
        <v>21</v>
      </c>
      <c r="G323" s="10" t="b">
        <v>0</v>
      </c>
      <c r="H323" s="10">
        <v>5</v>
      </c>
      <c r="I323" s="10">
        <v>1</v>
      </c>
      <c r="J323" s="10">
        <v>0.16</v>
      </c>
      <c r="K323" s="10">
        <v>0.2273</v>
      </c>
      <c r="L323" s="10">
        <v>0.69</v>
      </c>
      <c r="M323" s="10">
        <v>0</v>
      </c>
      <c r="N323" s="10">
        <v>4</v>
      </c>
      <c r="O323" s="10">
        <v>48</v>
      </c>
      <c r="P323" s="10">
        <v>52</v>
      </c>
      <c r="Q323" s="13" t="s">
        <v>98</v>
      </c>
      <c r="R323" s="13" t="s">
        <v>79</v>
      </c>
      <c r="S323" s="10" t="s">
        <v>80</v>
      </c>
      <c r="T323" s="13" t="s">
        <v>81</v>
      </c>
      <c r="U323" s="16" t="s">
        <v>97</v>
      </c>
      <c r="V323" s="11" t="s">
        <v>87</v>
      </c>
      <c r="W323" s="15" t="s">
        <v>84</v>
      </c>
      <c r="X323" s="10" t="s">
        <v>85</v>
      </c>
      <c r="Y323" s="13" t="s">
        <v>99</v>
      </c>
      <c r="Z323">
        <f t="shared" si="31"/>
        <v>444</v>
      </c>
      <c r="AA323" s="39">
        <f t="shared" si="32"/>
        <v>63.668407310704964</v>
      </c>
      <c r="AB323" s="39">
        <f t="shared" si="33"/>
        <v>2234.162159769649</v>
      </c>
      <c r="AC323">
        <f t="shared" si="30"/>
        <v>0.99974642578710349</v>
      </c>
      <c r="AD323">
        <f t="shared" si="34"/>
        <v>0.99964017846431485</v>
      </c>
      <c r="AE323">
        <f t="shared" si="35"/>
        <v>28350</v>
      </c>
    </row>
    <row r="324" spans="1:31">
      <c r="A324" s="9">
        <v>323</v>
      </c>
      <c r="B324" s="30">
        <v>40557</v>
      </c>
      <c r="C324" s="9">
        <v>1</v>
      </c>
      <c r="D324" s="9">
        <v>0</v>
      </c>
      <c r="E324" s="9">
        <v>1</v>
      </c>
      <c r="F324" s="9">
        <v>22</v>
      </c>
      <c r="G324" s="9" t="b">
        <v>0</v>
      </c>
      <c r="H324" s="9">
        <v>5</v>
      </c>
      <c r="I324" s="9">
        <v>2</v>
      </c>
      <c r="J324" s="9">
        <v>0.16</v>
      </c>
      <c r="K324" s="9">
        <v>0.2273</v>
      </c>
      <c r="L324" s="9">
        <v>0.69</v>
      </c>
      <c r="M324" s="9">
        <v>0</v>
      </c>
      <c r="N324" s="9">
        <v>2</v>
      </c>
      <c r="O324" s="9">
        <v>34</v>
      </c>
      <c r="P324" s="9">
        <v>36</v>
      </c>
      <c r="Q324" s="13" t="s">
        <v>98</v>
      </c>
      <c r="R324" s="13" t="s">
        <v>79</v>
      </c>
      <c r="S324" s="9" t="s">
        <v>80</v>
      </c>
      <c r="T324" s="11" t="s">
        <v>88</v>
      </c>
      <c r="U324" s="16" t="s">
        <v>97</v>
      </c>
      <c r="V324" s="11" t="s">
        <v>87</v>
      </c>
      <c r="W324" s="15" t="s">
        <v>84</v>
      </c>
      <c r="X324" s="9" t="s">
        <v>85</v>
      </c>
      <c r="Y324" s="13" t="s">
        <v>99</v>
      </c>
      <c r="Z324">
        <f t="shared" si="31"/>
        <v>443</v>
      </c>
      <c r="AA324" s="39">
        <f t="shared" si="32"/>
        <v>63.698952879581149</v>
      </c>
      <c r="AB324" s="39">
        <f t="shared" si="33"/>
        <v>2235.8062756418708</v>
      </c>
      <c r="AC324">
        <f t="shared" si="30"/>
        <v>0.99974642935528857</v>
      </c>
      <c r="AD324">
        <f t="shared" si="34"/>
        <v>0.99964022102644323</v>
      </c>
      <c r="AE324">
        <f t="shared" si="35"/>
        <v>28298</v>
      </c>
    </row>
    <row r="325" spans="1:31">
      <c r="A325" s="10">
        <v>324</v>
      </c>
      <c r="B325" s="31">
        <v>40557</v>
      </c>
      <c r="C325" s="10">
        <v>1</v>
      </c>
      <c r="D325" s="10">
        <v>0</v>
      </c>
      <c r="E325" s="10">
        <v>1</v>
      </c>
      <c r="F325" s="10">
        <v>23</v>
      </c>
      <c r="G325" s="10" t="b">
        <v>0</v>
      </c>
      <c r="H325" s="10">
        <v>5</v>
      </c>
      <c r="I325" s="10">
        <v>2</v>
      </c>
      <c r="J325" s="10">
        <v>0.18</v>
      </c>
      <c r="K325" s="10">
        <v>0.2424</v>
      </c>
      <c r="L325" s="10">
        <v>0.55000000000000004</v>
      </c>
      <c r="M325" s="10">
        <v>0</v>
      </c>
      <c r="N325" s="10">
        <v>1</v>
      </c>
      <c r="O325" s="10">
        <v>26</v>
      </c>
      <c r="P325" s="10">
        <v>27</v>
      </c>
      <c r="Q325" s="13" t="s">
        <v>98</v>
      </c>
      <c r="R325" s="13" t="s">
        <v>79</v>
      </c>
      <c r="S325" s="10" t="s">
        <v>80</v>
      </c>
      <c r="T325" s="11" t="s">
        <v>88</v>
      </c>
      <c r="U325" s="16" t="s">
        <v>97</v>
      </c>
      <c r="V325" s="12" t="s">
        <v>83</v>
      </c>
      <c r="W325" s="15" t="s">
        <v>84</v>
      </c>
      <c r="X325" s="10" t="s">
        <v>85</v>
      </c>
      <c r="Y325" s="13" t="s">
        <v>99</v>
      </c>
      <c r="Z325">
        <f t="shared" si="31"/>
        <v>442</v>
      </c>
      <c r="AA325" s="39">
        <f t="shared" si="32"/>
        <v>63.698952879581149</v>
      </c>
      <c r="AB325" s="39">
        <f t="shared" si="33"/>
        <v>2237.4529511606279</v>
      </c>
      <c r="AC325">
        <f t="shared" si="30"/>
        <v>0.99974644520369538</v>
      </c>
      <c r="AD325">
        <f t="shared" si="34"/>
        <v>0.99964038245677744</v>
      </c>
      <c r="AE325">
        <f t="shared" si="35"/>
        <v>28262</v>
      </c>
    </row>
    <row r="326" spans="1:31">
      <c r="A326" s="9">
        <v>325</v>
      </c>
      <c r="B326" s="30">
        <v>40558</v>
      </c>
      <c r="C326" s="9">
        <v>1</v>
      </c>
      <c r="D326" s="9">
        <v>0</v>
      </c>
      <c r="E326" s="9">
        <v>1</v>
      </c>
      <c r="F326" s="9">
        <v>0</v>
      </c>
      <c r="G326" s="9" t="b">
        <v>0</v>
      </c>
      <c r="H326" s="9">
        <v>6</v>
      </c>
      <c r="I326" s="9">
        <v>1</v>
      </c>
      <c r="J326" s="9">
        <v>0.18</v>
      </c>
      <c r="K326" s="9">
        <v>0.2424</v>
      </c>
      <c r="L326" s="9">
        <v>0.55000000000000004</v>
      </c>
      <c r="M326" s="9">
        <v>0</v>
      </c>
      <c r="N326" s="9">
        <v>3</v>
      </c>
      <c r="O326" s="9">
        <v>25</v>
      </c>
      <c r="P326" s="9">
        <v>28</v>
      </c>
      <c r="Q326" s="12" t="s">
        <v>78</v>
      </c>
      <c r="R326" s="13" t="s">
        <v>79</v>
      </c>
      <c r="S326" s="9" t="s">
        <v>80</v>
      </c>
      <c r="T326" s="13" t="s">
        <v>81</v>
      </c>
      <c r="U326" s="14" t="s">
        <v>82</v>
      </c>
      <c r="V326" s="12" t="s">
        <v>83</v>
      </c>
      <c r="W326" s="15" t="s">
        <v>84</v>
      </c>
      <c r="X326" s="9" t="s">
        <v>85</v>
      </c>
      <c r="Y326" s="12" t="s">
        <v>86</v>
      </c>
      <c r="Z326">
        <f t="shared" si="31"/>
        <v>441</v>
      </c>
      <c r="AA326" s="39">
        <f t="shared" si="32"/>
        <v>63.698952879581149</v>
      </c>
      <c r="AB326" s="39">
        <f t="shared" si="33"/>
        <v>2239.1025896109691</v>
      </c>
      <c r="AC326">
        <f t="shared" si="30"/>
        <v>0.99974653892649334</v>
      </c>
      <c r="AD326">
        <f t="shared" si="34"/>
        <v>0.99964049863361015</v>
      </c>
      <c r="AE326">
        <f t="shared" si="35"/>
        <v>28235</v>
      </c>
    </row>
    <row r="327" spans="1:31">
      <c r="A327" s="10">
        <v>326</v>
      </c>
      <c r="B327" s="31">
        <v>40558</v>
      </c>
      <c r="C327" s="10">
        <v>1</v>
      </c>
      <c r="D327" s="10">
        <v>0</v>
      </c>
      <c r="E327" s="10">
        <v>1</v>
      </c>
      <c r="F327" s="10">
        <v>1</v>
      </c>
      <c r="G327" s="10" t="b">
        <v>0</v>
      </c>
      <c r="H327" s="10">
        <v>6</v>
      </c>
      <c r="I327" s="10">
        <v>2</v>
      </c>
      <c r="J327" s="10">
        <v>0.16</v>
      </c>
      <c r="K327" s="10">
        <v>0.19700000000000001</v>
      </c>
      <c r="L327" s="10">
        <v>0.59</v>
      </c>
      <c r="M327" s="10">
        <v>8.9599999999999999E-2</v>
      </c>
      <c r="N327" s="10">
        <v>2</v>
      </c>
      <c r="O327" s="10">
        <v>18</v>
      </c>
      <c r="P327" s="10">
        <v>20</v>
      </c>
      <c r="Q327" s="12" t="s">
        <v>78</v>
      </c>
      <c r="R327" s="13" t="s">
        <v>79</v>
      </c>
      <c r="S327" s="10" t="s">
        <v>80</v>
      </c>
      <c r="T327" s="11" t="s">
        <v>88</v>
      </c>
      <c r="U327" s="14" t="s">
        <v>82</v>
      </c>
      <c r="V327" s="12" t="s">
        <v>83</v>
      </c>
      <c r="W327" s="15" t="s">
        <v>84</v>
      </c>
      <c r="X327" s="10" t="s">
        <v>85</v>
      </c>
      <c r="Y327" s="12" t="s">
        <v>86</v>
      </c>
      <c r="Z327">
        <f t="shared" si="31"/>
        <v>441</v>
      </c>
      <c r="AA327" s="39">
        <f t="shared" si="32"/>
        <v>63.792650918635168</v>
      </c>
      <c r="AB327" s="39">
        <f t="shared" si="33"/>
        <v>2240.7559606492596</v>
      </c>
      <c r="AC327">
        <f t="shared" si="30"/>
        <v>0.99974662559704675</v>
      </c>
      <c r="AD327">
        <f t="shared" si="34"/>
        <v>0.99964060697536794</v>
      </c>
      <c r="AE327">
        <f t="shared" si="35"/>
        <v>28235</v>
      </c>
    </row>
    <row r="328" spans="1:31">
      <c r="A328" s="9">
        <v>327</v>
      </c>
      <c r="B328" s="30">
        <v>40558</v>
      </c>
      <c r="C328" s="9">
        <v>1</v>
      </c>
      <c r="D328" s="9">
        <v>0</v>
      </c>
      <c r="E328" s="9">
        <v>1</v>
      </c>
      <c r="F328" s="9">
        <v>2</v>
      </c>
      <c r="G328" s="9" t="b">
        <v>0</v>
      </c>
      <c r="H328" s="9">
        <v>6</v>
      </c>
      <c r="I328" s="9">
        <v>2</v>
      </c>
      <c r="J328" s="9">
        <v>0.16</v>
      </c>
      <c r="K328" s="9">
        <v>0.19700000000000001</v>
      </c>
      <c r="L328" s="9">
        <v>0.59</v>
      </c>
      <c r="M328" s="9">
        <v>8.9599999999999999E-2</v>
      </c>
      <c r="N328" s="9">
        <v>0</v>
      </c>
      <c r="O328" s="9">
        <v>12</v>
      </c>
      <c r="P328" s="9">
        <v>12</v>
      </c>
      <c r="Q328" s="12" t="s">
        <v>78</v>
      </c>
      <c r="R328" s="13" t="s">
        <v>79</v>
      </c>
      <c r="S328" s="9" t="s">
        <v>80</v>
      </c>
      <c r="T328" s="11" t="s">
        <v>88</v>
      </c>
      <c r="U328" s="14" t="s">
        <v>82</v>
      </c>
      <c r="V328" s="12" t="s">
        <v>83</v>
      </c>
      <c r="W328" s="15" t="s">
        <v>84</v>
      </c>
      <c r="X328" s="9" t="s">
        <v>85</v>
      </c>
      <c r="Y328" s="12" t="s">
        <v>86</v>
      </c>
      <c r="Z328">
        <f t="shared" si="31"/>
        <v>441</v>
      </c>
      <c r="AA328" s="39">
        <f t="shared" si="32"/>
        <v>63.792650918635168</v>
      </c>
      <c r="AB328" s="39">
        <f t="shared" si="33"/>
        <v>2242.4123520347152</v>
      </c>
      <c r="AC328">
        <f t="shared" si="30"/>
        <v>0.99974673003960501</v>
      </c>
      <c r="AD328">
        <f t="shared" si="34"/>
        <v>0.99964083359017641</v>
      </c>
      <c r="AE328">
        <f t="shared" si="35"/>
        <v>28235</v>
      </c>
    </row>
    <row r="329" spans="1:31">
      <c r="A329" s="10">
        <v>328</v>
      </c>
      <c r="B329" s="31">
        <v>40558</v>
      </c>
      <c r="C329" s="10">
        <v>1</v>
      </c>
      <c r="D329" s="10">
        <v>0</v>
      </c>
      <c r="E329" s="10">
        <v>1</v>
      </c>
      <c r="F329" s="10">
        <v>3</v>
      </c>
      <c r="G329" s="10" t="b">
        <v>0</v>
      </c>
      <c r="H329" s="10">
        <v>6</v>
      </c>
      <c r="I329" s="10">
        <v>2</v>
      </c>
      <c r="J329" s="10">
        <v>0.16</v>
      </c>
      <c r="K329" s="10">
        <v>0.2273</v>
      </c>
      <c r="L329" s="10">
        <v>0.59</v>
      </c>
      <c r="M329" s="10">
        <v>0</v>
      </c>
      <c r="N329" s="10">
        <v>1</v>
      </c>
      <c r="O329" s="10">
        <v>7</v>
      </c>
      <c r="P329" s="10">
        <v>8</v>
      </c>
      <c r="Q329" s="12" t="s">
        <v>78</v>
      </c>
      <c r="R329" s="13" t="s">
        <v>79</v>
      </c>
      <c r="S329" s="10" t="s">
        <v>80</v>
      </c>
      <c r="T329" s="11" t="s">
        <v>88</v>
      </c>
      <c r="U329" s="14" t="s">
        <v>82</v>
      </c>
      <c r="V329" s="12" t="s">
        <v>83</v>
      </c>
      <c r="W329" s="15" t="s">
        <v>84</v>
      </c>
      <c r="X329" s="10" t="s">
        <v>85</v>
      </c>
      <c r="Y329" s="12" t="s">
        <v>86</v>
      </c>
      <c r="Z329">
        <f t="shared" si="31"/>
        <v>441</v>
      </c>
      <c r="AA329" s="39">
        <f t="shared" si="32"/>
        <v>63.792650918635168</v>
      </c>
      <c r="AB329" s="39">
        <f t="shared" si="33"/>
        <v>2244.0717305462231</v>
      </c>
      <c r="AC329">
        <f t="shared" si="30"/>
        <v>0.9997469074081704</v>
      </c>
      <c r="AD329">
        <f t="shared" si="34"/>
        <v>0.99964116320049035</v>
      </c>
      <c r="AE329">
        <f t="shared" si="35"/>
        <v>28235</v>
      </c>
    </row>
    <row r="330" spans="1:31">
      <c r="A330" s="9">
        <v>329</v>
      </c>
      <c r="B330" s="30">
        <v>40558</v>
      </c>
      <c r="C330" s="9">
        <v>1</v>
      </c>
      <c r="D330" s="9">
        <v>0</v>
      </c>
      <c r="E330" s="9">
        <v>1</v>
      </c>
      <c r="F330" s="9">
        <v>4</v>
      </c>
      <c r="G330" s="9" t="b">
        <v>0</v>
      </c>
      <c r="H330" s="9">
        <v>6</v>
      </c>
      <c r="I330" s="9">
        <v>2</v>
      </c>
      <c r="J330" s="9">
        <v>0.16</v>
      </c>
      <c r="K330" s="9">
        <v>0.2273</v>
      </c>
      <c r="L330" s="9">
        <v>0.59</v>
      </c>
      <c r="M330" s="9">
        <v>0</v>
      </c>
      <c r="N330" s="9">
        <v>0</v>
      </c>
      <c r="O330" s="9">
        <v>5</v>
      </c>
      <c r="P330" s="9">
        <v>5</v>
      </c>
      <c r="Q330" s="12" t="s">
        <v>78</v>
      </c>
      <c r="R330" s="13" t="s">
        <v>79</v>
      </c>
      <c r="S330" s="9" t="s">
        <v>80</v>
      </c>
      <c r="T330" s="11" t="s">
        <v>88</v>
      </c>
      <c r="U330" s="14" t="s">
        <v>82</v>
      </c>
      <c r="V330" s="12" t="s">
        <v>83</v>
      </c>
      <c r="W330" s="15" t="s">
        <v>84</v>
      </c>
      <c r="X330" s="9" t="s">
        <v>85</v>
      </c>
      <c r="Y330" s="12" t="s">
        <v>86</v>
      </c>
      <c r="Z330">
        <f t="shared" si="31"/>
        <v>441</v>
      </c>
      <c r="AA330" s="39">
        <f t="shared" si="32"/>
        <v>63.792650918635168</v>
      </c>
      <c r="AB330" s="39">
        <f t="shared" si="33"/>
        <v>2245.7344357939337</v>
      </c>
      <c r="AC330">
        <f t="shared" si="30"/>
        <v>0.99974712876560734</v>
      </c>
      <c r="AD330">
        <f t="shared" si="34"/>
        <v>0.99964155212826866</v>
      </c>
      <c r="AE330">
        <f t="shared" si="35"/>
        <v>28235</v>
      </c>
    </row>
    <row r="331" spans="1:31">
      <c r="A331" s="10">
        <v>330</v>
      </c>
      <c r="B331" s="31">
        <v>40558</v>
      </c>
      <c r="C331" s="10">
        <v>1</v>
      </c>
      <c r="D331" s="10">
        <v>0</v>
      </c>
      <c r="E331" s="10">
        <v>1</v>
      </c>
      <c r="F331" s="10">
        <v>5</v>
      </c>
      <c r="G331" s="10" t="b">
        <v>0</v>
      </c>
      <c r="H331" s="10">
        <v>6</v>
      </c>
      <c r="I331" s="10">
        <v>1</v>
      </c>
      <c r="J331" s="10">
        <v>0.16</v>
      </c>
      <c r="K331" s="10">
        <v>0.2273</v>
      </c>
      <c r="L331" s="10">
        <v>0.59</v>
      </c>
      <c r="M331" s="10">
        <v>0</v>
      </c>
      <c r="N331" s="10">
        <v>0</v>
      </c>
      <c r="O331" s="10">
        <v>1</v>
      </c>
      <c r="P331" s="10">
        <v>1</v>
      </c>
      <c r="Q331" s="12" t="s">
        <v>78</v>
      </c>
      <c r="R331" s="13" t="s">
        <v>79</v>
      </c>
      <c r="S331" s="10" t="s">
        <v>80</v>
      </c>
      <c r="T331" s="13" t="s">
        <v>81</v>
      </c>
      <c r="U331" s="15" t="s">
        <v>89</v>
      </c>
      <c r="V331" s="12" t="s">
        <v>83</v>
      </c>
      <c r="W331" s="15" t="s">
        <v>84</v>
      </c>
      <c r="X331" s="10" t="s">
        <v>85</v>
      </c>
      <c r="Y331" s="12" t="s">
        <v>86</v>
      </c>
      <c r="Z331">
        <f t="shared" si="31"/>
        <v>441</v>
      </c>
      <c r="AA331" s="39">
        <f t="shared" si="32"/>
        <v>63.792650918635168</v>
      </c>
      <c r="AB331" s="39">
        <f t="shared" si="33"/>
        <v>2247.4005628822133</v>
      </c>
      <c r="AC331">
        <f t="shared" si="30"/>
        <v>0.999747386533273</v>
      </c>
      <c r="AD331">
        <f t="shared" si="34"/>
        <v>0.99964198913925351</v>
      </c>
      <c r="AE331">
        <f t="shared" si="35"/>
        <v>28235</v>
      </c>
    </row>
    <row r="332" spans="1:31">
      <c r="A332" s="9">
        <v>331</v>
      </c>
      <c r="B332" s="30">
        <v>40558</v>
      </c>
      <c r="C332" s="9">
        <v>1</v>
      </c>
      <c r="D332" s="9">
        <v>0</v>
      </c>
      <c r="E332" s="9">
        <v>1</v>
      </c>
      <c r="F332" s="9">
        <v>6</v>
      </c>
      <c r="G332" s="9" t="b">
        <v>0</v>
      </c>
      <c r="H332" s="9">
        <v>6</v>
      </c>
      <c r="I332" s="9">
        <v>1</v>
      </c>
      <c r="J332" s="9">
        <v>0.14000000000000001</v>
      </c>
      <c r="K332" s="9">
        <v>0.16669999999999999</v>
      </c>
      <c r="L332" s="9">
        <v>0.63</v>
      </c>
      <c r="M332" s="9">
        <v>0.1045</v>
      </c>
      <c r="N332" s="9">
        <v>1</v>
      </c>
      <c r="O332" s="9">
        <v>2</v>
      </c>
      <c r="P332" s="9">
        <v>3</v>
      </c>
      <c r="Q332" s="12" t="s">
        <v>78</v>
      </c>
      <c r="R332" s="13" t="s">
        <v>79</v>
      </c>
      <c r="S332" s="9" t="s">
        <v>80</v>
      </c>
      <c r="T332" s="13" t="s">
        <v>81</v>
      </c>
      <c r="U332" s="15" t="s">
        <v>89</v>
      </c>
      <c r="V332" s="12" t="s">
        <v>83</v>
      </c>
      <c r="W332" s="15" t="s">
        <v>84</v>
      </c>
      <c r="X332" s="9" t="s">
        <v>85</v>
      </c>
      <c r="Y332" s="12" t="s">
        <v>86</v>
      </c>
      <c r="Z332">
        <f t="shared" si="31"/>
        <v>441</v>
      </c>
      <c r="AA332" s="39">
        <f t="shared" si="32"/>
        <v>63.957894736842107</v>
      </c>
      <c r="AB332" s="39">
        <f t="shared" si="33"/>
        <v>2249.0700210138966</v>
      </c>
      <c r="AC332">
        <f t="shared" si="30"/>
        <v>0.99974769694755905</v>
      </c>
      <c r="AD332">
        <f t="shared" si="34"/>
        <v>0.99964249425148366</v>
      </c>
      <c r="AE332">
        <f t="shared" si="35"/>
        <v>28235</v>
      </c>
    </row>
    <row r="333" spans="1:31">
      <c r="A333" s="10">
        <v>332</v>
      </c>
      <c r="B333" s="31">
        <v>40558</v>
      </c>
      <c r="C333" s="10">
        <v>1</v>
      </c>
      <c r="D333" s="10">
        <v>0</v>
      </c>
      <c r="E333" s="10">
        <v>1</v>
      </c>
      <c r="F333" s="10">
        <v>7</v>
      </c>
      <c r="G333" s="10" t="b">
        <v>0</v>
      </c>
      <c r="H333" s="10">
        <v>6</v>
      </c>
      <c r="I333" s="10">
        <v>1</v>
      </c>
      <c r="J333" s="10">
        <v>0.14000000000000001</v>
      </c>
      <c r="K333" s="10">
        <v>0.21210000000000001</v>
      </c>
      <c r="L333" s="10">
        <v>0.63</v>
      </c>
      <c r="M333" s="10">
        <v>0</v>
      </c>
      <c r="N333" s="10">
        <v>1</v>
      </c>
      <c r="O333" s="10">
        <v>9</v>
      </c>
      <c r="P333" s="10">
        <v>10</v>
      </c>
      <c r="Q333" s="12" t="s">
        <v>78</v>
      </c>
      <c r="R333" s="13" t="s">
        <v>79</v>
      </c>
      <c r="S333" s="10" t="s">
        <v>80</v>
      </c>
      <c r="T333" s="13" t="s">
        <v>81</v>
      </c>
      <c r="U333" s="15" t="s">
        <v>89</v>
      </c>
      <c r="V333" s="12" t="s">
        <v>83</v>
      </c>
      <c r="W333" s="15" t="s">
        <v>84</v>
      </c>
      <c r="X333" s="10" t="s">
        <v>85</v>
      </c>
      <c r="Y333" s="12" t="s">
        <v>86</v>
      </c>
      <c r="Z333">
        <f t="shared" si="31"/>
        <v>441</v>
      </c>
      <c r="AA333" s="39">
        <f t="shared" si="32"/>
        <v>64.118733509234829</v>
      </c>
      <c r="AB333" s="39">
        <f t="shared" si="33"/>
        <v>2250.7433981828713</v>
      </c>
      <c r="AC333">
        <f t="shared" si="30"/>
        <v>0.99974791278825814</v>
      </c>
      <c r="AD333">
        <f t="shared" si="34"/>
        <v>0.99964303628241669</v>
      </c>
      <c r="AE333">
        <f t="shared" si="35"/>
        <v>28235</v>
      </c>
    </row>
    <row r="334" spans="1:31">
      <c r="A334" s="9">
        <v>333</v>
      </c>
      <c r="B334" s="30">
        <v>40558</v>
      </c>
      <c r="C334" s="9">
        <v>1</v>
      </c>
      <c r="D334" s="9">
        <v>0</v>
      </c>
      <c r="E334" s="9">
        <v>1</v>
      </c>
      <c r="F334" s="9">
        <v>8</v>
      </c>
      <c r="G334" s="9" t="b">
        <v>0</v>
      </c>
      <c r="H334" s="9">
        <v>6</v>
      </c>
      <c r="I334" s="9">
        <v>1</v>
      </c>
      <c r="J334" s="9">
        <v>0.14000000000000001</v>
      </c>
      <c r="K334" s="9">
        <v>0.1515</v>
      </c>
      <c r="L334" s="9">
        <v>0.63</v>
      </c>
      <c r="M334" s="9">
        <v>0.1343</v>
      </c>
      <c r="N334" s="9">
        <v>1</v>
      </c>
      <c r="O334" s="9">
        <v>22</v>
      </c>
      <c r="P334" s="9">
        <v>23</v>
      </c>
      <c r="Q334" s="12" t="s">
        <v>78</v>
      </c>
      <c r="R334" s="13" t="s">
        <v>79</v>
      </c>
      <c r="S334" s="9" t="s">
        <v>80</v>
      </c>
      <c r="T334" s="13" t="s">
        <v>81</v>
      </c>
      <c r="U334" s="15" t="s">
        <v>89</v>
      </c>
      <c r="V334" s="12" t="s">
        <v>83</v>
      </c>
      <c r="W334" s="15" t="s">
        <v>84</v>
      </c>
      <c r="X334" s="9" t="s">
        <v>85</v>
      </c>
      <c r="Y334" s="12" t="s">
        <v>86</v>
      </c>
      <c r="Z334">
        <f t="shared" si="31"/>
        <v>441</v>
      </c>
      <c r="AA334" s="39">
        <f t="shared" si="32"/>
        <v>64.261904761904759</v>
      </c>
      <c r="AB334" s="39">
        <f t="shared" si="33"/>
        <v>2252.4211725333275</v>
      </c>
      <c r="AC334">
        <f t="shared" si="30"/>
        <v>0.9997480571927061</v>
      </c>
      <c r="AD334">
        <f t="shared" si="34"/>
        <v>0.99964346163995565</v>
      </c>
      <c r="AE334">
        <f t="shared" si="35"/>
        <v>28235</v>
      </c>
    </row>
    <row r="335" spans="1:31">
      <c r="A335" s="10">
        <v>334</v>
      </c>
      <c r="B335" s="31">
        <v>40558</v>
      </c>
      <c r="C335" s="10">
        <v>1</v>
      </c>
      <c r="D335" s="10">
        <v>0</v>
      </c>
      <c r="E335" s="10">
        <v>1</v>
      </c>
      <c r="F335" s="10">
        <v>9</v>
      </c>
      <c r="G335" s="10" t="b">
        <v>0</v>
      </c>
      <c r="H335" s="10">
        <v>6</v>
      </c>
      <c r="I335" s="10">
        <v>1</v>
      </c>
      <c r="J335" s="10">
        <v>0.16</v>
      </c>
      <c r="K335" s="10">
        <v>0.18179999999999999</v>
      </c>
      <c r="L335" s="10">
        <v>0.64</v>
      </c>
      <c r="M335" s="10">
        <v>0.1343</v>
      </c>
      <c r="N335" s="10">
        <v>2</v>
      </c>
      <c r="O335" s="10">
        <v>31</v>
      </c>
      <c r="P335" s="10">
        <v>33</v>
      </c>
      <c r="Q335" s="12" t="s">
        <v>78</v>
      </c>
      <c r="R335" s="13" t="s">
        <v>79</v>
      </c>
      <c r="S335" s="10" t="s">
        <v>80</v>
      </c>
      <c r="T335" s="13" t="s">
        <v>81</v>
      </c>
      <c r="U335" s="15" t="s">
        <v>89</v>
      </c>
      <c r="V335" s="11" t="s">
        <v>87</v>
      </c>
      <c r="W335" s="15" t="s">
        <v>84</v>
      </c>
      <c r="X335" s="10" t="s">
        <v>85</v>
      </c>
      <c r="Y335" s="12" t="s">
        <v>86</v>
      </c>
      <c r="Z335">
        <f t="shared" si="31"/>
        <v>441</v>
      </c>
      <c r="AA335" s="39">
        <f t="shared" si="32"/>
        <v>64.371352785145888</v>
      </c>
      <c r="AB335" s="39">
        <f t="shared" si="33"/>
        <v>2254.1038398261144</v>
      </c>
      <c r="AC335">
        <f t="shared" si="30"/>
        <v>0.99974810638454359</v>
      </c>
      <c r="AD335">
        <f t="shared" si="34"/>
        <v>0.99964370666532254</v>
      </c>
      <c r="AE335">
        <f t="shared" si="35"/>
        <v>28235</v>
      </c>
    </row>
    <row r="336" spans="1:31">
      <c r="A336" s="9">
        <v>335</v>
      </c>
      <c r="B336" s="30">
        <v>40558</v>
      </c>
      <c r="C336" s="9">
        <v>1</v>
      </c>
      <c r="D336" s="9">
        <v>0</v>
      </c>
      <c r="E336" s="9">
        <v>1</v>
      </c>
      <c r="F336" s="9">
        <v>10</v>
      </c>
      <c r="G336" s="9" t="b">
        <v>0</v>
      </c>
      <c r="H336" s="9">
        <v>6</v>
      </c>
      <c r="I336" s="9">
        <v>1</v>
      </c>
      <c r="J336" s="9">
        <v>0.18</v>
      </c>
      <c r="K336" s="9">
        <v>0.19700000000000001</v>
      </c>
      <c r="L336" s="9">
        <v>0.59</v>
      </c>
      <c r="M336" s="9">
        <v>0.16420000000000001</v>
      </c>
      <c r="N336" s="9">
        <v>2</v>
      </c>
      <c r="O336" s="9">
        <v>57</v>
      </c>
      <c r="P336" s="9">
        <v>59</v>
      </c>
      <c r="Q336" s="12" t="s">
        <v>78</v>
      </c>
      <c r="R336" s="13" t="s">
        <v>79</v>
      </c>
      <c r="S336" s="9" t="s">
        <v>80</v>
      </c>
      <c r="T336" s="13" t="s">
        <v>81</v>
      </c>
      <c r="U336" s="13" t="s">
        <v>91</v>
      </c>
      <c r="V336" s="11" t="s">
        <v>87</v>
      </c>
      <c r="W336" s="15" t="s">
        <v>84</v>
      </c>
      <c r="X336" s="9" t="s">
        <v>85</v>
      </c>
      <c r="Y336" s="12" t="s">
        <v>86</v>
      </c>
      <c r="Z336">
        <f t="shared" si="31"/>
        <v>441</v>
      </c>
      <c r="AA336" s="39">
        <f t="shared" si="32"/>
        <v>64.454787234042556</v>
      </c>
      <c r="AB336" s="39">
        <f t="shared" si="33"/>
        <v>2255.7910824540118</v>
      </c>
      <c r="AC336">
        <f t="shared" ref="AC336:AC399" si="36">CORREL(J336:J1335,P336:P1335)</f>
        <v>0.99974813498579507</v>
      </c>
      <c r="AD336">
        <f t="shared" si="34"/>
        <v>0.99964385581136428</v>
      </c>
      <c r="AE336">
        <f t="shared" si="35"/>
        <v>28235</v>
      </c>
    </row>
    <row r="337" spans="1:31">
      <c r="A337" s="10">
        <v>336</v>
      </c>
      <c r="B337" s="31">
        <v>40558</v>
      </c>
      <c r="C337" s="10">
        <v>1</v>
      </c>
      <c r="D337" s="10">
        <v>0</v>
      </c>
      <c r="E337" s="10">
        <v>1</v>
      </c>
      <c r="F337" s="10">
        <v>11</v>
      </c>
      <c r="G337" s="10" t="b">
        <v>0</v>
      </c>
      <c r="H337" s="10">
        <v>6</v>
      </c>
      <c r="I337" s="10">
        <v>1</v>
      </c>
      <c r="J337" s="10">
        <v>0.2</v>
      </c>
      <c r="K337" s="10">
        <v>0.19700000000000001</v>
      </c>
      <c r="L337" s="10">
        <v>0.55000000000000004</v>
      </c>
      <c r="M337" s="10">
        <v>0.22389999999999999</v>
      </c>
      <c r="N337" s="10">
        <v>18</v>
      </c>
      <c r="O337" s="10">
        <v>54</v>
      </c>
      <c r="P337" s="10">
        <v>72</v>
      </c>
      <c r="Q337" s="12" t="s">
        <v>78</v>
      </c>
      <c r="R337" s="13" t="s">
        <v>79</v>
      </c>
      <c r="S337" s="10" t="s">
        <v>80</v>
      </c>
      <c r="T337" s="13" t="s">
        <v>81</v>
      </c>
      <c r="U337" s="13" t="s">
        <v>91</v>
      </c>
      <c r="V337" s="13" t="s">
        <v>93</v>
      </c>
      <c r="W337" s="15" t="s">
        <v>84</v>
      </c>
      <c r="X337" s="10" t="s">
        <v>85</v>
      </c>
      <c r="Y337" s="12" t="s">
        <v>86</v>
      </c>
      <c r="Z337">
        <f t="shared" si="31"/>
        <v>441</v>
      </c>
      <c r="AA337" s="39">
        <f t="shared" si="32"/>
        <v>64.469333333333338</v>
      </c>
      <c r="AB337" s="39">
        <f t="shared" si="33"/>
        <v>2257.4838882949252</v>
      </c>
      <c r="AC337">
        <f t="shared" si="36"/>
        <v>0.99974814001937085</v>
      </c>
      <c r="AD337">
        <f t="shared" si="34"/>
        <v>0.99964385511333553</v>
      </c>
      <c r="AE337">
        <f t="shared" si="35"/>
        <v>28235</v>
      </c>
    </row>
    <row r="338" spans="1:31">
      <c r="A338" s="9">
        <v>337</v>
      </c>
      <c r="B338" s="30">
        <v>40558</v>
      </c>
      <c r="C338" s="9">
        <v>1</v>
      </c>
      <c r="D338" s="9">
        <v>0</v>
      </c>
      <c r="E338" s="9">
        <v>1</v>
      </c>
      <c r="F338" s="9">
        <v>12</v>
      </c>
      <c r="G338" s="9" t="b">
        <v>0</v>
      </c>
      <c r="H338" s="9">
        <v>6</v>
      </c>
      <c r="I338" s="9">
        <v>1</v>
      </c>
      <c r="J338" s="9">
        <v>0.24</v>
      </c>
      <c r="K338" s="9">
        <v>0.2273</v>
      </c>
      <c r="L338" s="9">
        <v>0.48</v>
      </c>
      <c r="M338" s="9">
        <v>0.22389999999999999</v>
      </c>
      <c r="N338" s="9">
        <v>15</v>
      </c>
      <c r="O338" s="9">
        <v>74</v>
      </c>
      <c r="P338" s="9">
        <v>89</v>
      </c>
      <c r="Q338" s="12" t="s">
        <v>78</v>
      </c>
      <c r="R338" s="13" t="s">
        <v>79</v>
      </c>
      <c r="S338" s="9" t="s">
        <v>80</v>
      </c>
      <c r="T338" s="13" t="s">
        <v>81</v>
      </c>
      <c r="U338" s="11" t="s">
        <v>92</v>
      </c>
      <c r="V338" s="13" t="s">
        <v>93</v>
      </c>
      <c r="W338" s="15" t="s">
        <v>84</v>
      </c>
      <c r="X338" s="9" t="s">
        <v>85</v>
      </c>
      <c r="Y338" s="12" t="s">
        <v>86</v>
      </c>
      <c r="Z338">
        <f t="shared" si="31"/>
        <v>441</v>
      </c>
      <c r="AA338" s="39">
        <f t="shared" si="32"/>
        <v>64.44919786096257</v>
      </c>
      <c r="AB338" s="39">
        <f t="shared" si="33"/>
        <v>2259.1812277987015</v>
      </c>
      <c r="AC338">
        <f t="shared" si="36"/>
        <v>0.99974816658140586</v>
      </c>
      <c r="AD338">
        <f t="shared" si="34"/>
        <v>0.99964389255741304</v>
      </c>
      <c r="AE338">
        <f t="shared" si="35"/>
        <v>28235</v>
      </c>
    </row>
    <row r="339" spans="1:31">
      <c r="A339" s="10">
        <v>338</v>
      </c>
      <c r="B339" s="31">
        <v>40558</v>
      </c>
      <c r="C339" s="10">
        <v>1</v>
      </c>
      <c r="D339" s="10">
        <v>0</v>
      </c>
      <c r="E339" s="10">
        <v>1</v>
      </c>
      <c r="F339" s="10">
        <v>13</v>
      </c>
      <c r="G339" s="10" t="b">
        <v>0</v>
      </c>
      <c r="H339" s="10">
        <v>6</v>
      </c>
      <c r="I339" s="10">
        <v>1</v>
      </c>
      <c r="J339" s="10">
        <v>0.28000000000000003</v>
      </c>
      <c r="K339" s="10">
        <v>0.2576</v>
      </c>
      <c r="L339" s="10">
        <v>0.38</v>
      </c>
      <c r="M339" s="10">
        <v>0.29849999999999999</v>
      </c>
      <c r="N339" s="10">
        <v>21</v>
      </c>
      <c r="O339" s="10">
        <v>80</v>
      </c>
      <c r="P339" s="10">
        <v>101</v>
      </c>
      <c r="Q339" s="12" t="s">
        <v>78</v>
      </c>
      <c r="R339" s="13" t="s">
        <v>79</v>
      </c>
      <c r="S339" s="10" t="s">
        <v>80</v>
      </c>
      <c r="T339" s="13" t="s">
        <v>81</v>
      </c>
      <c r="U339" s="11" t="s">
        <v>92</v>
      </c>
      <c r="V339" s="13" t="s">
        <v>93</v>
      </c>
      <c r="W339" s="13" t="s">
        <v>90</v>
      </c>
      <c r="X339" s="10" t="s">
        <v>85</v>
      </c>
      <c r="Y339" s="12" t="s">
        <v>86</v>
      </c>
      <c r="Z339">
        <f t="shared" si="31"/>
        <v>441</v>
      </c>
      <c r="AA339" s="39">
        <f t="shared" si="32"/>
        <v>64.383378016085786</v>
      </c>
      <c r="AB339" s="39">
        <f t="shared" si="33"/>
        <v>2260.8831708099883</v>
      </c>
      <c r="AC339">
        <f t="shared" si="36"/>
        <v>0.99974822085402826</v>
      </c>
      <c r="AD339">
        <f t="shared" si="34"/>
        <v>0.99964412957615645</v>
      </c>
      <c r="AE339">
        <f t="shared" si="35"/>
        <v>28235</v>
      </c>
    </row>
    <row r="340" spans="1:31">
      <c r="A340" s="9">
        <v>339</v>
      </c>
      <c r="B340" s="30">
        <v>40558</v>
      </c>
      <c r="C340" s="9">
        <v>1</v>
      </c>
      <c r="D340" s="9">
        <v>0</v>
      </c>
      <c r="E340" s="9">
        <v>1</v>
      </c>
      <c r="F340" s="9">
        <v>14</v>
      </c>
      <c r="G340" s="9" t="b">
        <v>0</v>
      </c>
      <c r="H340" s="9">
        <v>6</v>
      </c>
      <c r="I340" s="9">
        <v>1</v>
      </c>
      <c r="J340" s="9">
        <v>0.3</v>
      </c>
      <c r="K340" s="9">
        <v>0.28789999999999999</v>
      </c>
      <c r="L340" s="9">
        <v>0.39</v>
      </c>
      <c r="M340" s="9">
        <v>0.28360000000000002</v>
      </c>
      <c r="N340" s="9">
        <v>26</v>
      </c>
      <c r="O340" s="9">
        <v>92</v>
      </c>
      <c r="P340" s="9">
        <v>118</v>
      </c>
      <c r="Q340" s="12" t="s">
        <v>78</v>
      </c>
      <c r="R340" s="13" t="s">
        <v>79</v>
      </c>
      <c r="S340" s="9" t="s">
        <v>80</v>
      </c>
      <c r="T340" s="13" t="s">
        <v>81</v>
      </c>
      <c r="U340" s="13" t="s">
        <v>94</v>
      </c>
      <c r="V340" s="13" t="s">
        <v>93</v>
      </c>
      <c r="W340" s="13" t="s">
        <v>90</v>
      </c>
      <c r="X340" s="9" t="s">
        <v>85</v>
      </c>
      <c r="Y340" s="12" t="s">
        <v>86</v>
      </c>
      <c r="Z340">
        <f t="shared" si="31"/>
        <v>441</v>
      </c>
      <c r="AA340" s="39">
        <f t="shared" si="32"/>
        <v>64.284946236559136</v>
      </c>
      <c r="AB340" s="39">
        <f t="shared" si="33"/>
        <v>2262.5893938226018</v>
      </c>
      <c r="AC340">
        <f t="shared" si="36"/>
        <v>0.99974827928617271</v>
      </c>
      <c r="AD340">
        <f t="shared" si="34"/>
        <v>0.99964470016946871</v>
      </c>
      <c r="AE340">
        <f t="shared" si="35"/>
        <v>28235</v>
      </c>
    </row>
    <row r="341" spans="1:31">
      <c r="A341" s="10">
        <v>340</v>
      </c>
      <c r="B341" s="31">
        <v>40558</v>
      </c>
      <c r="C341" s="10">
        <v>1</v>
      </c>
      <c r="D341" s="10">
        <v>0</v>
      </c>
      <c r="E341" s="10">
        <v>1</v>
      </c>
      <c r="F341" s="10">
        <v>15</v>
      </c>
      <c r="G341" s="10" t="b">
        <v>0</v>
      </c>
      <c r="H341" s="10">
        <v>6</v>
      </c>
      <c r="I341" s="10">
        <v>2</v>
      </c>
      <c r="J341" s="10">
        <v>0.32</v>
      </c>
      <c r="K341" s="10">
        <v>0.31819999999999998</v>
      </c>
      <c r="L341" s="10">
        <v>0.36</v>
      </c>
      <c r="M341" s="10">
        <v>0.19400000000000001</v>
      </c>
      <c r="N341" s="10">
        <v>21</v>
      </c>
      <c r="O341" s="10">
        <v>108</v>
      </c>
      <c r="P341" s="10">
        <v>129</v>
      </c>
      <c r="Q341" s="12" t="s">
        <v>78</v>
      </c>
      <c r="R341" s="13" t="s">
        <v>79</v>
      </c>
      <c r="S341" s="10" t="s">
        <v>80</v>
      </c>
      <c r="T341" s="11" t="s">
        <v>88</v>
      </c>
      <c r="U341" s="13" t="s">
        <v>94</v>
      </c>
      <c r="V341" s="13" t="s">
        <v>93</v>
      </c>
      <c r="W341" s="13" t="s">
        <v>90</v>
      </c>
      <c r="X341" s="10" t="s">
        <v>85</v>
      </c>
      <c r="Y341" s="12" t="s">
        <v>86</v>
      </c>
      <c r="Z341">
        <f t="shared" si="31"/>
        <v>441</v>
      </c>
      <c r="AA341" s="39">
        <f t="shared" si="32"/>
        <v>64.140161725067387</v>
      </c>
      <c r="AB341" s="39">
        <f t="shared" si="33"/>
        <v>2264.2999278846683</v>
      </c>
      <c r="AC341">
        <f t="shared" si="36"/>
        <v>0.99974842381808238</v>
      </c>
      <c r="AD341">
        <f t="shared" si="34"/>
        <v>0.99964560483540577</v>
      </c>
      <c r="AE341">
        <f t="shared" si="35"/>
        <v>28235</v>
      </c>
    </row>
    <row r="342" spans="1:31">
      <c r="A342" s="9">
        <v>341</v>
      </c>
      <c r="B342" s="30">
        <v>40558</v>
      </c>
      <c r="C342" s="9">
        <v>1</v>
      </c>
      <c r="D342" s="9">
        <v>0</v>
      </c>
      <c r="E342" s="9">
        <v>1</v>
      </c>
      <c r="F342" s="9">
        <v>16</v>
      </c>
      <c r="G342" s="9" t="b">
        <v>0</v>
      </c>
      <c r="H342" s="9">
        <v>6</v>
      </c>
      <c r="I342" s="9">
        <v>2</v>
      </c>
      <c r="J342" s="9">
        <v>0.34</v>
      </c>
      <c r="K342" s="9">
        <v>0.33329999999999999</v>
      </c>
      <c r="L342" s="9">
        <v>0.34</v>
      </c>
      <c r="M342" s="9">
        <v>0.19400000000000001</v>
      </c>
      <c r="N342" s="9">
        <v>33</v>
      </c>
      <c r="O342" s="9">
        <v>95</v>
      </c>
      <c r="P342" s="9">
        <v>128</v>
      </c>
      <c r="Q342" s="12" t="s">
        <v>78</v>
      </c>
      <c r="R342" s="13" t="s">
        <v>79</v>
      </c>
      <c r="S342" s="9" t="s">
        <v>80</v>
      </c>
      <c r="T342" s="11" t="s">
        <v>88</v>
      </c>
      <c r="U342" s="13" t="s">
        <v>94</v>
      </c>
      <c r="V342" s="13" t="s">
        <v>93</v>
      </c>
      <c r="W342" s="13" t="s">
        <v>90</v>
      </c>
      <c r="X342" s="9" t="s">
        <v>85</v>
      </c>
      <c r="Y342" s="12" t="s">
        <v>86</v>
      </c>
      <c r="Z342">
        <f t="shared" si="31"/>
        <v>441</v>
      </c>
      <c r="AA342" s="39">
        <f t="shared" si="32"/>
        <v>64.140161725067387</v>
      </c>
      <c r="AB342" s="39">
        <f t="shared" si="33"/>
        <v>2266.0145309722852</v>
      </c>
      <c r="AC342">
        <f t="shared" si="36"/>
        <v>0.99974862245849172</v>
      </c>
      <c r="AD342">
        <f t="shared" si="34"/>
        <v>0.99964686563479344</v>
      </c>
      <c r="AE342">
        <f t="shared" si="35"/>
        <v>28235</v>
      </c>
    </row>
    <row r="343" spans="1:31">
      <c r="A343" s="10">
        <v>342</v>
      </c>
      <c r="B343" s="31">
        <v>40558</v>
      </c>
      <c r="C343" s="10">
        <v>1</v>
      </c>
      <c r="D343" s="10">
        <v>0</v>
      </c>
      <c r="E343" s="10">
        <v>1</v>
      </c>
      <c r="F343" s="10">
        <v>17</v>
      </c>
      <c r="G343" s="10" t="b">
        <v>0</v>
      </c>
      <c r="H343" s="10">
        <v>6</v>
      </c>
      <c r="I343" s="10">
        <v>2</v>
      </c>
      <c r="J343" s="10">
        <v>0.32</v>
      </c>
      <c r="K343" s="10">
        <v>0.30299999999999999</v>
      </c>
      <c r="L343" s="10">
        <v>0.36</v>
      </c>
      <c r="M343" s="10">
        <v>0.28360000000000002</v>
      </c>
      <c r="N343" s="10">
        <v>29</v>
      </c>
      <c r="O343" s="10">
        <v>54</v>
      </c>
      <c r="P343" s="10">
        <v>83</v>
      </c>
      <c r="Q343" s="12" t="s">
        <v>78</v>
      </c>
      <c r="R343" s="13" t="s">
        <v>79</v>
      </c>
      <c r="S343" s="10" t="s">
        <v>80</v>
      </c>
      <c r="T343" s="11" t="s">
        <v>88</v>
      </c>
      <c r="U343" s="15" t="s">
        <v>95</v>
      </c>
      <c r="V343" s="13" t="s">
        <v>93</v>
      </c>
      <c r="W343" s="13" t="s">
        <v>90</v>
      </c>
      <c r="X343" s="10" t="s">
        <v>85</v>
      </c>
      <c r="Y343" s="12" t="s">
        <v>86</v>
      </c>
      <c r="Z343">
        <f t="shared" si="31"/>
        <v>441</v>
      </c>
      <c r="AA343" s="39">
        <f t="shared" si="32"/>
        <v>64.140161725067387</v>
      </c>
      <c r="AB343" s="39">
        <f t="shared" si="33"/>
        <v>2267.7330216575274</v>
      </c>
      <c r="AC343">
        <f t="shared" si="36"/>
        <v>0.99974875594052848</v>
      </c>
      <c r="AD343">
        <f t="shared" si="34"/>
        <v>0.99964815779711569</v>
      </c>
      <c r="AE343">
        <f t="shared" si="35"/>
        <v>28235</v>
      </c>
    </row>
    <row r="344" spans="1:31">
      <c r="A344" s="9">
        <v>343</v>
      </c>
      <c r="B344" s="30">
        <v>40558</v>
      </c>
      <c r="C344" s="9">
        <v>1</v>
      </c>
      <c r="D344" s="9">
        <v>0</v>
      </c>
      <c r="E344" s="9">
        <v>1</v>
      </c>
      <c r="F344" s="9">
        <v>18</v>
      </c>
      <c r="G344" s="9" t="b">
        <v>0</v>
      </c>
      <c r="H344" s="9">
        <v>6</v>
      </c>
      <c r="I344" s="9">
        <v>2</v>
      </c>
      <c r="J344" s="9">
        <v>0.3</v>
      </c>
      <c r="K344" s="9">
        <v>0.28789999999999999</v>
      </c>
      <c r="L344" s="9">
        <v>0.45</v>
      </c>
      <c r="M344" s="9">
        <v>0.25369999999999998</v>
      </c>
      <c r="N344" s="9">
        <v>15</v>
      </c>
      <c r="O344" s="9">
        <v>69</v>
      </c>
      <c r="P344" s="9">
        <v>84</v>
      </c>
      <c r="Q344" s="12" t="s">
        <v>78</v>
      </c>
      <c r="R344" s="13" t="s">
        <v>79</v>
      </c>
      <c r="S344" s="9" t="s">
        <v>80</v>
      </c>
      <c r="T344" s="11" t="s">
        <v>88</v>
      </c>
      <c r="U344" s="15" t="s">
        <v>95</v>
      </c>
      <c r="V344" s="13" t="s">
        <v>93</v>
      </c>
      <c r="W344" s="13" t="s">
        <v>90</v>
      </c>
      <c r="X344" s="9" t="s">
        <v>85</v>
      </c>
      <c r="Y344" s="12" t="s">
        <v>86</v>
      </c>
      <c r="Z344">
        <f t="shared" si="31"/>
        <v>441</v>
      </c>
      <c r="AA344" s="39">
        <f t="shared" si="32"/>
        <v>64.140161725067387</v>
      </c>
      <c r="AB344" s="39">
        <f t="shared" si="33"/>
        <v>2269.4541306811752</v>
      </c>
      <c r="AC344">
        <f t="shared" si="36"/>
        <v>0.999748768228921</v>
      </c>
      <c r="AD344">
        <f t="shared" si="34"/>
        <v>0.99964847888671093</v>
      </c>
      <c r="AE344">
        <f t="shared" si="35"/>
        <v>28235</v>
      </c>
    </row>
    <row r="345" spans="1:31">
      <c r="A345" s="10">
        <v>344</v>
      </c>
      <c r="B345" s="31">
        <v>40558</v>
      </c>
      <c r="C345" s="10">
        <v>1</v>
      </c>
      <c r="D345" s="10">
        <v>0</v>
      </c>
      <c r="E345" s="10">
        <v>1</v>
      </c>
      <c r="F345" s="10">
        <v>19</v>
      </c>
      <c r="G345" s="10" t="b">
        <v>0</v>
      </c>
      <c r="H345" s="10">
        <v>6</v>
      </c>
      <c r="I345" s="10">
        <v>2</v>
      </c>
      <c r="J345" s="10">
        <v>0.32</v>
      </c>
      <c r="K345" s="10">
        <v>0.30299999999999999</v>
      </c>
      <c r="L345" s="10">
        <v>0.39</v>
      </c>
      <c r="M345" s="10">
        <v>0.25369999999999998</v>
      </c>
      <c r="N345" s="10">
        <v>14</v>
      </c>
      <c r="O345" s="10">
        <v>60</v>
      </c>
      <c r="P345" s="10">
        <v>74</v>
      </c>
      <c r="Q345" s="12" t="s">
        <v>78</v>
      </c>
      <c r="R345" s="13" t="s">
        <v>79</v>
      </c>
      <c r="S345" s="10" t="s">
        <v>80</v>
      </c>
      <c r="T345" s="11" t="s">
        <v>88</v>
      </c>
      <c r="U345" s="15" t="s">
        <v>95</v>
      </c>
      <c r="V345" s="13" t="s">
        <v>93</v>
      </c>
      <c r="W345" s="13" t="s">
        <v>90</v>
      </c>
      <c r="X345" s="10" t="s">
        <v>85</v>
      </c>
      <c r="Y345" s="12" t="s">
        <v>86</v>
      </c>
      <c r="Z345">
        <f t="shared" si="31"/>
        <v>441</v>
      </c>
      <c r="AA345" s="39">
        <f t="shared" si="32"/>
        <v>64.140161725067387</v>
      </c>
      <c r="AB345" s="39">
        <f t="shared" si="33"/>
        <v>2271.1792080879591</v>
      </c>
      <c r="AC345">
        <f t="shared" si="36"/>
        <v>0.99974876890811493</v>
      </c>
      <c r="AD345">
        <f t="shared" si="34"/>
        <v>0.99964869987106941</v>
      </c>
      <c r="AE345">
        <f t="shared" si="35"/>
        <v>28235</v>
      </c>
    </row>
    <row r="346" spans="1:31">
      <c r="A346" s="9">
        <v>345</v>
      </c>
      <c r="B346" s="30">
        <v>40558</v>
      </c>
      <c r="C346" s="9">
        <v>1</v>
      </c>
      <c r="D346" s="9">
        <v>0</v>
      </c>
      <c r="E346" s="9">
        <v>1</v>
      </c>
      <c r="F346" s="9">
        <v>20</v>
      </c>
      <c r="G346" s="9" t="b">
        <v>0</v>
      </c>
      <c r="H346" s="9">
        <v>6</v>
      </c>
      <c r="I346" s="9">
        <v>2</v>
      </c>
      <c r="J346" s="9">
        <v>0.32</v>
      </c>
      <c r="K346" s="9">
        <v>0.30299999999999999</v>
      </c>
      <c r="L346" s="9">
        <v>0.39</v>
      </c>
      <c r="M346" s="9">
        <v>0.25369999999999998</v>
      </c>
      <c r="N346" s="9">
        <v>6</v>
      </c>
      <c r="O346" s="9">
        <v>35</v>
      </c>
      <c r="P346" s="9">
        <v>41</v>
      </c>
      <c r="Q346" s="12" t="s">
        <v>78</v>
      </c>
      <c r="R346" s="13" t="s">
        <v>79</v>
      </c>
      <c r="S346" s="9" t="s">
        <v>80</v>
      </c>
      <c r="T346" s="11" t="s">
        <v>88</v>
      </c>
      <c r="U346" s="16" t="s">
        <v>97</v>
      </c>
      <c r="V346" s="11" t="s">
        <v>87</v>
      </c>
      <c r="W346" s="13" t="s">
        <v>90</v>
      </c>
      <c r="X346" s="9" t="s">
        <v>85</v>
      </c>
      <c r="Y346" s="12" t="s">
        <v>86</v>
      </c>
      <c r="Z346">
        <f t="shared" si="31"/>
        <v>441</v>
      </c>
      <c r="AA346" s="39">
        <f t="shared" si="32"/>
        <v>64.140161725067387</v>
      </c>
      <c r="AB346" s="39">
        <f t="shared" si="33"/>
        <v>2272.9077572543433</v>
      </c>
      <c r="AC346">
        <f t="shared" si="36"/>
        <v>0.99974881773996971</v>
      </c>
      <c r="AD346">
        <f t="shared" si="34"/>
        <v>0.99964887796479607</v>
      </c>
      <c r="AE346">
        <f t="shared" si="35"/>
        <v>28235</v>
      </c>
    </row>
    <row r="347" spans="1:31">
      <c r="A347" s="10">
        <v>346</v>
      </c>
      <c r="B347" s="31">
        <v>40558</v>
      </c>
      <c r="C347" s="10">
        <v>1</v>
      </c>
      <c r="D347" s="10">
        <v>0</v>
      </c>
      <c r="E347" s="10">
        <v>1</v>
      </c>
      <c r="F347" s="10">
        <v>21</v>
      </c>
      <c r="G347" s="10" t="b">
        <v>0</v>
      </c>
      <c r="H347" s="10">
        <v>6</v>
      </c>
      <c r="I347" s="10">
        <v>2</v>
      </c>
      <c r="J347" s="10">
        <v>0.32</v>
      </c>
      <c r="K347" s="10">
        <v>0.30299999999999999</v>
      </c>
      <c r="L347" s="10">
        <v>0.39</v>
      </c>
      <c r="M347" s="10">
        <v>0.22389999999999999</v>
      </c>
      <c r="N347" s="10">
        <v>6</v>
      </c>
      <c r="O347" s="10">
        <v>51</v>
      </c>
      <c r="P347" s="10">
        <v>57</v>
      </c>
      <c r="Q347" s="12" t="s">
        <v>78</v>
      </c>
      <c r="R347" s="13" t="s">
        <v>79</v>
      </c>
      <c r="S347" s="10" t="s">
        <v>80</v>
      </c>
      <c r="T347" s="11" t="s">
        <v>88</v>
      </c>
      <c r="U347" s="16" t="s">
        <v>97</v>
      </c>
      <c r="V347" s="11" t="s">
        <v>87</v>
      </c>
      <c r="W347" s="13" t="s">
        <v>90</v>
      </c>
      <c r="X347" s="10" t="s">
        <v>85</v>
      </c>
      <c r="Y347" s="12" t="s">
        <v>86</v>
      </c>
      <c r="Z347">
        <f t="shared" si="31"/>
        <v>441</v>
      </c>
      <c r="AA347" s="39">
        <f t="shared" si="32"/>
        <v>64.140161725067387</v>
      </c>
      <c r="AB347" s="39">
        <f t="shared" si="33"/>
        <v>2274.6382338391027</v>
      </c>
      <c r="AC347">
        <f t="shared" si="36"/>
        <v>0.99974920556006108</v>
      </c>
      <c r="AD347">
        <f t="shared" si="34"/>
        <v>0.99964887724855978</v>
      </c>
      <c r="AE347">
        <f t="shared" si="35"/>
        <v>28235</v>
      </c>
    </row>
    <row r="348" spans="1:31">
      <c r="A348" s="9">
        <v>347</v>
      </c>
      <c r="B348" s="30">
        <v>40558</v>
      </c>
      <c r="C348" s="9">
        <v>1</v>
      </c>
      <c r="D348" s="9">
        <v>0</v>
      </c>
      <c r="E348" s="9">
        <v>1</v>
      </c>
      <c r="F348" s="9">
        <v>22</v>
      </c>
      <c r="G348" s="9" t="b">
        <v>0</v>
      </c>
      <c r="H348" s="9">
        <v>6</v>
      </c>
      <c r="I348" s="9">
        <v>2</v>
      </c>
      <c r="J348" s="9">
        <v>0.3</v>
      </c>
      <c r="K348" s="9">
        <v>0.31819999999999998</v>
      </c>
      <c r="L348" s="9">
        <v>0.42</v>
      </c>
      <c r="M348" s="9">
        <v>0.1045</v>
      </c>
      <c r="N348" s="9">
        <v>0</v>
      </c>
      <c r="O348" s="9">
        <v>26</v>
      </c>
      <c r="P348" s="9">
        <v>26</v>
      </c>
      <c r="Q348" s="12" t="s">
        <v>78</v>
      </c>
      <c r="R348" s="13" t="s">
        <v>79</v>
      </c>
      <c r="S348" s="9" t="s">
        <v>80</v>
      </c>
      <c r="T348" s="11" t="s">
        <v>88</v>
      </c>
      <c r="U348" s="16" t="s">
        <v>97</v>
      </c>
      <c r="V348" s="12" t="s">
        <v>83</v>
      </c>
      <c r="W348" s="13" t="s">
        <v>90</v>
      </c>
      <c r="X348" s="9" t="s">
        <v>85</v>
      </c>
      <c r="Y348" s="12" t="s">
        <v>86</v>
      </c>
      <c r="Z348">
        <f t="shared" si="31"/>
        <v>441</v>
      </c>
      <c r="AA348" s="39">
        <f t="shared" si="32"/>
        <v>64.140161725067387</v>
      </c>
      <c r="AB348" s="39">
        <f t="shared" si="33"/>
        <v>2276.3737449097548</v>
      </c>
      <c r="AC348">
        <f t="shared" si="36"/>
        <v>0.99974938972936056</v>
      </c>
      <c r="AD348">
        <f t="shared" si="34"/>
        <v>0.99964892332655586</v>
      </c>
      <c r="AE348">
        <f t="shared" si="35"/>
        <v>28235</v>
      </c>
    </row>
    <row r="349" spans="1:31">
      <c r="A349" s="10">
        <v>348</v>
      </c>
      <c r="B349" s="31">
        <v>40558</v>
      </c>
      <c r="C349" s="10">
        <v>1</v>
      </c>
      <c r="D349" s="10">
        <v>0</v>
      </c>
      <c r="E349" s="10">
        <v>1</v>
      </c>
      <c r="F349" s="10">
        <v>23</v>
      </c>
      <c r="G349" s="10" t="b">
        <v>0</v>
      </c>
      <c r="H349" s="10">
        <v>6</v>
      </c>
      <c r="I349" s="10">
        <v>1</v>
      </c>
      <c r="J349" s="10">
        <v>0.3</v>
      </c>
      <c r="K349" s="10">
        <v>0.28789999999999999</v>
      </c>
      <c r="L349" s="10">
        <v>0.45</v>
      </c>
      <c r="M349" s="10">
        <v>0.28360000000000002</v>
      </c>
      <c r="N349" s="10">
        <v>5</v>
      </c>
      <c r="O349" s="10">
        <v>39</v>
      </c>
      <c r="P349" s="10">
        <v>44</v>
      </c>
      <c r="Q349" s="12" t="s">
        <v>78</v>
      </c>
      <c r="R349" s="13" t="s">
        <v>79</v>
      </c>
      <c r="S349" s="10" t="s">
        <v>80</v>
      </c>
      <c r="T349" s="13" t="s">
        <v>81</v>
      </c>
      <c r="U349" s="16" t="s">
        <v>97</v>
      </c>
      <c r="V349" s="11" t="s">
        <v>87</v>
      </c>
      <c r="W349" s="13" t="s">
        <v>90</v>
      </c>
      <c r="X349" s="10" t="s">
        <v>85</v>
      </c>
      <c r="Y349" s="12" t="s">
        <v>86</v>
      </c>
      <c r="Z349">
        <f t="shared" si="31"/>
        <v>441</v>
      </c>
      <c r="AA349" s="39">
        <f t="shared" si="32"/>
        <v>64.140161725067387</v>
      </c>
      <c r="AB349" s="39">
        <f t="shared" si="33"/>
        <v>2278.1109887823295</v>
      </c>
      <c r="AC349">
        <f t="shared" si="36"/>
        <v>0.99974993409156265</v>
      </c>
      <c r="AD349">
        <f t="shared" si="34"/>
        <v>0.9996489603180766</v>
      </c>
      <c r="AE349">
        <f t="shared" si="35"/>
        <v>28235</v>
      </c>
    </row>
    <row r="350" spans="1:31">
      <c r="A350" s="9">
        <v>349</v>
      </c>
      <c r="B350" s="30">
        <v>40559</v>
      </c>
      <c r="C350" s="9">
        <v>1</v>
      </c>
      <c r="D350" s="9">
        <v>0</v>
      </c>
      <c r="E350" s="9">
        <v>1</v>
      </c>
      <c r="F350" s="9">
        <v>0</v>
      </c>
      <c r="G350" s="9" t="b">
        <v>0</v>
      </c>
      <c r="H350" s="9">
        <v>0</v>
      </c>
      <c r="I350" s="9">
        <v>1</v>
      </c>
      <c r="J350" s="9">
        <v>0.26</v>
      </c>
      <c r="K350" s="9">
        <v>0.30299999999999999</v>
      </c>
      <c r="L350" s="9">
        <v>0.56000000000000005</v>
      </c>
      <c r="M350" s="9">
        <v>0</v>
      </c>
      <c r="N350" s="9">
        <v>6</v>
      </c>
      <c r="O350" s="9">
        <v>33</v>
      </c>
      <c r="P350" s="9">
        <v>39</v>
      </c>
      <c r="Q350" s="12" t="s">
        <v>78</v>
      </c>
      <c r="R350" s="13" t="s">
        <v>79</v>
      </c>
      <c r="S350" s="9" t="s">
        <v>80</v>
      </c>
      <c r="T350" s="13" t="s">
        <v>81</v>
      </c>
      <c r="U350" s="14" t="s">
        <v>82</v>
      </c>
      <c r="V350" s="11" t="s">
        <v>87</v>
      </c>
      <c r="W350" s="13" t="s">
        <v>90</v>
      </c>
      <c r="X350" s="9" t="s">
        <v>85</v>
      </c>
      <c r="Y350" s="12" t="s">
        <v>86</v>
      </c>
      <c r="Z350">
        <f t="shared" si="31"/>
        <v>441</v>
      </c>
      <c r="AA350" s="39">
        <f t="shared" si="32"/>
        <v>64.194594594594591</v>
      </c>
      <c r="AB350" s="39">
        <f t="shared" si="33"/>
        <v>2279.853602226468</v>
      </c>
      <c r="AC350">
        <f t="shared" si="36"/>
        <v>0.99975020457571839</v>
      </c>
      <c r="AD350">
        <f t="shared" si="34"/>
        <v>0.99964895937333753</v>
      </c>
      <c r="AE350">
        <f t="shared" si="35"/>
        <v>28235</v>
      </c>
    </row>
    <row r="351" spans="1:31">
      <c r="A351" s="10">
        <v>350</v>
      </c>
      <c r="B351" s="31">
        <v>40559</v>
      </c>
      <c r="C351" s="10">
        <v>1</v>
      </c>
      <c r="D351" s="10">
        <v>0</v>
      </c>
      <c r="E351" s="10">
        <v>1</v>
      </c>
      <c r="F351" s="10">
        <v>1</v>
      </c>
      <c r="G351" s="10" t="b">
        <v>0</v>
      </c>
      <c r="H351" s="10">
        <v>0</v>
      </c>
      <c r="I351" s="10">
        <v>1</v>
      </c>
      <c r="J351" s="10">
        <v>0.26</v>
      </c>
      <c r="K351" s="10">
        <v>0.2727</v>
      </c>
      <c r="L351" s="10">
        <v>0.56000000000000005</v>
      </c>
      <c r="M351" s="10">
        <v>0.1343</v>
      </c>
      <c r="N351" s="10">
        <v>4</v>
      </c>
      <c r="O351" s="10">
        <v>19</v>
      </c>
      <c r="P351" s="10">
        <v>23</v>
      </c>
      <c r="Q351" s="12" t="s">
        <v>78</v>
      </c>
      <c r="R351" s="13" t="s">
        <v>79</v>
      </c>
      <c r="S351" s="10" t="s">
        <v>80</v>
      </c>
      <c r="T351" s="13" t="s">
        <v>81</v>
      </c>
      <c r="U351" s="14" t="s">
        <v>82</v>
      </c>
      <c r="V351" s="12" t="s">
        <v>83</v>
      </c>
      <c r="W351" s="13" t="s">
        <v>90</v>
      </c>
      <c r="X351" s="10" t="s">
        <v>85</v>
      </c>
      <c r="Y351" s="12" t="s">
        <v>86</v>
      </c>
      <c r="Z351">
        <f t="shared" si="31"/>
        <v>441</v>
      </c>
      <c r="AA351" s="39">
        <f t="shared" si="32"/>
        <v>64.262872628726285</v>
      </c>
      <c r="AB351" s="39">
        <f t="shared" si="33"/>
        <v>2281.5998568067803</v>
      </c>
      <c r="AC351">
        <f t="shared" si="36"/>
        <v>0.99975040148743533</v>
      </c>
      <c r="AD351">
        <f t="shared" si="34"/>
        <v>0.99964900178904104</v>
      </c>
      <c r="AE351">
        <f t="shared" si="35"/>
        <v>28235</v>
      </c>
    </row>
    <row r="352" spans="1:31">
      <c r="A352" s="9">
        <v>351</v>
      </c>
      <c r="B352" s="30">
        <v>40559</v>
      </c>
      <c r="C352" s="9">
        <v>1</v>
      </c>
      <c r="D352" s="9">
        <v>0</v>
      </c>
      <c r="E352" s="9">
        <v>1</v>
      </c>
      <c r="F352" s="9">
        <v>2</v>
      </c>
      <c r="G352" s="9" t="b">
        <v>0</v>
      </c>
      <c r="H352" s="9">
        <v>0</v>
      </c>
      <c r="I352" s="9">
        <v>1</v>
      </c>
      <c r="J352" s="9">
        <v>0.26</v>
      </c>
      <c r="K352" s="9">
        <v>0.28789999999999999</v>
      </c>
      <c r="L352" s="9">
        <v>0.56000000000000005</v>
      </c>
      <c r="M352" s="9">
        <v>8.9599999999999999E-2</v>
      </c>
      <c r="N352" s="9">
        <v>3</v>
      </c>
      <c r="O352" s="9">
        <v>13</v>
      </c>
      <c r="P352" s="9">
        <v>16</v>
      </c>
      <c r="Q352" s="12" t="s">
        <v>78</v>
      </c>
      <c r="R352" s="13" t="s">
        <v>79</v>
      </c>
      <c r="S352" s="9" t="s">
        <v>80</v>
      </c>
      <c r="T352" s="13" t="s">
        <v>81</v>
      </c>
      <c r="U352" s="14" t="s">
        <v>82</v>
      </c>
      <c r="V352" s="12" t="s">
        <v>83</v>
      </c>
      <c r="W352" s="13" t="s">
        <v>90</v>
      </c>
      <c r="X352" s="9" t="s">
        <v>85</v>
      </c>
      <c r="Y352" s="12" t="s">
        <v>86</v>
      </c>
      <c r="Z352">
        <f t="shared" si="31"/>
        <v>441</v>
      </c>
      <c r="AA352" s="39">
        <f t="shared" si="32"/>
        <v>64.375</v>
      </c>
      <c r="AB352" s="39">
        <f t="shared" si="33"/>
        <v>2283.3488494036096</v>
      </c>
      <c r="AC352">
        <f t="shared" si="36"/>
        <v>0.99975080986021048</v>
      </c>
      <c r="AD352">
        <f t="shared" si="34"/>
        <v>0.9996491632228558</v>
      </c>
      <c r="AE352">
        <f t="shared" si="35"/>
        <v>28235</v>
      </c>
    </row>
    <row r="353" spans="1:31">
      <c r="A353" s="10">
        <v>352</v>
      </c>
      <c r="B353" s="31">
        <v>40559</v>
      </c>
      <c r="C353" s="10">
        <v>1</v>
      </c>
      <c r="D353" s="10">
        <v>0</v>
      </c>
      <c r="E353" s="10">
        <v>1</v>
      </c>
      <c r="F353" s="10">
        <v>3</v>
      </c>
      <c r="G353" s="10" t="b">
        <v>0</v>
      </c>
      <c r="H353" s="10">
        <v>0</v>
      </c>
      <c r="I353" s="10">
        <v>1</v>
      </c>
      <c r="J353" s="10">
        <v>0.22</v>
      </c>
      <c r="K353" s="10">
        <v>0.2727</v>
      </c>
      <c r="L353" s="10">
        <v>0.69</v>
      </c>
      <c r="M353" s="10">
        <v>0</v>
      </c>
      <c r="N353" s="10">
        <v>9</v>
      </c>
      <c r="O353" s="10">
        <v>6</v>
      </c>
      <c r="P353" s="10">
        <v>15</v>
      </c>
      <c r="Q353" s="12" t="s">
        <v>78</v>
      </c>
      <c r="R353" s="13" t="s">
        <v>79</v>
      </c>
      <c r="S353" s="10" t="s">
        <v>80</v>
      </c>
      <c r="T353" s="13" t="s">
        <v>81</v>
      </c>
      <c r="U353" s="14" t="s">
        <v>82</v>
      </c>
      <c r="V353" s="12" t="s">
        <v>83</v>
      </c>
      <c r="W353" s="15" t="s">
        <v>84</v>
      </c>
      <c r="X353" s="10" t="s">
        <v>85</v>
      </c>
      <c r="Y353" s="12" t="s">
        <v>86</v>
      </c>
      <c r="Z353">
        <f t="shared" si="31"/>
        <v>441</v>
      </c>
      <c r="AA353" s="39">
        <f t="shared" si="32"/>
        <v>64.506811989100811</v>
      </c>
      <c r="AB353" s="39">
        <f t="shared" si="33"/>
        <v>2285.1012542440399</v>
      </c>
      <c r="AC353">
        <f t="shared" si="36"/>
        <v>0.99975133569634012</v>
      </c>
      <c r="AD353">
        <f t="shared" si="34"/>
        <v>0.99964940105739586</v>
      </c>
      <c r="AE353">
        <f t="shared" si="35"/>
        <v>28235</v>
      </c>
    </row>
    <row r="354" spans="1:31">
      <c r="A354" s="9">
        <v>353</v>
      </c>
      <c r="B354" s="30">
        <v>40559</v>
      </c>
      <c r="C354" s="9">
        <v>1</v>
      </c>
      <c r="D354" s="9">
        <v>0</v>
      </c>
      <c r="E354" s="9">
        <v>1</v>
      </c>
      <c r="F354" s="9">
        <v>4</v>
      </c>
      <c r="G354" s="9" t="b">
        <v>0</v>
      </c>
      <c r="H354" s="9">
        <v>0</v>
      </c>
      <c r="I354" s="9">
        <v>1</v>
      </c>
      <c r="J354" s="9">
        <v>0.26</v>
      </c>
      <c r="K354" s="9">
        <v>0.2576</v>
      </c>
      <c r="L354" s="9">
        <v>0.56000000000000005</v>
      </c>
      <c r="M354" s="9">
        <v>0.16420000000000001</v>
      </c>
      <c r="N354" s="9">
        <v>0</v>
      </c>
      <c r="O354" s="9">
        <v>1</v>
      </c>
      <c r="P354" s="9">
        <v>1</v>
      </c>
      <c r="Q354" s="12" t="s">
        <v>78</v>
      </c>
      <c r="R354" s="13" t="s">
        <v>79</v>
      </c>
      <c r="S354" s="9" t="s">
        <v>80</v>
      </c>
      <c r="T354" s="13" t="s">
        <v>81</v>
      </c>
      <c r="U354" s="14" t="s">
        <v>82</v>
      </c>
      <c r="V354" s="12" t="s">
        <v>83</v>
      </c>
      <c r="W354" s="13" t="s">
        <v>90</v>
      </c>
      <c r="X354" s="9" t="s">
        <v>85</v>
      </c>
      <c r="Y354" s="12" t="s">
        <v>86</v>
      </c>
      <c r="Z354">
        <f t="shared" si="31"/>
        <v>441</v>
      </c>
      <c r="AA354" s="39">
        <f t="shared" si="32"/>
        <v>64.642076502732237</v>
      </c>
      <c r="AB354" s="39">
        <f t="shared" si="33"/>
        <v>2286.857609095211</v>
      </c>
      <c r="AC354">
        <f t="shared" si="36"/>
        <v>0.9997516963245765</v>
      </c>
      <c r="AD354">
        <f t="shared" si="34"/>
        <v>0.99964983567303523</v>
      </c>
      <c r="AE354">
        <f t="shared" si="35"/>
        <v>28235</v>
      </c>
    </row>
    <row r="355" spans="1:31">
      <c r="A355" s="10">
        <v>354</v>
      </c>
      <c r="B355" s="31">
        <v>40559</v>
      </c>
      <c r="C355" s="10">
        <v>1</v>
      </c>
      <c r="D355" s="10">
        <v>0</v>
      </c>
      <c r="E355" s="10">
        <v>1</v>
      </c>
      <c r="F355" s="10">
        <v>5</v>
      </c>
      <c r="G355" s="10" t="b">
        <v>0</v>
      </c>
      <c r="H355" s="10">
        <v>0</v>
      </c>
      <c r="I355" s="10">
        <v>2</v>
      </c>
      <c r="J355" s="10">
        <v>0.26</v>
      </c>
      <c r="K355" s="10">
        <v>0.2576</v>
      </c>
      <c r="L355" s="10">
        <v>0.56000000000000005</v>
      </c>
      <c r="M355" s="10">
        <v>0.16420000000000001</v>
      </c>
      <c r="N355" s="10">
        <v>1</v>
      </c>
      <c r="O355" s="10">
        <v>1</v>
      </c>
      <c r="P355" s="10">
        <v>2</v>
      </c>
      <c r="Q355" s="12" t="s">
        <v>78</v>
      </c>
      <c r="R355" s="13" t="s">
        <v>79</v>
      </c>
      <c r="S355" s="10" t="s">
        <v>80</v>
      </c>
      <c r="T355" s="11" t="s">
        <v>88</v>
      </c>
      <c r="U355" s="15" t="s">
        <v>89</v>
      </c>
      <c r="V355" s="12" t="s">
        <v>83</v>
      </c>
      <c r="W355" s="13" t="s">
        <v>90</v>
      </c>
      <c r="X355" s="10" t="s">
        <v>85</v>
      </c>
      <c r="Y355" s="12" t="s">
        <v>86</v>
      </c>
      <c r="Z355">
        <f t="shared" si="31"/>
        <v>441</v>
      </c>
      <c r="AA355" s="39">
        <f t="shared" si="32"/>
        <v>64.816438356164383</v>
      </c>
      <c r="AB355" s="39">
        <f t="shared" si="33"/>
        <v>2288.6166731710168</v>
      </c>
      <c r="AC355">
        <f t="shared" si="36"/>
        <v>0.99975252364738865</v>
      </c>
      <c r="AD355">
        <f t="shared" si="34"/>
        <v>0.99965028728644623</v>
      </c>
      <c r="AE355">
        <f t="shared" si="35"/>
        <v>28235</v>
      </c>
    </row>
    <row r="356" spans="1:31">
      <c r="A356" s="9">
        <v>355</v>
      </c>
      <c r="B356" s="30">
        <v>40559</v>
      </c>
      <c r="C356" s="9">
        <v>1</v>
      </c>
      <c r="D356" s="9">
        <v>0</v>
      </c>
      <c r="E356" s="9">
        <v>1</v>
      </c>
      <c r="F356" s="9">
        <v>6</v>
      </c>
      <c r="G356" s="9" t="b">
        <v>0</v>
      </c>
      <c r="H356" s="9">
        <v>0</v>
      </c>
      <c r="I356" s="9">
        <v>2</v>
      </c>
      <c r="J356" s="9">
        <v>0.26</v>
      </c>
      <c r="K356" s="9">
        <v>0.2576</v>
      </c>
      <c r="L356" s="9">
        <v>0.56000000000000005</v>
      </c>
      <c r="M356" s="9">
        <v>0.16420000000000001</v>
      </c>
      <c r="N356" s="9">
        <v>0</v>
      </c>
      <c r="O356" s="9">
        <v>1</v>
      </c>
      <c r="P356" s="9">
        <v>1</v>
      </c>
      <c r="Q356" s="12" t="s">
        <v>78</v>
      </c>
      <c r="R356" s="13" t="s">
        <v>79</v>
      </c>
      <c r="S356" s="9" t="s">
        <v>80</v>
      </c>
      <c r="T356" s="11" t="s">
        <v>88</v>
      </c>
      <c r="U356" s="15" t="s">
        <v>89</v>
      </c>
      <c r="V356" s="12" t="s">
        <v>83</v>
      </c>
      <c r="W356" s="13" t="s">
        <v>90</v>
      </c>
      <c r="X356" s="9" t="s">
        <v>85</v>
      </c>
      <c r="Y356" s="12" t="s">
        <v>86</v>
      </c>
      <c r="Z356">
        <f t="shared" si="31"/>
        <v>441</v>
      </c>
      <c r="AA356" s="39">
        <f t="shared" si="32"/>
        <v>64.816438356164383</v>
      </c>
      <c r="AB356" s="39">
        <f t="shared" si="33"/>
        <v>2290.3799035181773</v>
      </c>
      <c r="AC356">
        <f t="shared" si="36"/>
        <v>0.99975333153741353</v>
      </c>
      <c r="AD356">
        <f t="shared" si="34"/>
        <v>0.99965072407426769</v>
      </c>
      <c r="AE356">
        <f t="shared" si="35"/>
        <v>28235</v>
      </c>
    </row>
    <row r="357" spans="1:31">
      <c r="A357" s="10">
        <v>356</v>
      </c>
      <c r="B357" s="31">
        <v>40559</v>
      </c>
      <c r="C357" s="10">
        <v>1</v>
      </c>
      <c r="D357" s="10">
        <v>0</v>
      </c>
      <c r="E357" s="10">
        <v>1</v>
      </c>
      <c r="F357" s="10">
        <v>7</v>
      </c>
      <c r="G357" s="10" t="b">
        <v>0</v>
      </c>
      <c r="H357" s="10">
        <v>0</v>
      </c>
      <c r="I357" s="10">
        <v>2</v>
      </c>
      <c r="J357" s="10">
        <v>0.24</v>
      </c>
      <c r="K357" s="10">
        <v>0.21210000000000001</v>
      </c>
      <c r="L357" s="10">
        <v>0.56000000000000005</v>
      </c>
      <c r="M357" s="10">
        <v>0.29849999999999999</v>
      </c>
      <c r="N357" s="10">
        <v>0</v>
      </c>
      <c r="O357" s="10">
        <v>3</v>
      </c>
      <c r="P357" s="10">
        <v>3</v>
      </c>
      <c r="Q357" s="12" t="s">
        <v>78</v>
      </c>
      <c r="R357" s="13" t="s">
        <v>79</v>
      </c>
      <c r="S357" s="10" t="s">
        <v>80</v>
      </c>
      <c r="T357" s="11" t="s">
        <v>88</v>
      </c>
      <c r="U357" s="15" t="s">
        <v>89</v>
      </c>
      <c r="V357" s="12" t="s">
        <v>83</v>
      </c>
      <c r="W357" s="15" t="s">
        <v>84</v>
      </c>
      <c r="X357" s="10" t="s">
        <v>85</v>
      </c>
      <c r="Y357" s="12" t="s">
        <v>86</v>
      </c>
      <c r="Z357">
        <f t="shared" si="31"/>
        <v>441</v>
      </c>
      <c r="AA357" s="39">
        <f t="shared" si="32"/>
        <v>64.816438356164383</v>
      </c>
      <c r="AB357" s="39">
        <f t="shared" si="33"/>
        <v>2292.1471143886133</v>
      </c>
      <c r="AC357">
        <f t="shared" si="36"/>
        <v>0.99975416397847117</v>
      </c>
      <c r="AD357">
        <f t="shared" si="34"/>
        <v>0.99965117847703178</v>
      </c>
      <c r="AE357">
        <f t="shared" si="35"/>
        <v>28235</v>
      </c>
    </row>
    <row r="358" spans="1:31">
      <c r="A358" s="9">
        <v>357</v>
      </c>
      <c r="B358" s="30">
        <v>40559</v>
      </c>
      <c r="C358" s="9">
        <v>1</v>
      </c>
      <c r="D358" s="9">
        <v>0</v>
      </c>
      <c r="E358" s="9">
        <v>1</v>
      </c>
      <c r="F358" s="9">
        <v>8</v>
      </c>
      <c r="G358" s="9" t="b">
        <v>0</v>
      </c>
      <c r="H358" s="9">
        <v>0</v>
      </c>
      <c r="I358" s="9">
        <v>1</v>
      </c>
      <c r="J358" s="9">
        <v>0.22</v>
      </c>
      <c r="K358" s="9">
        <v>0.21210000000000001</v>
      </c>
      <c r="L358" s="9">
        <v>0.55000000000000004</v>
      </c>
      <c r="M358" s="9">
        <v>0.28360000000000002</v>
      </c>
      <c r="N358" s="9">
        <v>0</v>
      </c>
      <c r="O358" s="9">
        <v>18</v>
      </c>
      <c r="P358" s="9">
        <v>18</v>
      </c>
      <c r="Q358" s="12" t="s">
        <v>78</v>
      </c>
      <c r="R358" s="13" t="s">
        <v>79</v>
      </c>
      <c r="S358" s="9" t="s">
        <v>80</v>
      </c>
      <c r="T358" s="13" t="s">
        <v>81</v>
      </c>
      <c r="U358" s="15" t="s">
        <v>89</v>
      </c>
      <c r="V358" s="12" t="s">
        <v>83</v>
      </c>
      <c r="W358" s="15" t="s">
        <v>84</v>
      </c>
      <c r="X358" s="9" t="s">
        <v>85</v>
      </c>
      <c r="Y358" s="12" t="s">
        <v>86</v>
      </c>
      <c r="Z358">
        <f t="shared" si="31"/>
        <v>441</v>
      </c>
      <c r="AA358" s="39">
        <f t="shared" si="32"/>
        <v>64.816438356164383</v>
      </c>
      <c r="AB358" s="39">
        <f t="shared" si="33"/>
        <v>2293.9186240792492</v>
      </c>
      <c r="AC358">
        <f t="shared" si="36"/>
        <v>0.99975483730366399</v>
      </c>
      <c r="AD358">
        <f t="shared" si="34"/>
        <v>0.99965160203160242</v>
      </c>
      <c r="AE358">
        <f t="shared" si="35"/>
        <v>28235</v>
      </c>
    </row>
    <row r="359" spans="1:31">
      <c r="A359" s="10">
        <v>358</v>
      </c>
      <c r="B359" s="31">
        <v>40559</v>
      </c>
      <c r="C359" s="10">
        <v>1</v>
      </c>
      <c r="D359" s="10">
        <v>0</v>
      </c>
      <c r="E359" s="10">
        <v>1</v>
      </c>
      <c r="F359" s="10">
        <v>9</v>
      </c>
      <c r="G359" s="10" t="b">
        <v>0</v>
      </c>
      <c r="H359" s="10">
        <v>0</v>
      </c>
      <c r="I359" s="10">
        <v>1</v>
      </c>
      <c r="J359" s="10">
        <v>0.22</v>
      </c>
      <c r="K359" s="10">
        <v>0.21210000000000001</v>
      </c>
      <c r="L359" s="10">
        <v>0.51</v>
      </c>
      <c r="M359" s="10">
        <v>0.25369999999999998</v>
      </c>
      <c r="N359" s="10">
        <v>3</v>
      </c>
      <c r="O359" s="10">
        <v>29</v>
      </c>
      <c r="P359" s="10">
        <v>32</v>
      </c>
      <c r="Q359" s="12" t="s">
        <v>78</v>
      </c>
      <c r="R359" s="13" t="s">
        <v>79</v>
      </c>
      <c r="S359" s="10" t="s">
        <v>80</v>
      </c>
      <c r="T359" s="13" t="s">
        <v>81</v>
      </c>
      <c r="U359" s="15" t="s">
        <v>89</v>
      </c>
      <c r="V359" s="11" t="s">
        <v>87</v>
      </c>
      <c r="W359" s="15" t="s">
        <v>84</v>
      </c>
      <c r="X359" s="10" t="s">
        <v>85</v>
      </c>
      <c r="Y359" s="12" t="s">
        <v>86</v>
      </c>
      <c r="Z359">
        <f t="shared" si="31"/>
        <v>441</v>
      </c>
      <c r="AA359" s="39">
        <f t="shared" si="32"/>
        <v>64.945054945054949</v>
      </c>
      <c r="AB359" s="39">
        <f t="shared" si="33"/>
        <v>2295.6956789386345</v>
      </c>
      <c r="AC359">
        <f t="shared" si="36"/>
        <v>0.99975516273948417</v>
      </c>
      <c r="AD359">
        <f t="shared" si="34"/>
        <v>0.99965181089801147</v>
      </c>
      <c r="AE359">
        <f t="shared" si="35"/>
        <v>28235</v>
      </c>
    </row>
    <row r="360" spans="1:31">
      <c r="A360" s="9">
        <v>359</v>
      </c>
      <c r="B360" s="30">
        <v>40559</v>
      </c>
      <c r="C360" s="9">
        <v>1</v>
      </c>
      <c r="D360" s="9">
        <v>0</v>
      </c>
      <c r="E360" s="9">
        <v>1</v>
      </c>
      <c r="F360" s="9">
        <v>10</v>
      </c>
      <c r="G360" s="9" t="b">
        <v>0</v>
      </c>
      <c r="H360" s="9">
        <v>0</v>
      </c>
      <c r="I360" s="9">
        <v>1</v>
      </c>
      <c r="J360" s="9">
        <v>0.22</v>
      </c>
      <c r="K360" s="9">
        <v>0.21210000000000001</v>
      </c>
      <c r="L360" s="9">
        <v>0.51</v>
      </c>
      <c r="M360" s="9">
        <v>0.28360000000000002</v>
      </c>
      <c r="N360" s="9">
        <v>8</v>
      </c>
      <c r="O360" s="9">
        <v>71</v>
      </c>
      <c r="P360" s="9">
        <v>79</v>
      </c>
      <c r="Q360" s="12" t="s">
        <v>78</v>
      </c>
      <c r="R360" s="13" t="s">
        <v>79</v>
      </c>
      <c r="S360" s="9" t="s">
        <v>80</v>
      </c>
      <c r="T360" s="13" t="s">
        <v>81</v>
      </c>
      <c r="U360" s="13" t="s">
        <v>91</v>
      </c>
      <c r="V360" s="13" t="s">
        <v>93</v>
      </c>
      <c r="W360" s="15" t="s">
        <v>84</v>
      </c>
      <c r="X360" s="9" t="s">
        <v>85</v>
      </c>
      <c r="Y360" s="12" t="s">
        <v>86</v>
      </c>
      <c r="Z360">
        <f t="shared" si="31"/>
        <v>441</v>
      </c>
      <c r="AA360" s="39">
        <f t="shared" si="32"/>
        <v>65.035812672176306</v>
      </c>
      <c r="AB360" s="39">
        <f t="shared" si="33"/>
        <v>2297.4780713419586</v>
      </c>
      <c r="AC360">
        <f t="shared" si="36"/>
        <v>0.99975532353394037</v>
      </c>
      <c r="AD360">
        <f t="shared" si="34"/>
        <v>0.99965186743315171</v>
      </c>
      <c r="AE360">
        <f t="shared" si="35"/>
        <v>28235</v>
      </c>
    </row>
    <row r="361" spans="1:31">
      <c r="A361" s="10">
        <v>360</v>
      </c>
      <c r="B361" s="31">
        <v>40559</v>
      </c>
      <c r="C361" s="10">
        <v>1</v>
      </c>
      <c r="D361" s="10">
        <v>0</v>
      </c>
      <c r="E361" s="10">
        <v>1</v>
      </c>
      <c r="F361" s="10">
        <v>11</v>
      </c>
      <c r="G361" s="10" t="b">
        <v>0</v>
      </c>
      <c r="H361" s="10">
        <v>0</v>
      </c>
      <c r="I361" s="10">
        <v>1</v>
      </c>
      <c r="J361" s="10">
        <v>0.24</v>
      </c>
      <c r="K361" s="10">
        <v>0.2273</v>
      </c>
      <c r="L361" s="10">
        <v>0.44</v>
      </c>
      <c r="M361" s="10">
        <v>0.25369999999999998</v>
      </c>
      <c r="N361" s="10">
        <v>23</v>
      </c>
      <c r="O361" s="10">
        <v>70</v>
      </c>
      <c r="P361" s="10">
        <v>93</v>
      </c>
      <c r="Q361" s="12" t="s">
        <v>78</v>
      </c>
      <c r="R361" s="13" t="s">
        <v>79</v>
      </c>
      <c r="S361" s="10" t="s">
        <v>80</v>
      </c>
      <c r="T361" s="13" t="s">
        <v>81</v>
      </c>
      <c r="U361" s="13" t="s">
        <v>91</v>
      </c>
      <c r="V361" s="13" t="s">
        <v>93</v>
      </c>
      <c r="W361" s="15" t="s">
        <v>84</v>
      </c>
      <c r="X361" s="10" t="s">
        <v>85</v>
      </c>
      <c r="Y361" s="12" t="s">
        <v>86</v>
      </c>
      <c r="Z361">
        <f t="shared" si="31"/>
        <v>441</v>
      </c>
      <c r="AA361" s="39">
        <f t="shared" si="32"/>
        <v>64.997237569060772</v>
      </c>
      <c r="AB361" s="39">
        <f t="shared" si="33"/>
        <v>2299.2676893630323</v>
      </c>
      <c r="AC361">
        <f t="shared" si="36"/>
        <v>0.99975535155160766</v>
      </c>
      <c r="AD361">
        <f t="shared" si="34"/>
        <v>0.99965197594980604</v>
      </c>
      <c r="AE361">
        <f t="shared" si="35"/>
        <v>28235</v>
      </c>
    </row>
    <row r="362" spans="1:31">
      <c r="A362" s="9">
        <v>361</v>
      </c>
      <c r="B362" s="30">
        <v>40559</v>
      </c>
      <c r="C362" s="9">
        <v>1</v>
      </c>
      <c r="D362" s="9">
        <v>0</v>
      </c>
      <c r="E362" s="9">
        <v>1</v>
      </c>
      <c r="F362" s="9">
        <v>12</v>
      </c>
      <c r="G362" s="9" t="b">
        <v>0</v>
      </c>
      <c r="H362" s="9">
        <v>0</v>
      </c>
      <c r="I362" s="9">
        <v>1</v>
      </c>
      <c r="J362" s="9">
        <v>0.24</v>
      </c>
      <c r="K362" s="9">
        <v>0.21210000000000001</v>
      </c>
      <c r="L362" s="9">
        <v>0.41</v>
      </c>
      <c r="M362" s="9">
        <v>0.28360000000000002</v>
      </c>
      <c r="N362" s="9">
        <v>29</v>
      </c>
      <c r="O362" s="9">
        <v>75</v>
      </c>
      <c r="P362" s="9">
        <v>104</v>
      </c>
      <c r="Q362" s="12" t="s">
        <v>78</v>
      </c>
      <c r="R362" s="13" t="s">
        <v>79</v>
      </c>
      <c r="S362" s="9" t="s">
        <v>80</v>
      </c>
      <c r="T362" s="13" t="s">
        <v>81</v>
      </c>
      <c r="U362" s="11" t="s">
        <v>92</v>
      </c>
      <c r="V362" s="13" t="s">
        <v>93</v>
      </c>
      <c r="W362" s="15" t="s">
        <v>84</v>
      </c>
      <c r="X362" s="9" t="s">
        <v>85</v>
      </c>
      <c r="Y362" s="12" t="s">
        <v>86</v>
      </c>
      <c r="Z362">
        <f t="shared" si="31"/>
        <v>441</v>
      </c>
      <c r="AA362" s="39">
        <f t="shared" si="32"/>
        <v>64.9196675900277</v>
      </c>
      <c r="AB362" s="39">
        <f t="shared" si="33"/>
        <v>2301.0621211198395</v>
      </c>
      <c r="AC362">
        <f t="shared" si="36"/>
        <v>0.99975542428000375</v>
      </c>
      <c r="AD362">
        <f t="shared" si="34"/>
        <v>0.99965231917351127</v>
      </c>
      <c r="AE362">
        <f t="shared" si="35"/>
        <v>28235</v>
      </c>
    </row>
    <row r="363" spans="1:31">
      <c r="A363" s="10">
        <v>362</v>
      </c>
      <c r="B363" s="31">
        <v>40559</v>
      </c>
      <c r="C363" s="10">
        <v>1</v>
      </c>
      <c r="D363" s="10">
        <v>0</v>
      </c>
      <c r="E363" s="10">
        <v>1</v>
      </c>
      <c r="F363" s="10">
        <v>13</v>
      </c>
      <c r="G363" s="10" t="b">
        <v>0</v>
      </c>
      <c r="H363" s="10">
        <v>0</v>
      </c>
      <c r="I363" s="10">
        <v>1</v>
      </c>
      <c r="J363" s="10">
        <v>0.26</v>
      </c>
      <c r="K363" s="10">
        <v>0.2273</v>
      </c>
      <c r="L363" s="10">
        <v>0.35</v>
      </c>
      <c r="M363" s="10">
        <v>0.29849999999999999</v>
      </c>
      <c r="N363" s="10">
        <v>23</v>
      </c>
      <c r="O363" s="10">
        <v>95</v>
      </c>
      <c r="P363" s="10">
        <v>118</v>
      </c>
      <c r="Q363" s="12" t="s">
        <v>78</v>
      </c>
      <c r="R363" s="13" t="s">
        <v>79</v>
      </c>
      <c r="S363" s="10" t="s">
        <v>80</v>
      </c>
      <c r="T363" s="13" t="s">
        <v>81</v>
      </c>
      <c r="U363" s="11" t="s">
        <v>92</v>
      </c>
      <c r="V363" s="13" t="s">
        <v>93</v>
      </c>
      <c r="W363" s="13" t="s">
        <v>90</v>
      </c>
      <c r="X363" s="10" t="s">
        <v>85</v>
      </c>
      <c r="Y363" s="12" t="s">
        <v>86</v>
      </c>
      <c r="Z363">
        <f t="shared" si="31"/>
        <v>441</v>
      </c>
      <c r="AA363" s="39">
        <f t="shared" si="32"/>
        <v>64.811111111111117</v>
      </c>
      <c r="AB363" s="39">
        <f t="shared" si="33"/>
        <v>2302.8611594357176</v>
      </c>
      <c r="AC363">
        <f t="shared" si="36"/>
        <v>0.99975558757565774</v>
      </c>
      <c r="AD363">
        <f t="shared" si="34"/>
        <v>0.99965289247598177</v>
      </c>
      <c r="AE363">
        <f t="shared" si="35"/>
        <v>28235</v>
      </c>
    </row>
    <row r="364" spans="1:31">
      <c r="A364" s="9">
        <v>363</v>
      </c>
      <c r="B364" s="30">
        <v>40559</v>
      </c>
      <c r="C364" s="9">
        <v>1</v>
      </c>
      <c r="D364" s="9">
        <v>0</v>
      </c>
      <c r="E364" s="9">
        <v>1</v>
      </c>
      <c r="F364" s="9">
        <v>14</v>
      </c>
      <c r="G364" s="9" t="b">
        <v>0</v>
      </c>
      <c r="H364" s="9">
        <v>0</v>
      </c>
      <c r="I364" s="9">
        <v>1</v>
      </c>
      <c r="J364" s="9">
        <v>0.28000000000000003</v>
      </c>
      <c r="K364" s="9">
        <v>0.2727</v>
      </c>
      <c r="L364" s="9">
        <v>0.36</v>
      </c>
      <c r="M364" s="9">
        <v>0.25369999999999998</v>
      </c>
      <c r="N364" s="9">
        <v>22</v>
      </c>
      <c r="O364" s="9">
        <v>69</v>
      </c>
      <c r="P364" s="9">
        <v>91</v>
      </c>
      <c r="Q364" s="12" t="s">
        <v>78</v>
      </c>
      <c r="R364" s="13" t="s">
        <v>79</v>
      </c>
      <c r="S364" s="9" t="s">
        <v>80</v>
      </c>
      <c r="T364" s="13" t="s">
        <v>81</v>
      </c>
      <c r="U364" s="13" t="s">
        <v>94</v>
      </c>
      <c r="V364" s="13" t="s">
        <v>93</v>
      </c>
      <c r="W364" s="13" t="s">
        <v>90</v>
      </c>
      <c r="X364" s="9" t="s">
        <v>85</v>
      </c>
      <c r="Y364" s="12" t="s">
        <v>86</v>
      </c>
      <c r="Z364">
        <f t="shared" si="31"/>
        <v>441</v>
      </c>
      <c r="AA364" s="39">
        <f t="shared" si="32"/>
        <v>64.66295264623956</v>
      </c>
      <c r="AB364" s="39">
        <f t="shared" si="33"/>
        <v>2304.6648132905138</v>
      </c>
      <c r="AC364">
        <f t="shared" si="36"/>
        <v>0.99975584383019789</v>
      </c>
      <c r="AD364">
        <f t="shared" si="34"/>
        <v>0.99965389584318975</v>
      </c>
      <c r="AE364">
        <f t="shared" si="35"/>
        <v>28235</v>
      </c>
    </row>
    <row r="365" spans="1:31">
      <c r="A365" s="10">
        <v>364</v>
      </c>
      <c r="B365" s="31">
        <v>40559</v>
      </c>
      <c r="C365" s="10">
        <v>1</v>
      </c>
      <c r="D365" s="10">
        <v>0</v>
      </c>
      <c r="E365" s="10">
        <v>1</v>
      </c>
      <c r="F365" s="10">
        <v>15</v>
      </c>
      <c r="G365" s="10" t="b">
        <v>0</v>
      </c>
      <c r="H365" s="10">
        <v>0</v>
      </c>
      <c r="I365" s="10">
        <v>1</v>
      </c>
      <c r="J365" s="10">
        <v>0.26</v>
      </c>
      <c r="K365" s="10">
        <v>0.2424</v>
      </c>
      <c r="L365" s="10">
        <v>0.38</v>
      </c>
      <c r="M365" s="10">
        <v>0.25369999999999998</v>
      </c>
      <c r="N365" s="10">
        <v>35</v>
      </c>
      <c r="O365" s="10">
        <v>78</v>
      </c>
      <c r="P365" s="10">
        <v>113</v>
      </c>
      <c r="Q365" s="12" t="s">
        <v>78</v>
      </c>
      <c r="R365" s="13" t="s">
        <v>79</v>
      </c>
      <c r="S365" s="10" t="s">
        <v>80</v>
      </c>
      <c r="T365" s="13" t="s">
        <v>81</v>
      </c>
      <c r="U365" s="13" t="s">
        <v>94</v>
      </c>
      <c r="V365" s="13" t="s">
        <v>93</v>
      </c>
      <c r="W365" s="13" t="s">
        <v>90</v>
      </c>
      <c r="X365" s="10" t="s">
        <v>85</v>
      </c>
      <c r="Y365" s="12" t="s">
        <v>86</v>
      </c>
      <c r="Z365">
        <f t="shared" si="31"/>
        <v>441</v>
      </c>
      <c r="AA365" s="39">
        <f t="shared" si="32"/>
        <v>64.589385474860336</v>
      </c>
      <c r="AB365" s="39">
        <f t="shared" si="33"/>
        <v>2306.4718397828756</v>
      </c>
      <c r="AC365">
        <f t="shared" si="36"/>
        <v>0.99975585565779146</v>
      </c>
      <c r="AD365">
        <f t="shared" si="34"/>
        <v>0.99965433485173494</v>
      </c>
      <c r="AE365">
        <f t="shared" si="35"/>
        <v>28235</v>
      </c>
    </row>
    <row r="366" spans="1:31">
      <c r="A366" s="9">
        <v>365</v>
      </c>
      <c r="B366" s="30">
        <v>40559</v>
      </c>
      <c r="C366" s="9">
        <v>1</v>
      </c>
      <c r="D366" s="9">
        <v>0</v>
      </c>
      <c r="E366" s="9">
        <v>1</v>
      </c>
      <c r="F366" s="9">
        <v>16</v>
      </c>
      <c r="G366" s="9" t="b">
        <v>0</v>
      </c>
      <c r="H366" s="9">
        <v>0</v>
      </c>
      <c r="I366" s="9">
        <v>1</v>
      </c>
      <c r="J366" s="9">
        <v>0.24</v>
      </c>
      <c r="K366" s="9">
        <v>0.2273</v>
      </c>
      <c r="L366" s="9">
        <v>0.38</v>
      </c>
      <c r="M366" s="9">
        <v>0.22389999999999999</v>
      </c>
      <c r="N366" s="9">
        <v>22</v>
      </c>
      <c r="O366" s="9">
        <v>77</v>
      </c>
      <c r="P366" s="9">
        <v>99</v>
      </c>
      <c r="Q366" s="12" t="s">
        <v>78</v>
      </c>
      <c r="R366" s="13" t="s">
        <v>79</v>
      </c>
      <c r="S366" s="9" t="s">
        <v>80</v>
      </c>
      <c r="T366" s="13" t="s">
        <v>81</v>
      </c>
      <c r="U366" s="13" t="s">
        <v>94</v>
      </c>
      <c r="V366" s="13" t="s">
        <v>93</v>
      </c>
      <c r="W366" s="15" t="s">
        <v>84</v>
      </c>
      <c r="X366" s="9" t="s">
        <v>85</v>
      </c>
      <c r="Y366" s="12" t="s">
        <v>86</v>
      </c>
      <c r="Z366">
        <f t="shared" si="31"/>
        <v>441</v>
      </c>
      <c r="AA366" s="39">
        <f t="shared" si="32"/>
        <v>64.453781512605048</v>
      </c>
      <c r="AB366" s="39">
        <f t="shared" si="33"/>
        <v>2308.2838735162895</v>
      </c>
      <c r="AC366">
        <f t="shared" si="36"/>
        <v>0.99975605488808339</v>
      </c>
      <c r="AD366">
        <f t="shared" si="34"/>
        <v>0.99965515744968991</v>
      </c>
      <c r="AE366">
        <f t="shared" si="35"/>
        <v>28235</v>
      </c>
    </row>
    <row r="367" spans="1:31">
      <c r="A367" s="10">
        <v>366</v>
      </c>
      <c r="B367" s="31">
        <v>40559</v>
      </c>
      <c r="C367" s="10">
        <v>1</v>
      </c>
      <c r="D367" s="10">
        <v>0</v>
      </c>
      <c r="E367" s="10">
        <v>1</v>
      </c>
      <c r="F367" s="10">
        <v>17</v>
      </c>
      <c r="G367" s="10" t="b">
        <v>0</v>
      </c>
      <c r="H367" s="10">
        <v>0</v>
      </c>
      <c r="I367" s="10">
        <v>1</v>
      </c>
      <c r="J367" s="10">
        <v>0.22</v>
      </c>
      <c r="K367" s="10">
        <v>0.21210000000000001</v>
      </c>
      <c r="L367" s="10">
        <v>0.37</v>
      </c>
      <c r="M367" s="10">
        <v>0.25369999999999998</v>
      </c>
      <c r="N367" s="10">
        <v>23</v>
      </c>
      <c r="O367" s="10">
        <v>82</v>
      </c>
      <c r="P367" s="10">
        <v>105</v>
      </c>
      <c r="Q367" s="12" t="s">
        <v>78</v>
      </c>
      <c r="R367" s="13" t="s">
        <v>79</v>
      </c>
      <c r="S367" s="10" t="s">
        <v>80</v>
      </c>
      <c r="T367" s="13" t="s">
        <v>81</v>
      </c>
      <c r="U367" s="15" t="s">
        <v>95</v>
      </c>
      <c r="V367" s="13" t="s">
        <v>93</v>
      </c>
      <c r="W367" s="15" t="s">
        <v>84</v>
      </c>
      <c r="X367" s="10" t="s">
        <v>85</v>
      </c>
      <c r="Y367" s="12" t="s">
        <v>86</v>
      </c>
      <c r="Z367">
        <f t="shared" si="31"/>
        <v>441</v>
      </c>
      <c r="AA367" s="39">
        <f t="shared" si="32"/>
        <v>64.356741573033702</v>
      </c>
      <c r="AB367" s="39">
        <f t="shared" si="33"/>
        <v>2310.0997447156547</v>
      </c>
      <c r="AC367">
        <f t="shared" si="36"/>
        <v>0.99975617427325403</v>
      </c>
      <c r="AD367">
        <f t="shared" si="34"/>
        <v>0.99965570219873212</v>
      </c>
      <c r="AE367">
        <f t="shared" si="35"/>
        <v>28235</v>
      </c>
    </row>
    <row r="368" spans="1:31">
      <c r="A368" s="9">
        <v>367</v>
      </c>
      <c r="B368" s="30">
        <v>40559</v>
      </c>
      <c r="C368" s="9">
        <v>1</v>
      </c>
      <c r="D368" s="9">
        <v>0</v>
      </c>
      <c r="E368" s="9">
        <v>1</v>
      </c>
      <c r="F368" s="9">
        <v>18</v>
      </c>
      <c r="G368" s="9" t="b">
        <v>0</v>
      </c>
      <c r="H368" s="9">
        <v>0</v>
      </c>
      <c r="I368" s="9">
        <v>1</v>
      </c>
      <c r="J368" s="9">
        <v>0.2</v>
      </c>
      <c r="K368" s="9">
        <v>0.21210000000000001</v>
      </c>
      <c r="L368" s="9">
        <v>0.4</v>
      </c>
      <c r="M368" s="9">
        <v>0.16420000000000001</v>
      </c>
      <c r="N368" s="9">
        <v>11</v>
      </c>
      <c r="O368" s="9">
        <v>56</v>
      </c>
      <c r="P368" s="9">
        <v>67</v>
      </c>
      <c r="Q368" s="12" t="s">
        <v>78</v>
      </c>
      <c r="R368" s="13" t="s">
        <v>79</v>
      </c>
      <c r="S368" s="9" t="s">
        <v>80</v>
      </c>
      <c r="T368" s="13" t="s">
        <v>81</v>
      </c>
      <c r="U368" s="15" t="s">
        <v>95</v>
      </c>
      <c r="V368" s="11" t="s">
        <v>87</v>
      </c>
      <c r="W368" s="15" t="s">
        <v>84</v>
      </c>
      <c r="X368" s="9" t="s">
        <v>85</v>
      </c>
      <c r="Y368" s="12" t="s">
        <v>86</v>
      </c>
      <c r="Z368">
        <f t="shared" si="31"/>
        <v>441</v>
      </c>
      <c r="AA368" s="39">
        <f t="shared" si="32"/>
        <v>64.242253521126756</v>
      </c>
      <c r="AB368" s="39">
        <f t="shared" si="33"/>
        <v>2311.9201136496822</v>
      </c>
      <c r="AC368">
        <f t="shared" si="36"/>
        <v>0.99975641241114466</v>
      </c>
      <c r="AD368">
        <f t="shared" si="34"/>
        <v>0.99965638185638717</v>
      </c>
      <c r="AE368">
        <f t="shared" si="35"/>
        <v>28235</v>
      </c>
    </row>
    <row r="369" spans="1:31">
      <c r="A369" s="10">
        <v>368</v>
      </c>
      <c r="B369" s="31">
        <v>40559</v>
      </c>
      <c r="C369" s="10">
        <v>1</v>
      </c>
      <c r="D369" s="10">
        <v>0</v>
      </c>
      <c r="E369" s="10">
        <v>1</v>
      </c>
      <c r="F369" s="10">
        <v>19</v>
      </c>
      <c r="G369" s="10" t="b">
        <v>0</v>
      </c>
      <c r="H369" s="10">
        <v>0</v>
      </c>
      <c r="I369" s="10">
        <v>1</v>
      </c>
      <c r="J369" s="10">
        <v>0.18</v>
      </c>
      <c r="K369" s="10">
        <v>0.19700000000000001</v>
      </c>
      <c r="L369" s="10">
        <v>0.47</v>
      </c>
      <c r="M369" s="10">
        <v>0.1343</v>
      </c>
      <c r="N369" s="10">
        <v>14</v>
      </c>
      <c r="O369" s="10">
        <v>47</v>
      </c>
      <c r="P369" s="10">
        <v>61</v>
      </c>
      <c r="Q369" s="12" t="s">
        <v>78</v>
      </c>
      <c r="R369" s="13" t="s">
        <v>79</v>
      </c>
      <c r="S369" s="10" t="s">
        <v>80</v>
      </c>
      <c r="T369" s="13" t="s">
        <v>81</v>
      </c>
      <c r="U369" s="15" t="s">
        <v>95</v>
      </c>
      <c r="V369" s="11" t="s">
        <v>87</v>
      </c>
      <c r="W369" s="15" t="s">
        <v>84</v>
      </c>
      <c r="X369" s="10" t="s">
        <v>85</v>
      </c>
      <c r="Y369" s="12" t="s">
        <v>86</v>
      </c>
      <c r="Z369">
        <f t="shared" si="31"/>
        <v>441</v>
      </c>
      <c r="AA369" s="39">
        <f t="shared" si="32"/>
        <v>64.234463276836152</v>
      </c>
      <c r="AB369" s="39">
        <f t="shared" si="33"/>
        <v>2313.7430726906064</v>
      </c>
      <c r="AC369">
        <f t="shared" si="36"/>
        <v>0.99975642106102514</v>
      </c>
      <c r="AD369">
        <f t="shared" si="34"/>
        <v>0.99965648825650977</v>
      </c>
      <c r="AE369">
        <f t="shared" si="35"/>
        <v>28235</v>
      </c>
    </row>
    <row r="370" spans="1:31">
      <c r="A370" s="9">
        <v>369</v>
      </c>
      <c r="B370" s="30">
        <v>40559</v>
      </c>
      <c r="C370" s="9">
        <v>1</v>
      </c>
      <c r="D370" s="9">
        <v>0</v>
      </c>
      <c r="E370" s="9">
        <v>1</v>
      </c>
      <c r="F370" s="9">
        <v>20</v>
      </c>
      <c r="G370" s="9" t="b">
        <v>0</v>
      </c>
      <c r="H370" s="9">
        <v>0</v>
      </c>
      <c r="I370" s="9">
        <v>1</v>
      </c>
      <c r="J370" s="9">
        <v>0.18</v>
      </c>
      <c r="K370" s="9">
        <v>0.19700000000000001</v>
      </c>
      <c r="L370" s="9">
        <v>0.47</v>
      </c>
      <c r="M370" s="9">
        <v>0.16420000000000001</v>
      </c>
      <c r="N370" s="9">
        <v>7</v>
      </c>
      <c r="O370" s="9">
        <v>50</v>
      </c>
      <c r="P370" s="9">
        <v>57</v>
      </c>
      <c r="Q370" s="12" t="s">
        <v>78</v>
      </c>
      <c r="R370" s="13" t="s">
        <v>79</v>
      </c>
      <c r="S370" s="9" t="s">
        <v>80</v>
      </c>
      <c r="T370" s="13" t="s">
        <v>81</v>
      </c>
      <c r="U370" s="16" t="s">
        <v>97</v>
      </c>
      <c r="V370" s="11" t="s">
        <v>87</v>
      </c>
      <c r="W370" s="15" t="s">
        <v>84</v>
      </c>
      <c r="X370" s="9" t="s">
        <v>85</v>
      </c>
      <c r="Y370" s="12" t="s">
        <v>86</v>
      </c>
      <c r="Z370">
        <f t="shared" si="31"/>
        <v>441</v>
      </c>
      <c r="AA370" s="39">
        <f t="shared" si="32"/>
        <v>64.243626062322946</v>
      </c>
      <c r="AB370" s="39">
        <f t="shared" si="33"/>
        <v>2315.569988080309</v>
      </c>
      <c r="AC370">
        <f t="shared" si="36"/>
        <v>0.99975642889253746</v>
      </c>
      <c r="AD370">
        <f t="shared" si="34"/>
        <v>0.99965651620845686</v>
      </c>
      <c r="AE370">
        <f t="shared" si="35"/>
        <v>28235</v>
      </c>
    </row>
    <row r="371" spans="1:31">
      <c r="A371" s="10">
        <v>370</v>
      </c>
      <c r="B371" s="31">
        <v>40559</v>
      </c>
      <c r="C371" s="10">
        <v>1</v>
      </c>
      <c r="D371" s="10">
        <v>0</v>
      </c>
      <c r="E371" s="10">
        <v>1</v>
      </c>
      <c r="F371" s="10">
        <v>21</v>
      </c>
      <c r="G371" s="10" t="b">
        <v>0</v>
      </c>
      <c r="H371" s="10">
        <v>0</v>
      </c>
      <c r="I371" s="10">
        <v>1</v>
      </c>
      <c r="J371" s="10">
        <v>0.18</v>
      </c>
      <c r="K371" s="10">
        <v>0.19700000000000001</v>
      </c>
      <c r="L371" s="10">
        <v>0.51</v>
      </c>
      <c r="M371" s="10">
        <v>0.16420000000000001</v>
      </c>
      <c r="N371" s="10">
        <v>6</v>
      </c>
      <c r="O371" s="10">
        <v>22</v>
      </c>
      <c r="P371" s="10">
        <v>28</v>
      </c>
      <c r="Q371" s="12" t="s">
        <v>78</v>
      </c>
      <c r="R371" s="13" t="s">
        <v>79</v>
      </c>
      <c r="S371" s="10" t="s">
        <v>80</v>
      </c>
      <c r="T371" s="13" t="s">
        <v>81</v>
      </c>
      <c r="U371" s="16" t="s">
        <v>97</v>
      </c>
      <c r="V371" s="12" t="s">
        <v>83</v>
      </c>
      <c r="W371" s="15" t="s">
        <v>84</v>
      </c>
      <c r="X371" s="10" t="s">
        <v>85</v>
      </c>
      <c r="Y371" s="12" t="s">
        <v>86</v>
      </c>
      <c r="Z371">
        <f t="shared" si="31"/>
        <v>441</v>
      </c>
      <c r="AA371" s="39">
        <f t="shared" si="32"/>
        <v>64.264204545454547</v>
      </c>
      <c r="AB371" s="39">
        <f t="shared" si="33"/>
        <v>2317.4009817891679</v>
      </c>
      <c r="AC371">
        <f t="shared" si="36"/>
        <v>0.99975643011458892</v>
      </c>
      <c r="AD371">
        <f t="shared" si="34"/>
        <v>0.99965653000554278</v>
      </c>
      <c r="AE371">
        <f t="shared" si="35"/>
        <v>28235</v>
      </c>
    </row>
    <row r="372" spans="1:31">
      <c r="A372" s="9">
        <v>371</v>
      </c>
      <c r="B372" s="30">
        <v>40559</v>
      </c>
      <c r="C372" s="9">
        <v>1</v>
      </c>
      <c r="D372" s="9">
        <v>0</v>
      </c>
      <c r="E372" s="9">
        <v>1</v>
      </c>
      <c r="F372" s="9">
        <v>22</v>
      </c>
      <c r="G372" s="9" t="b">
        <v>0</v>
      </c>
      <c r="H372" s="9">
        <v>0</v>
      </c>
      <c r="I372" s="9">
        <v>2</v>
      </c>
      <c r="J372" s="9">
        <v>0.2</v>
      </c>
      <c r="K372" s="9">
        <v>0.21210000000000001</v>
      </c>
      <c r="L372" s="9">
        <v>0.49</v>
      </c>
      <c r="M372" s="9">
        <v>0.1343</v>
      </c>
      <c r="N372" s="9">
        <v>2</v>
      </c>
      <c r="O372" s="9">
        <v>19</v>
      </c>
      <c r="P372" s="9">
        <v>21</v>
      </c>
      <c r="Q372" s="12" t="s">
        <v>78</v>
      </c>
      <c r="R372" s="13" t="s">
        <v>79</v>
      </c>
      <c r="S372" s="9" t="s">
        <v>80</v>
      </c>
      <c r="T372" s="11" t="s">
        <v>88</v>
      </c>
      <c r="U372" s="16" t="s">
        <v>97</v>
      </c>
      <c r="V372" s="12" t="s">
        <v>83</v>
      </c>
      <c r="W372" s="15" t="s">
        <v>84</v>
      </c>
      <c r="X372" s="9" t="s">
        <v>85</v>
      </c>
      <c r="Y372" s="12" t="s">
        <v>86</v>
      </c>
      <c r="Z372">
        <f t="shared" si="31"/>
        <v>441</v>
      </c>
      <c r="AA372" s="39">
        <f t="shared" si="32"/>
        <v>64.367521367521363</v>
      </c>
      <c r="AB372" s="39">
        <f t="shared" si="33"/>
        <v>2319.2341367394938</v>
      </c>
      <c r="AC372">
        <f t="shared" si="36"/>
        <v>0.99975652458762765</v>
      </c>
      <c r="AD372">
        <f t="shared" si="34"/>
        <v>0.99965660668901479</v>
      </c>
      <c r="AE372">
        <f t="shared" si="35"/>
        <v>28235</v>
      </c>
    </row>
    <row r="373" spans="1:31">
      <c r="A373" s="10">
        <v>372</v>
      </c>
      <c r="B373" s="31">
        <v>40559</v>
      </c>
      <c r="C373" s="10">
        <v>1</v>
      </c>
      <c r="D373" s="10">
        <v>0</v>
      </c>
      <c r="E373" s="10">
        <v>1</v>
      </c>
      <c r="F373" s="10">
        <v>23</v>
      </c>
      <c r="G373" s="10" t="b">
        <v>0</v>
      </c>
      <c r="H373" s="10">
        <v>0</v>
      </c>
      <c r="I373" s="10">
        <v>2</v>
      </c>
      <c r="J373" s="10">
        <v>0.2</v>
      </c>
      <c r="K373" s="10">
        <v>0.2273</v>
      </c>
      <c r="L373" s="10">
        <v>0.4</v>
      </c>
      <c r="M373" s="10">
        <v>0.1045</v>
      </c>
      <c r="N373" s="10">
        <v>0</v>
      </c>
      <c r="O373" s="10">
        <v>18</v>
      </c>
      <c r="P373" s="10">
        <v>18</v>
      </c>
      <c r="Q373" s="12" t="s">
        <v>78</v>
      </c>
      <c r="R373" s="13" t="s">
        <v>79</v>
      </c>
      <c r="S373" s="10" t="s">
        <v>80</v>
      </c>
      <c r="T373" s="11" t="s">
        <v>88</v>
      </c>
      <c r="U373" s="16" t="s">
        <v>97</v>
      </c>
      <c r="V373" s="12" t="s">
        <v>83</v>
      </c>
      <c r="W373" s="15" t="s">
        <v>84</v>
      </c>
      <c r="X373" s="10" t="s">
        <v>85</v>
      </c>
      <c r="Y373" s="12" t="s">
        <v>86</v>
      </c>
      <c r="Z373">
        <f t="shared" si="31"/>
        <v>441</v>
      </c>
      <c r="AA373" s="39">
        <f t="shared" si="32"/>
        <v>64.367521367521363</v>
      </c>
      <c r="AB373" s="39">
        <f t="shared" si="33"/>
        <v>2321.071032635447</v>
      </c>
      <c r="AC373">
        <f t="shared" si="36"/>
        <v>0.99975673828829059</v>
      </c>
      <c r="AD373">
        <f t="shared" si="34"/>
        <v>0.99965672118526094</v>
      </c>
      <c r="AE373">
        <f t="shared" si="35"/>
        <v>28235</v>
      </c>
    </row>
    <row r="374" spans="1:31">
      <c r="A374" s="9">
        <v>373</v>
      </c>
      <c r="B374" s="30">
        <v>40560</v>
      </c>
      <c r="C374" s="9">
        <v>1</v>
      </c>
      <c r="D374" s="9">
        <v>0</v>
      </c>
      <c r="E374" s="9">
        <v>1</v>
      </c>
      <c r="F374" s="9">
        <v>0</v>
      </c>
      <c r="G374" s="9" t="b">
        <v>1</v>
      </c>
      <c r="H374" s="9">
        <v>1</v>
      </c>
      <c r="I374" s="9">
        <v>2</v>
      </c>
      <c r="J374" s="9">
        <v>0.2</v>
      </c>
      <c r="K374" s="9">
        <v>0.19700000000000001</v>
      </c>
      <c r="L374" s="9">
        <v>0.47</v>
      </c>
      <c r="M374" s="9">
        <v>0.22389999999999999</v>
      </c>
      <c r="N374" s="9">
        <v>1</v>
      </c>
      <c r="O374" s="9">
        <v>16</v>
      </c>
      <c r="P374" s="9">
        <v>17</v>
      </c>
      <c r="Q374" s="13" t="s">
        <v>98</v>
      </c>
      <c r="R374" s="17" t="s">
        <v>100</v>
      </c>
      <c r="S374" s="9" t="s">
        <v>80</v>
      </c>
      <c r="T374" s="11" t="s">
        <v>88</v>
      </c>
      <c r="U374" s="14" t="s">
        <v>82</v>
      </c>
      <c r="V374" s="12" t="s">
        <v>83</v>
      </c>
      <c r="W374" s="15" t="s">
        <v>84</v>
      </c>
      <c r="X374" s="9" t="s">
        <v>85</v>
      </c>
      <c r="Y374" s="12" t="s">
        <v>86</v>
      </c>
      <c r="Z374">
        <f t="shared" si="31"/>
        <v>441</v>
      </c>
      <c r="AA374" s="39">
        <f t="shared" si="32"/>
        <v>64.367521367521363</v>
      </c>
      <c r="AB374" s="39">
        <f t="shared" si="33"/>
        <v>2322.9120250034312</v>
      </c>
      <c r="AC374">
        <f t="shared" si="36"/>
        <v>0.99975698781990308</v>
      </c>
      <c r="AD374">
        <f t="shared" si="34"/>
        <v>0.99965679141028707</v>
      </c>
      <c r="AE374">
        <f t="shared" si="35"/>
        <v>28235</v>
      </c>
    </row>
    <row r="375" spans="1:31">
      <c r="A375" s="10">
        <v>374</v>
      </c>
      <c r="B375" s="31">
        <v>40560</v>
      </c>
      <c r="C375" s="10">
        <v>1</v>
      </c>
      <c r="D375" s="10">
        <v>0</v>
      </c>
      <c r="E375" s="10">
        <v>1</v>
      </c>
      <c r="F375" s="10">
        <v>1</v>
      </c>
      <c r="G375" s="10" t="b">
        <v>1</v>
      </c>
      <c r="H375" s="10">
        <v>1</v>
      </c>
      <c r="I375" s="10">
        <v>2</v>
      </c>
      <c r="J375" s="10">
        <v>0.2</v>
      </c>
      <c r="K375" s="10">
        <v>0.19700000000000001</v>
      </c>
      <c r="L375" s="10">
        <v>0.44</v>
      </c>
      <c r="M375" s="10">
        <v>0.19400000000000001</v>
      </c>
      <c r="N375" s="10">
        <v>1</v>
      </c>
      <c r="O375" s="10">
        <v>15</v>
      </c>
      <c r="P375" s="10">
        <v>16</v>
      </c>
      <c r="Q375" s="13" t="s">
        <v>98</v>
      </c>
      <c r="R375" s="17" t="s">
        <v>100</v>
      </c>
      <c r="S375" s="10" t="s">
        <v>80</v>
      </c>
      <c r="T375" s="11" t="s">
        <v>88</v>
      </c>
      <c r="U375" s="14" t="s">
        <v>82</v>
      </c>
      <c r="V375" s="12" t="s">
        <v>83</v>
      </c>
      <c r="W375" s="15" t="s">
        <v>84</v>
      </c>
      <c r="X375" s="10" t="s">
        <v>85</v>
      </c>
      <c r="Y375" s="12" t="s">
        <v>86</v>
      </c>
      <c r="Z375">
        <f t="shared" si="31"/>
        <v>440</v>
      </c>
      <c r="AA375" s="39">
        <f t="shared" si="32"/>
        <v>64.367521367521363</v>
      </c>
      <c r="AB375" s="39">
        <f t="shared" si="33"/>
        <v>2324.7573116546623</v>
      </c>
      <c r="AC375">
        <f t="shared" si="36"/>
        <v>0.99975725047669706</v>
      </c>
      <c r="AD375">
        <f t="shared" si="34"/>
        <v>0.99965692365846637</v>
      </c>
      <c r="AE375">
        <f t="shared" si="35"/>
        <v>28218</v>
      </c>
    </row>
    <row r="376" spans="1:31">
      <c r="A376" s="9">
        <v>375</v>
      </c>
      <c r="B376" s="30">
        <v>40560</v>
      </c>
      <c r="C376" s="9">
        <v>1</v>
      </c>
      <c r="D376" s="9">
        <v>0</v>
      </c>
      <c r="E376" s="9">
        <v>1</v>
      </c>
      <c r="F376" s="9">
        <v>2</v>
      </c>
      <c r="G376" s="9" t="b">
        <v>1</v>
      </c>
      <c r="H376" s="9">
        <v>1</v>
      </c>
      <c r="I376" s="9">
        <v>2</v>
      </c>
      <c r="J376" s="9">
        <v>0.18</v>
      </c>
      <c r="K376" s="9">
        <v>0.16669999999999999</v>
      </c>
      <c r="L376" s="9">
        <v>0.43</v>
      </c>
      <c r="M376" s="9">
        <v>0.25369999999999998</v>
      </c>
      <c r="N376" s="9">
        <v>0</v>
      </c>
      <c r="O376" s="9">
        <v>8</v>
      </c>
      <c r="P376" s="9">
        <v>8</v>
      </c>
      <c r="Q376" s="13" t="s">
        <v>98</v>
      </c>
      <c r="R376" s="17" t="s">
        <v>100</v>
      </c>
      <c r="S376" s="9" t="s">
        <v>80</v>
      </c>
      <c r="T376" s="11" t="s">
        <v>88</v>
      </c>
      <c r="U376" s="14" t="s">
        <v>82</v>
      </c>
      <c r="V376" s="12" t="s">
        <v>83</v>
      </c>
      <c r="W376" s="15" t="s">
        <v>84</v>
      </c>
      <c r="X376" s="9" t="s">
        <v>85</v>
      </c>
      <c r="Y376" s="12" t="s">
        <v>86</v>
      </c>
      <c r="Z376">
        <f t="shared" si="31"/>
        <v>439</v>
      </c>
      <c r="AA376" s="39">
        <f t="shared" si="32"/>
        <v>64.367521367521363</v>
      </c>
      <c r="AB376" s="39">
        <f t="shared" si="33"/>
        <v>2326.6069086854554</v>
      </c>
      <c r="AC376">
        <f t="shared" si="36"/>
        <v>0.99975752661759043</v>
      </c>
      <c r="AD376">
        <f t="shared" si="34"/>
        <v>0.99965703903269854</v>
      </c>
      <c r="AE376">
        <f t="shared" si="35"/>
        <v>28202</v>
      </c>
    </row>
    <row r="377" spans="1:31">
      <c r="A377" s="10">
        <v>376</v>
      </c>
      <c r="B377" s="31">
        <v>40560</v>
      </c>
      <c r="C377" s="10">
        <v>1</v>
      </c>
      <c r="D377" s="10">
        <v>0</v>
      </c>
      <c r="E377" s="10">
        <v>1</v>
      </c>
      <c r="F377" s="10">
        <v>3</v>
      </c>
      <c r="G377" s="10" t="b">
        <v>1</v>
      </c>
      <c r="H377" s="10">
        <v>1</v>
      </c>
      <c r="I377" s="10">
        <v>2</v>
      </c>
      <c r="J377" s="10">
        <v>0.18</v>
      </c>
      <c r="K377" s="10">
        <v>0.18179999999999999</v>
      </c>
      <c r="L377" s="10">
        <v>0.43</v>
      </c>
      <c r="M377" s="10">
        <v>0.19400000000000001</v>
      </c>
      <c r="N377" s="10">
        <v>0</v>
      </c>
      <c r="O377" s="10">
        <v>2</v>
      </c>
      <c r="P377" s="10">
        <v>2</v>
      </c>
      <c r="Q377" s="13" t="s">
        <v>98</v>
      </c>
      <c r="R377" s="17" t="s">
        <v>100</v>
      </c>
      <c r="S377" s="10" t="s">
        <v>80</v>
      </c>
      <c r="T377" s="11" t="s">
        <v>88</v>
      </c>
      <c r="U377" s="14" t="s">
        <v>82</v>
      </c>
      <c r="V377" s="12" t="s">
        <v>83</v>
      </c>
      <c r="W377" s="15" t="s">
        <v>84</v>
      </c>
      <c r="X377" s="10" t="s">
        <v>85</v>
      </c>
      <c r="Y377" s="12" t="s">
        <v>86</v>
      </c>
      <c r="Z377">
        <f t="shared" si="31"/>
        <v>438</v>
      </c>
      <c r="AA377" s="39">
        <f t="shared" si="32"/>
        <v>64.367521367521363</v>
      </c>
      <c r="AB377" s="39">
        <f t="shared" si="33"/>
        <v>2328.4601473043649</v>
      </c>
      <c r="AC377">
        <f t="shared" si="36"/>
        <v>0.99975783427592857</v>
      </c>
      <c r="AD377">
        <f t="shared" si="34"/>
        <v>0.99965722017541636</v>
      </c>
      <c r="AE377">
        <f t="shared" si="35"/>
        <v>28194</v>
      </c>
    </row>
    <row r="378" spans="1:31">
      <c r="A378" s="9">
        <v>377</v>
      </c>
      <c r="B378" s="30">
        <v>40560</v>
      </c>
      <c r="C378" s="9">
        <v>1</v>
      </c>
      <c r="D378" s="9">
        <v>0</v>
      </c>
      <c r="E378" s="9">
        <v>1</v>
      </c>
      <c r="F378" s="9">
        <v>4</v>
      </c>
      <c r="G378" s="9" t="b">
        <v>1</v>
      </c>
      <c r="H378" s="9">
        <v>1</v>
      </c>
      <c r="I378" s="9">
        <v>2</v>
      </c>
      <c r="J378" s="9">
        <v>0.18</v>
      </c>
      <c r="K378" s="9">
        <v>0.19700000000000001</v>
      </c>
      <c r="L378" s="9">
        <v>0.43</v>
      </c>
      <c r="M378" s="9">
        <v>0.1343</v>
      </c>
      <c r="N378" s="9">
        <v>1</v>
      </c>
      <c r="O378" s="9">
        <v>2</v>
      </c>
      <c r="P378" s="9">
        <v>3</v>
      </c>
      <c r="Q378" s="13" t="s">
        <v>98</v>
      </c>
      <c r="R378" s="17" t="s">
        <v>100</v>
      </c>
      <c r="S378" s="9" t="s">
        <v>80</v>
      </c>
      <c r="T378" s="11" t="s">
        <v>88</v>
      </c>
      <c r="U378" s="14" t="s">
        <v>82</v>
      </c>
      <c r="V378" s="12" t="s">
        <v>83</v>
      </c>
      <c r="W378" s="15" t="s">
        <v>84</v>
      </c>
      <c r="X378" s="9" t="s">
        <v>85</v>
      </c>
      <c r="Y378" s="12" t="s">
        <v>86</v>
      </c>
      <c r="Z378">
        <f t="shared" si="31"/>
        <v>437</v>
      </c>
      <c r="AA378" s="39">
        <f t="shared" si="32"/>
        <v>64.367521367521363</v>
      </c>
      <c r="AB378" s="39">
        <f t="shared" si="33"/>
        <v>2330.3172060593834</v>
      </c>
      <c r="AC378">
        <f t="shared" si="36"/>
        <v>0.99975822937547076</v>
      </c>
      <c r="AD378">
        <f t="shared" si="34"/>
        <v>0.9996574696107744</v>
      </c>
      <c r="AE378">
        <f t="shared" si="35"/>
        <v>28192</v>
      </c>
    </row>
    <row r="379" spans="1:31">
      <c r="A379" s="10">
        <v>378</v>
      </c>
      <c r="B379" s="31">
        <v>40560</v>
      </c>
      <c r="C379" s="10">
        <v>1</v>
      </c>
      <c r="D379" s="10">
        <v>0</v>
      </c>
      <c r="E379" s="10">
        <v>1</v>
      </c>
      <c r="F379" s="10">
        <v>5</v>
      </c>
      <c r="G379" s="10" t="b">
        <v>1</v>
      </c>
      <c r="H379" s="10">
        <v>1</v>
      </c>
      <c r="I379" s="10">
        <v>2</v>
      </c>
      <c r="J379" s="10">
        <v>0.18</v>
      </c>
      <c r="K379" s="10">
        <v>0.19700000000000001</v>
      </c>
      <c r="L379" s="10">
        <v>0.43</v>
      </c>
      <c r="M379" s="10">
        <v>0.16420000000000001</v>
      </c>
      <c r="N379" s="10">
        <v>0</v>
      </c>
      <c r="O379" s="10">
        <v>1</v>
      </c>
      <c r="P379" s="10">
        <v>1</v>
      </c>
      <c r="Q379" s="13" t="s">
        <v>98</v>
      </c>
      <c r="R379" s="17" t="s">
        <v>100</v>
      </c>
      <c r="S379" s="10" t="s">
        <v>80</v>
      </c>
      <c r="T379" s="11" t="s">
        <v>88</v>
      </c>
      <c r="U379" s="15" t="s">
        <v>89</v>
      </c>
      <c r="V379" s="12" t="s">
        <v>83</v>
      </c>
      <c r="W379" s="15" t="s">
        <v>84</v>
      </c>
      <c r="X379" s="10" t="s">
        <v>85</v>
      </c>
      <c r="Y379" s="12" t="s">
        <v>86</v>
      </c>
      <c r="Z379">
        <f t="shared" si="31"/>
        <v>436</v>
      </c>
      <c r="AA379" s="39">
        <f t="shared" si="32"/>
        <v>64.367521367521363</v>
      </c>
      <c r="AB379" s="39">
        <f t="shared" si="33"/>
        <v>2332.1788196698812</v>
      </c>
      <c r="AC379">
        <f t="shared" si="36"/>
        <v>0.99975861057698989</v>
      </c>
      <c r="AD379">
        <f t="shared" si="34"/>
        <v>0.99965770780752983</v>
      </c>
      <c r="AE379">
        <f t="shared" si="35"/>
        <v>28189</v>
      </c>
    </row>
    <row r="380" spans="1:31">
      <c r="A380" s="9">
        <v>379</v>
      </c>
      <c r="B380" s="30">
        <v>40560</v>
      </c>
      <c r="C380" s="9">
        <v>1</v>
      </c>
      <c r="D380" s="9">
        <v>0</v>
      </c>
      <c r="E380" s="9">
        <v>1</v>
      </c>
      <c r="F380" s="9">
        <v>6</v>
      </c>
      <c r="G380" s="9" t="b">
        <v>1</v>
      </c>
      <c r="H380" s="9">
        <v>1</v>
      </c>
      <c r="I380" s="9">
        <v>2</v>
      </c>
      <c r="J380" s="9">
        <v>0.18</v>
      </c>
      <c r="K380" s="9">
        <v>0.18179999999999999</v>
      </c>
      <c r="L380" s="9">
        <v>0.43</v>
      </c>
      <c r="M380" s="9">
        <v>0.19400000000000001</v>
      </c>
      <c r="N380" s="9">
        <v>0</v>
      </c>
      <c r="O380" s="9">
        <v>5</v>
      </c>
      <c r="P380" s="9">
        <v>5</v>
      </c>
      <c r="Q380" s="13" t="s">
        <v>98</v>
      </c>
      <c r="R380" s="17" t="s">
        <v>100</v>
      </c>
      <c r="S380" s="9" t="s">
        <v>80</v>
      </c>
      <c r="T380" s="11" t="s">
        <v>88</v>
      </c>
      <c r="U380" s="15" t="s">
        <v>89</v>
      </c>
      <c r="V380" s="12" t="s">
        <v>83</v>
      </c>
      <c r="W380" s="15" t="s">
        <v>84</v>
      </c>
      <c r="X380" s="9" t="s">
        <v>85</v>
      </c>
      <c r="Y380" s="12" t="s">
        <v>86</v>
      </c>
      <c r="Z380">
        <f t="shared" si="31"/>
        <v>435</v>
      </c>
      <c r="AA380" s="39">
        <f t="shared" si="32"/>
        <v>64.367521367521363</v>
      </c>
      <c r="AB380" s="39">
        <f t="shared" si="33"/>
        <v>2334.0446916185952</v>
      </c>
      <c r="AC380">
        <f t="shared" si="36"/>
        <v>0.99975902369767078</v>
      </c>
      <c r="AD380">
        <f t="shared" si="34"/>
        <v>0.99965797119438726</v>
      </c>
      <c r="AE380">
        <f t="shared" si="35"/>
        <v>28188</v>
      </c>
    </row>
    <row r="381" spans="1:31">
      <c r="A381" s="10">
        <v>380</v>
      </c>
      <c r="B381" s="31">
        <v>40560</v>
      </c>
      <c r="C381" s="10">
        <v>1</v>
      </c>
      <c r="D381" s="10">
        <v>0</v>
      </c>
      <c r="E381" s="10">
        <v>1</v>
      </c>
      <c r="F381" s="10">
        <v>7</v>
      </c>
      <c r="G381" s="10" t="b">
        <v>1</v>
      </c>
      <c r="H381" s="10">
        <v>1</v>
      </c>
      <c r="I381" s="10">
        <v>2</v>
      </c>
      <c r="J381" s="10">
        <v>0.16</v>
      </c>
      <c r="K381" s="10">
        <v>0.18179999999999999</v>
      </c>
      <c r="L381" s="10">
        <v>0.5</v>
      </c>
      <c r="M381" s="10">
        <v>0.1343</v>
      </c>
      <c r="N381" s="10">
        <v>4</v>
      </c>
      <c r="O381" s="10">
        <v>9</v>
      </c>
      <c r="P381" s="10">
        <v>13</v>
      </c>
      <c r="Q381" s="13" t="s">
        <v>98</v>
      </c>
      <c r="R381" s="17" t="s">
        <v>100</v>
      </c>
      <c r="S381" s="10" t="s">
        <v>80</v>
      </c>
      <c r="T381" s="11" t="s">
        <v>88</v>
      </c>
      <c r="U381" s="15" t="s">
        <v>89</v>
      </c>
      <c r="V381" s="12" t="s">
        <v>83</v>
      </c>
      <c r="W381" s="15" t="s">
        <v>84</v>
      </c>
      <c r="X381" s="10" t="s">
        <v>85</v>
      </c>
      <c r="Y381" s="12" t="s">
        <v>86</v>
      </c>
      <c r="Z381">
        <f t="shared" si="31"/>
        <v>434</v>
      </c>
      <c r="AA381" s="39">
        <f t="shared" si="32"/>
        <v>64.367521367521363</v>
      </c>
      <c r="AB381" s="39">
        <f t="shared" si="33"/>
        <v>2335.9154678969412</v>
      </c>
      <c r="AC381">
        <f t="shared" si="36"/>
        <v>0.99975937785941149</v>
      </c>
      <c r="AD381">
        <f t="shared" si="34"/>
        <v>0.99965818769366477</v>
      </c>
      <c r="AE381">
        <f t="shared" si="35"/>
        <v>28183</v>
      </c>
    </row>
    <row r="382" spans="1:31">
      <c r="A382" s="9">
        <v>381</v>
      </c>
      <c r="B382" s="30">
        <v>40560</v>
      </c>
      <c r="C382" s="9">
        <v>1</v>
      </c>
      <c r="D382" s="9">
        <v>0</v>
      </c>
      <c r="E382" s="9">
        <v>1</v>
      </c>
      <c r="F382" s="9">
        <v>8</v>
      </c>
      <c r="G382" s="9" t="b">
        <v>1</v>
      </c>
      <c r="H382" s="9">
        <v>1</v>
      </c>
      <c r="I382" s="9">
        <v>2</v>
      </c>
      <c r="J382" s="9">
        <v>0.16</v>
      </c>
      <c r="K382" s="9">
        <v>0.1515</v>
      </c>
      <c r="L382" s="9">
        <v>0.47</v>
      </c>
      <c r="M382" s="9">
        <v>0.22389999999999999</v>
      </c>
      <c r="N382" s="9">
        <v>3</v>
      </c>
      <c r="O382" s="9">
        <v>30</v>
      </c>
      <c r="P382" s="9">
        <v>33</v>
      </c>
      <c r="Q382" s="13" t="s">
        <v>98</v>
      </c>
      <c r="R382" s="17" t="s">
        <v>100</v>
      </c>
      <c r="S382" s="9" t="s">
        <v>80</v>
      </c>
      <c r="T382" s="11" t="s">
        <v>88</v>
      </c>
      <c r="U382" s="15" t="s">
        <v>89</v>
      </c>
      <c r="V382" s="11" t="s">
        <v>87</v>
      </c>
      <c r="W382" s="15" t="s">
        <v>84</v>
      </c>
      <c r="X382" s="9" t="s">
        <v>85</v>
      </c>
      <c r="Y382" s="12" t="s">
        <v>86</v>
      </c>
      <c r="Z382">
        <f t="shared" si="31"/>
        <v>433</v>
      </c>
      <c r="AA382" s="39">
        <f t="shared" si="32"/>
        <v>64.367521367521363</v>
      </c>
      <c r="AB382" s="39">
        <f t="shared" si="33"/>
        <v>2337.7915561946606</v>
      </c>
      <c r="AC382">
        <f t="shared" si="36"/>
        <v>0.99975956244292152</v>
      </c>
      <c r="AD382">
        <f t="shared" si="34"/>
        <v>0.99965839394980305</v>
      </c>
      <c r="AE382">
        <f t="shared" si="35"/>
        <v>28170</v>
      </c>
    </row>
    <row r="383" spans="1:31">
      <c r="A383" s="10">
        <v>382</v>
      </c>
      <c r="B383" s="31">
        <v>40560</v>
      </c>
      <c r="C383" s="10">
        <v>1</v>
      </c>
      <c r="D383" s="10">
        <v>0</v>
      </c>
      <c r="E383" s="10">
        <v>1</v>
      </c>
      <c r="F383" s="10">
        <v>9</v>
      </c>
      <c r="G383" s="10" t="b">
        <v>1</v>
      </c>
      <c r="H383" s="10">
        <v>1</v>
      </c>
      <c r="I383" s="10">
        <v>2</v>
      </c>
      <c r="J383" s="10">
        <v>0.16</v>
      </c>
      <c r="K383" s="10">
        <v>0.1515</v>
      </c>
      <c r="L383" s="10">
        <v>0.47</v>
      </c>
      <c r="M383" s="10">
        <v>0.22389999999999999</v>
      </c>
      <c r="N383" s="10">
        <v>8</v>
      </c>
      <c r="O383" s="10">
        <v>39</v>
      </c>
      <c r="P383" s="10">
        <v>47</v>
      </c>
      <c r="Q383" s="13" t="s">
        <v>98</v>
      </c>
      <c r="R383" s="17" t="s">
        <v>100</v>
      </c>
      <c r="S383" s="10" t="s">
        <v>80</v>
      </c>
      <c r="T383" s="11" t="s">
        <v>88</v>
      </c>
      <c r="U383" s="15" t="s">
        <v>89</v>
      </c>
      <c r="V383" s="11" t="s">
        <v>87</v>
      </c>
      <c r="W383" s="15" t="s">
        <v>84</v>
      </c>
      <c r="X383" s="10" t="s">
        <v>85</v>
      </c>
      <c r="Y383" s="12" t="s">
        <v>86</v>
      </c>
      <c r="Z383">
        <f t="shared" si="31"/>
        <v>432</v>
      </c>
      <c r="AA383" s="39">
        <f t="shared" si="32"/>
        <v>64.367521367521363</v>
      </c>
      <c r="AB383" s="39">
        <f t="shared" si="33"/>
        <v>2339.6739994113045</v>
      </c>
      <c r="AC383">
        <f t="shared" si="36"/>
        <v>0.99975959703547268</v>
      </c>
      <c r="AD383">
        <f t="shared" si="34"/>
        <v>0.99965842392597259</v>
      </c>
      <c r="AE383">
        <f t="shared" si="35"/>
        <v>28137</v>
      </c>
    </row>
    <row r="384" spans="1:31">
      <c r="A384" s="9">
        <v>383</v>
      </c>
      <c r="B384" s="30">
        <v>40560</v>
      </c>
      <c r="C384" s="9">
        <v>1</v>
      </c>
      <c r="D384" s="9">
        <v>0</v>
      </c>
      <c r="E384" s="9">
        <v>1</v>
      </c>
      <c r="F384" s="9">
        <v>10</v>
      </c>
      <c r="G384" s="9" t="b">
        <v>1</v>
      </c>
      <c r="H384" s="9">
        <v>1</v>
      </c>
      <c r="I384" s="9">
        <v>2</v>
      </c>
      <c r="J384" s="9">
        <v>0.16</v>
      </c>
      <c r="K384" s="9">
        <v>0.1515</v>
      </c>
      <c r="L384" s="9">
        <v>0.5</v>
      </c>
      <c r="M384" s="9">
        <v>0.25369999999999998</v>
      </c>
      <c r="N384" s="9">
        <v>7</v>
      </c>
      <c r="O384" s="9">
        <v>50</v>
      </c>
      <c r="P384" s="9">
        <v>57</v>
      </c>
      <c r="Q384" s="13" t="s">
        <v>98</v>
      </c>
      <c r="R384" s="17" t="s">
        <v>100</v>
      </c>
      <c r="S384" s="9" t="s">
        <v>80</v>
      </c>
      <c r="T384" s="11" t="s">
        <v>88</v>
      </c>
      <c r="U384" s="13" t="s">
        <v>91</v>
      </c>
      <c r="V384" s="11" t="s">
        <v>87</v>
      </c>
      <c r="W384" s="15" t="s">
        <v>84</v>
      </c>
      <c r="X384" s="9" t="s">
        <v>85</v>
      </c>
      <c r="Y384" s="12" t="s">
        <v>86</v>
      </c>
      <c r="Z384">
        <f t="shared" si="31"/>
        <v>431</v>
      </c>
      <c r="AA384" s="39">
        <f t="shared" si="32"/>
        <v>64.367521367521363</v>
      </c>
      <c r="AB384" s="39">
        <f t="shared" si="33"/>
        <v>2341.5621146678382</v>
      </c>
      <c r="AC384">
        <f t="shared" si="36"/>
        <v>0.999759596559047</v>
      </c>
      <c r="AD384">
        <f t="shared" si="34"/>
        <v>0.99965842279741335</v>
      </c>
      <c r="AE384">
        <f t="shared" si="35"/>
        <v>28090</v>
      </c>
    </row>
    <row r="385" spans="1:31">
      <c r="A385" s="10">
        <v>384</v>
      </c>
      <c r="B385" s="31">
        <v>40560</v>
      </c>
      <c r="C385" s="10">
        <v>1</v>
      </c>
      <c r="D385" s="10">
        <v>0</v>
      </c>
      <c r="E385" s="10">
        <v>1</v>
      </c>
      <c r="F385" s="10">
        <v>11</v>
      </c>
      <c r="G385" s="10" t="b">
        <v>1</v>
      </c>
      <c r="H385" s="10">
        <v>1</v>
      </c>
      <c r="I385" s="10">
        <v>2</v>
      </c>
      <c r="J385" s="10">
        <v>0.16</v>
      </c>
      <c r="K385" s="10">
        <v>0.1515</v>
      </c>
      <c r="L385" s="10">
        <v>0.55000000000000004</v>
      </c>
      <c r="M385" s="10">
        <v>0.19400000000000001</v>
      </c>
      <c r="N385" s="10">
        <v>9</v>
      </c>
      <c r="O385" s="10">
        <v>55</v>
      </c>
      <c r="P385" s="10">
        <v>64</v>
      </c>
      <c r="Q385" s="13" t="s">
        <v>98</v>
      </c>
      <c r="R385" s="17" t="s">
        <v>100</v>
      </c>
      <c r="S385" s="10" t="s">
        <v>80</v>
      </c>
      <c r="T385" s="11" t="s">
        <v>88</v>
      </c>
      <c r="U385" s="13" t="s">
        <v>91</v>
      </c>
      <c r="V385" s="11" t="s">
        <v>87</v>
      </c>
      <c r="W385" s="15" t="s">
        <v>84</v>
      </c>
      <c r="X385" s="10" t="s">
        <v>85</v>
      </c>
      <c r="Y385" s="12" t="s">
        <v>86</v>
      </c>
      <c r="Z385">
        <f t="shared" si="31"/>
        <v>430</v>
      </c>
      <c r="AA385" s="39">
        <f t="shared" si="32"/>
        <v>64.367521367521363</v>
      </c>
      <c r="AB385" s="39">
        <f t="shared" si="33"/>
        <v>2343.4555252826376</v>
      </c>
      <c r="AC385">
        <f t="shared" si="36"/>
        <v>0.99975960640780126</v>
      </c>
      <c r="AD385">
        <f t="shared" si="34"/>
        <v>0.99965842783738657</v>
      </c>
      <c r="AE385">
        <f t="shared" si="35"/>
        <v>28033</v>
      </c>
    </row>
    <row r="386" spans="1:31">
      <c r="A386" s="9">
        <v>385</v>
      </c>
      <c r="B386" s="30">
        <v>40560</v>
      </c>
      <c r="C386" s="9">
        <v>1</v>
      </c>
      <c r="D386" s="9">
        <v>0</v>
      </c>
      <c r="E386" s="9">
        <v>1</v>
      </c>
      <c r="F386" s="9">
        <v>12</v>
      </c>
      <c r="G386" s="9" t="b">
        <v>1</v>
      </c>
      <c r="H386" s="9">
        <v>1</v>
      </c>
      <c r="I386" s="9">
        <v>2</v>
      </c>
      <c r="J386" s="9">
        <v>0.18</v>
      </c>
      <c r="K386" s="9">
        <v>0.19700000000000001</v>
      </c>
      <c r="L386" s="9">
        <v>0.47</v>
      </c>
      <c r="M386" s="9">
        <v>0.1343</v>
      </c>
      <c r="N386" s="9">
        <v>10</v>
      </c>
      <c r="O386" s="9">
        <v>70</v>
      </c>
      <c r="P386" s="9">
        <v>80</v>
      </c>
      <c r="Q386" s="13" t="s">
        <v>98</v>
      </c>
      <c r="R386" s="17" t="s">
        <v>100</v>
      </c>
      <c r="S386" s="9" t="s">
        <v>80</v>
      </c>
      <c r="T386" s="11" t="s">
        <v>88</v>
      </c>
      <c r="U386" s="11" t="s">
        <v>92</v>
      </c>
      <c r="V386" s="13" t="s">
        <v>93</v>
      </c>
      <c r="W386" s="15" t="s">
        <v>84</v>
      </c>
      <c r="X386" s="9" t="s">
        <v>85</v>
      </c>
      <c r="Y386" s="12" t="s">
        <v>86</v>
      </c>
      <c r="Z386">
        <f t="shared" ref="Z386:Z449" si="37">COUNTIF(Q386:Q1385,"Weekday")</f>
        <v>429</v>
      </c>
      <c r="AA386" s="39">
        <f t="shared" ref="AA386:AA449" si="38">AVERAGEIF(T386:T1385,"Clear",P386:P1385)</f>
        <v>64.367521367521363</v>
      </c>
      <c r="AB386" s="39">
        <f t="shared" ref="AB386:AB449" si="39">STDEV(P386:P1385)</f>
        <v>2345.3539981569384</v>
      </c>
      <c r="AC386">
        <f t="shared" si="36"/>
        <v>0.99975964112992188</v>
      </c>
      <c r="AD386">
        <f t="shared" ref="AD386:AD449" si="40">CORREL(L386:L1385,P386:P1385)</f>
        <v>0.99965843738910209</v>
      </c>
      <c r="AE386">
        <f t="shared" ref="AE386:AE449" si="41">SUMIF(Q386:Q1385,"Weekday",P386:P1385)</f>
        <v>27969</v>
      </c>
    </row>
    <row r="387" spans="1:31">
      <c r="A387" s="10">
        <v>386</v>
      </c>
      <c r="B387" s="31">
        <v>40560</v>
      </c>
      <c r="C387" s="10">
        <v>1</v>
      </c>
      <c r="D387" s="10">
        <v>0</v>
      </c>
      <c r="E387" s="10">
        <v>1</v>
      </c>
      <c r="F387" s="10">
        <v>13</v>
      </c>
      <c r="G387" s="10" t="b">
        <v>1</v>
      </c>
      <c r="H387" s="10">
        <v>1</v>
      </c>
      <c r="I387" s="10">
        <v>2</v>
      </c>
      <c r="J387" s="10">
        <v>0.18</v>
      </c>
      <c r="K387" s="10">
        <v>0.19700000000000001</v>
      </c>
      <c r="L387" s="10">
        <v>0.47</v>
      </c>
      <c r="M387" s="10">
        <v>0.1343</v>
      </c>
      <c r="N387" s="10">
        <v>13</v>
      </c>
      <c r="O387" s="10">
        <v>80</v>
      </c>
      <c r="P387" s="10">
        <v>93</v>
      </c>
      <c r="Q387" s="13" t="s">
        <v>98</v>
      </c>
      <c r="R387" s="17" t="s">
        <v>100</v>
      </c>
      <c r="S387" s="10" t="s">
        <v>80</v>
      </c>
      <c r="T387" s="11" t="s">
        <v>88</v>
      </c>
      <c r="U387" s="11" t="s">
        <v>92</v>
      </c>
      <c r="V387" s="13" t="s">
        <v>93</v>
      </c>
      <c r="W387" s="15" t="s">
        <v>84</v>
      </c>
      <c r="X387" s="10" t="s">
        <v>85</v>
      </c>
      <c r="Y387" s="12" t="s">
        <v>86</v>
      </c>
      <c r="Z387">
        <f t="shared" si="37"/>
        <v>428</v>
      </c>
      <c r="AA387" s="39">
        <f t="shared" si="38"/>
        <v>64.367521367521363</v>
      </c>
      <c r="AB387" s="39">
        <f t="shared" si="39"/>
        <v>2347.258022694903</v>
      </c>
      <c r="AC387">
        <f t="shared" si="36"/>
        <v>0.9997597392718236</v>
      </c>
      <c r="AD387">
        <f t="shared" si="40"/>
        <v>0.99965859208644836</v>
      </c>
      <c r="AE387">
        <f t="shared" si="41"/>
        <v>27889</v>
      </c>
    </row>
    <row r="388" spans="1:31">
      <c r="A388" s="9">
        <v>387</v>
      </c>
      <c r="B388" s="30">
        <v>40560</v>
      </c>
      <c r="C388" s="9">
        <v>1</v>
      </c>
      <c r="D388" s="9">
        <v>0</v>
      </c>
      <c r="E388" s="9">
        <v>1</v>
      </c>
      <c r="F388" s="9">
        <v>14</v>
      </c>
      <c r="G388" s="9" t="b">
        <v>1</v>
      </c>
      <c r="H388" s="9">
        <v>1</v>
      </c>
      <c r="I388" s="9">
        <v>2</v>
      </c>
      <c r="J388" s="9">
        <v>0.18</v>
      </c>
      <c r="K388" s="9">
        <v>0.21210000000000001</v>
      </c>
      <c r="L388" s="9">
        <v>0.43</v>
      </c>
      <c r="M388" s="9">
        <v>0.1045</v>
      </c>
      <c r="N388" s="9">
        <v>12</v>
      </c>
      <c r="O388" s="9">
        <v>74</v>
      </c>
      <c r="P388" s="9">
        <v>86</v>
      </c>
      <c r="Q388" s="13" t="s">
        <v>98</v>
      </c>
      <c r="R388" s="17" t="s">
        <v>100</v>
      </c>
      <c r="S388" s="9" t="s">
        <v>80</v>
      </c>
      <c r="T388" s="11" t="s">
        <v>88</v>
      </c>
      <c r="U388" s="13" t="s">
        <v>94</v>
      </c>
      <c r="V388" s="13" t="s">
        <v>93</v>
      </c>
      <c r="W388" s="15" t="s">
        <v>84</v>
      </c>
      <c r="X388" s="9" t="s">
        <v>85</v>
      </c>
      <c r="Y388" s="12" t="s">
        <v>86</v>
      </c>
      <c r="Z388">
        <f t="shared" si="37"/>
        <v>427</v>
      </c>
      <c r="AA388" s="39">
        <f t="shared" si="38"/>
        <v>64.367521367521363</v>
      </c>
      <c r="AB388" s="39">
        <f t="shared" si="39"/>
        <v>2349.167318634496</v>
      </c>
      <c r="AC388">
        <f t="shared" si="36"/>
        <v>0.9997599622498311</v>
      </c>
      <c r="AD388">
        <f t="shared" si="40"/>
        <v>0.99965889723872048</v>
      </c>
      <c r="AE388">
        <f t="shared" si="41"/>
        <v>27796</v>
      </c>
    </row>
    <row r="389" spans="1:31">
      <c r="A389" s="10">
        <v>388</v>
      </c>
      <c r="B389" s="31">
        <v>40560</v>
      </c>
      <c r="C389" s="10">
        <v>1</v>
      </c>
      <c r="D389" s="10">
        <v>0</v>
      </c>
      <c r="E389" s="10">
        <v>1</v>
      </c>
      <c r="F389" s="10">
        <v>15</v>
      </c>
      <c r="G389" s="10" t="b">
        <v>1</v>
      </c>
      <c r="H389" s="10">
        <v>1</v>
      </c>
      <c r="I389" s="10">
        <v>2</v>
      </c>
      <c r="J389" s="10">
        <v>0.2</v>
      </c>
      <c r="K389" s="10">
        <v>0.21210000000000001</v>
      </c>
      <c r="L389" s="10">
        <v>0.47</v>
      </c>
      <c r="M389" s="10">
        <v>0.16420000000000001</v>
      </c>
      <c r="N389" s="10">
        <v>21</v>
      </c>
      <c r="O389" s="10">
        <v>72</v>
      </c>
      <c r="P389" s="10">
        <v>93</v>
      </c>
      <c r="Q389" s="13" t="s">
        <v>98</v>
      </c>
      <c r="R389" s="17" t="s">
        <v>100</v>
      </c>
      <c r="S389" s="10" t="s">
        <v>80</v>
      </c>
      <c r="T389" s="11" t="s">
        <v>88</v>
      </c>
      <c r="U389" s="13" t="s">
        <v>94</v>
      </c>
      <c r="V389" s="13" t="s">
        <v>93</v>
      </c>
      <c r="W389" s="15" t="s">
        <v>84</v>
      </c>
      <c r="X389" s="10" t="s">
        <v>85</v>
      </c>
      <c r="Y389" s="12" t="s">
        <v>86</v>
      </c>
      <c r="Z389">
        <f t="shared" si="37"/>
        <v>426</v>
      </c>
      <c r="AA389" s="39">
        <f t="shared" si="38"/>
        <v>64.367521367521363</v>
      </c>
      <c r="AB389" s="39">
        <f t="shared" si="39"/>
        <v>2351.0809577261043</v>
      </c>
      <c r="AC389">
        <f t="shared" si="36"/>
        <v>0.99976011257139974</v>
      </c>
      <c r="AD389">
        <f t="shared" si="40"/>
        <v>0.99965916427240198</v>
      </c>
      <c r="AE389">
        <f t="shared" si="41"/>
        <v>27710</v>
      </c>
    </row>
    <row r="390" spans="1:31">
      <c r="A390" s="9">
        <v>389</v>
      </c>
      <c r="B390" s="30">
        <v>40560</v>
      </c>
      <c r="C390" s="9">
        <v>1</v>
      </c>
      <c r="D390" s="9">
        <v>0</v>
      </c>
      <c r="E390" s="9">
        <v>1</v>
      </c>
      <c r="F390" s="9">
        <v>16</v>
      </c>
      <c r="G390" s="9" t="b">
        <v>1</v>
      </c>
      <c r="H390" s="9">
        <v>1</v>
      </c>
      <c r="I390" s="9">
        <v>2</v>
      </c>
      <c r="J390" s="9">
        <v>0.2</v>
      </c>
      <c r="K390" s="9">
        <v>0.21210000000000001</v>
      </c>
      <c r="L390" s="9">
        <v>0.47</v>
      </c>
      <c r="M390" s="9">
        <v>0.16420000000000001</v>
      </c>
      <c r="N390" s="9">
        <v>6</v>
      </c>
      <c r="O390" s="9">
        <v>76</v>
      </c>
      <c r="P390" s="9">
        <v>82</v>
      </c>
      <c r="Q390" s="13" t="s">
        <v>98</v>
      </c>
      <c r="R390" s="17" t="s">
        <v>100</v>
      </c>
      <c r="S390" s="9" t="s">
        <v>80</v>
      </c>
      <c r="T390" s="11" t="s">
        <v>88</v>
      </c>
      <c r="U390" s="13" t="s">
        <v>94</v>
      </c>
      <c r="V390" s="13" t="s">
        <v>93</v>
      </c>
      <c r="W390" s="15" t="s">
        <v>84</v>
      </c>
      <c r="X390" s="9" t="s">
        <v>85</v>
      </c>
      <c r="Y390" s="12" t="s">
        <v>86</v>
      </c>
      <c r="Z390">
        <f t="shared" si="37"/>
        <v>425</v>
      </c>
      <c r="AA390" s="39">
        <f t="shared" si="38"/>
        <v>64.367521367521363</v>
      </c>
      <c r="AB390" s="39">
        <f t="shared" si="39"/>
        <v>2352.9996054407716</v>
      </c>
      <c r="AC390">
        <f t="shared" si="36"/>
        <v>0.99976027635744225</v>
      </c>
      <c r="AD390">
        <f t="shared" si="40"/>
        <v>0.99965947135706279</v>
      </c>
      <c r="AE390">
        <f t="shared" si="41"/>
        <v>27617</v>
      </c>
    </row>
    <row r="391" spans="1:31">
      <c r="A391" s="10">
        <v>390</v>
      </c>
      <c r="B391" s="31">
        <v>40560</v>
      </c>
      <c r="C391" s="10">
        <v>1</v>
      </c>
      <c r="D391" s="10">
        <v>0</v>
      </c>
      <c r="E391" s="10">
        <v>1</v>
      </c>
      <c r="F391" s="10">
        <v>17</v>
      </c>
      <c r="G391" s="10" t="b">
        <v>1</v>
      </c>
      <c r="H391" s="10">
        <v>1</v>
      </c>
      <c r="I391" s="10">
        <v>1</v>
      </c>
      <c r="J391" s="10">
        <v>0.2</v>
      </c>
      <c r="K391" s="10">
        <v>0.19700000000000001</v>
      </c>
      <c r="L391" s="10">
        <v>0.51</v>
      </c>
      <c r="M391" s="10">
        <v>0.19400000000000001</v>
      </c>
      <c r="N391" s="10">
        <v>4</v>
      </c>
      <c r="O391" s="10">
        <v>67</v>
      </c>
      <c r="P391" s="10">
        <v>71</v>
      </c>
      <c r="Q391" s="13" t="s">
        <v>98</v>
      </c>
      <c r="R391" s="17" t="s">
        <v>100</v>
      </c>
      <c r="S391" s="10" t="s">
        <v>80</v>
      </c>
      <c r="T391" s="13" t="s">
        <v>81</v>
      </c>
      <c r="U391" s="15" t="s">
        <v>95</v>
      </c>
      <c r="V391" s="13" t="s">
        <v>93</v>
      </c>
      <c r="W391" s="15" t="s">
        <v>84</v>
      </c>
      <c r="X391" s="10" t="s">
        <v>85</v>
      </c>
      <c r="Y391" s="12" t="s">
        <v>86</v>
      </c>
      <c r="Z391">
        <f t="shared" si="37"/>
        <v>424</v>
      </c>
      <c r="AA391" s="39">
        <f t="shared" si="38"/>
        <v>64.367521367521363</v>
      </c>
      <c r="AB391" s="39">
        <f t="shared" si="39"/>
        <v>2354.9224317730864</v>
      </c>
      <c r="AC391">
        <f t="shared" si="36"/>
        <v>0.99976034993379381</v>
      </c>
      <c r="AD391">
        <f t="shared" si="40"/>
        <v>0.99965964860549406</v>
      </c>
      <c r="AE391">
        <f t="shared" si="41"/>
        <v>27535</v>
      </c>
    </row>
    <row r="392" spans="1:31">
      <c r="A392" s="9">
        <v>391</v>
      </c>
      <c r="B392" s="30">
        <v>40560</v>
      </c>
      <c r="C392" s="9">
        <v>1</v>
      </c>
      <c r="D392" s="9">
        <v>0</v>
      </c>
      <c r="E392" s="9">
        <v>1</v>
      </c>
      <c r="F392" s="9">
        <v>18</v>
      </c>
      <c r="G392" s="9" t="b">
        <v>1</v>
      </c>
      <c r="H392" s="9">
        <v>1</v>
      </c>
      <c r="I392" s="9">
        <v>2</v>
      </c>
      <c r="J392" s="9">
        <v>0.18</v>
      </c>
      <c r="K392" s="9">
        <v>0.16669999999999999</v>
      </c>
      <c r="L392" s="9">
        <v>0.55000000000000004</v>
      </c>
      <c r="M392" s="9">
        <v>0.25369999999999998</v>
      </c>
      <c r="N392" s="9">
        <v>7</v>
      </c>
      <c r="O392" s="9">
        <v>85</v>
      </c>
      <c r="P392" s="9">
        <v>92</v>
      </c>
      <c r="Q392" s="13" t="s">
        <v>98</v>
      </c>
      <c r="R392" s="17" t="s">
        <v>100</v>
      </c>
      <c r="S392" s="9" t="s">
        <v>80</v>
      </c>
      <c r="T392" s="11" t="s">
        <v>88</v>
      </c>
      <c r="U392" s="15" t="s">
        <v>95</v>
      </c>
      <c r="V392" s="13" t="s">
        <v>93</v>
      </c>
      <c r="W392" s="15" t="s">
        <v>84</v>
      </c>
      <c r="X392" s="9" t="s">
        <v>85</v>
      </c>
      <c r="Y392" s="12" t="s">
        <v>86</v>
      </c>
      <c r="Z392">
        <f t="shared" si="37"/>
        <v>423</v>
      </c>
      <c r="AA392" s="39">
        <f t="shared" si="38"/>
        <v>64.348571428571432</v>
      </c>
      <c r="AB392" s="39">
        <f t="shared" si="39"/>
        <v>2356.8493677323222</v>
      </c>
      <c r="AC392">
        <f t="shared" si="36"/>
        <v>0.99976036864585549</v>
      </c>
      <c r="AD392">
        <f t="shared" si="40"/>
        <v>0.99965970543620231</v>
      </c>
      <c r="AE392">
        <f t="shared" si="41"/>
        <v>27464</v>
      </c>
    </row>
    <row r="393" spans="1:31">
      <c r="A393" s="10">
        <v>392</v>
      </c>
      <c r="B393" s="31">
        <v>40560</v>
      </c>
      <c r="C393" s="10">
        <v>1</v>
      </c>
      <c r="D393" s="10">
        <v>0</v>
      </c>
      <c r="E393" s="10">
        <v>1</v>
      </c>
      <c r="F393" s="10">
        <v>19</v>
      </c>
      <c r="G393" s="10" t="b">
        <v>1</v>
      </c>
      <c r="H393" s="10">
        <v>1</v>
      </c>
      <c r="I393" s="10">
        <v>3</v>
      </c>
      <c r="J393" s="10">
        <v>0.18</v>
      </c>
      <c r="K393" s="10">
        <v>0.18179999999999999</v>
      </c>
      <c r="L393" s="10">
        <v>0.59</v>
      </c>
      <c r="M393" s="10">
        <v>0.19400000000000001</v>
      </c>
      <c r="N393" s="10">
        <v>2</v>
      </c>
      <c r="O393" s="10">
        <v>58</v>
      </c>
      <c r="P393" s="10">
        <v>60</v>
      </c>
      <c r="Q393" s="13" t="s">
        <v>98</v>
      </c>
      <c r="R393" s="17" t="s">
        <v>100</v>
      </c>
      <c r="S393" s="10" t="s">
        <v>80</v>
      </c>
      <c r="T393" s="12" t="s">
        <v>96</v>
      </c>
      <c r="U393" s="15" t="s">
        <v>95</v>
      </c>
      <c r="V393" s="11" t="s">
        <v>87</v>
      </c>
      <c r="W393" s="15" t="s">
        <v>84</v>
      </c>
      <c r="X393" s="10" t="s">
        <v>85</v>
      </c>
      <c r="Y393" s="12" t="s">
        <v>86</v>
      </c>
      <c r="Z393">
        <f t="shared" si="37"/>
        <v>422</v>
      </c>
      <c r="AA393" s="39">
        <f t="shared" si="38"/>
        <v>64.348571428571432</v>
      </c>
      <c r="AB393" s="39">
        <f t="shared" si="39"/>
        <v>2358.782139775275</v>
      </c>
      <c r="AC393">
        <f t="shared" si="36"/>
        <v>0.99976058280033664</v>
      </c>
      <c r="AD393">
        <f t="shared" si="40"/>
        <v>0.99965990481853839</v>
      </c>
      <c r="AE393">
        <f t="shared" si="41"/>
        <v>27372</v>
      </c>
    </row>
    <row r="394" spans="1:31">
      <c r="A394" s="9">
        <v>393</v>
      </c>
      <c r="B394" s="30">
        <v>40560</v>
      </c>
      <c r="C394" s="9">
        <v>1</v>
      </c>
      <c r="D394" s="9">
        <v>0</v>
      </c>
      <c r="E394" s="9">
        <v>1</v>
      </c>
      <c r="F394" s="9">
        <v>20</v>
      </c>
      <c r="G394" s="9" t="b">
        <v>1</v>
      </c>
      <c r="H394" s="9">
        <v>1</v>
      </c>
      <c r="I394" s="9">
        <v>3</v>
      </c>
      <c r="J394" s="9">
        <v>0.16</v>
      </c>
      <c r="K394" s="9">
        <v>0.1515</v>
      </c>
      <c r="L394" s="9">
        <v>0.8</v>
      </c>
      <c r="M394" s="9">
        <v>0.19400000000000001</v>
      </c>
      <c r="N394" s="9">
        <v>4</v>
      </c>
      <c r="O394" s="9">
        <v>29</v>
      </c>
      <c r="P394" s="9">
        <v>33</v>
      </c>
      <c r="Q394" s="13" t="s">
        <v>98</v>
      </c>
      <c r="R394" s="17" t="s">
        <v>100</v>
      </c>
      <c r="S394" s="9" t="s">
        <v>80</v>
      </c>
      <c r="T394" s="12" t="s">
        <v>96</v>
      </c>
      <c r="U394" s="16" t="s">
        <v>97</v>
      </c>
      <c r="V394" s="11" t="s">
        <v>87</v>
      </c>
      <c r="W394" s="15" t="s">
        <v>84</v>
      </c>
      <c r="X394" s="9" t="s">
        <v>85</v>
      </c>
      <c r="Y394" s="12" t="s">
        <v>86</v>
      </c>
      <c r="Z394">
        <f t="shared" si="37"/>
        <v>421</v>
      </c>
      <c r="AA394" s="39">
        <f t="shared" si="38"/>
        <v>64.348571428571432</v>
      </c>
      <c r="AB394" s="39">
        <f t="shared" si="39"/>
        <v>2360.7178747309918</v>
      </c>
      <c r="AC394">
        <f t="shared" si="36"/>
        <v>0.99976058772891196</v>
      </c>
      <c r="AD394">
        <f t="shared" si="40"/>
        <v>0.99965990397901161</v>
      </c>
      <c r="AE394">
        <f t="shared" si="41"/>
        <v>27312</v>
      </c>
    </row>
    <row r="395" spans="1:31">
      <c r="A395" s="10">
        <v>394</v>
      </c>
      <c r="B395" s="31">
        <v>40560</v>
      </c>
      <c r="C395" s="10">
        <v>1</v>
      </c>
      <c r="D395" s="10">
        <v>0</v>
      </c>
      <c r="E395" s="10">
        <v>1</v>
      </c>
      <c r="F395" s="10">
        <v>21</v>
      </c>
      <c r="G395" s="10" t="b">
        <v>1</v>
      </c>
      <c r="H395" s="10">
        <v>1</v>
      </c>
      <c r="I395" s="10">
        <v>3</v>
      </c>
      <c r="J395" s="10">
        <v>0.16</v>
      </c>
      <c r="K395" s="10">
        <v>0.1515</v>
      </c>
      <c r="L395" s="10">
        <v>0.8</v>
      </c>
      <c r="M395" s="10">
        <v>0.19400000000000001</v>
      </c>
      <c r="N395" s="10">
        <v>3</v>
      </c>
      <c r="O395" s="10">
        <v>24</v>
      </c>
      <c r="P395" s="10">
        <v>27</v>
      </c>
      <c r="Q395" s="13" t="s">
        <v>98</v>
      </c>
      <c r="R395" s="17" t="s">
        <v>100</v>
      </c>
      <c r="S395" s="10" t="s">
        <v>80</v>
      </c>
      <c r="T395" s="12" t="s">
        <v>96</v>
      </c>
      <c r="U395" s="16" t="s">
        <v>97</v>
      </c>
      <c r="V395" s="12" t="s">
        <v>83</v>
      </c>
      <c r="W395" s="15" t="s">
        <v>84</v>
      </c>
      <c r="X395" s="10" t="s">
        <v>85</v>
      </c>
      <c r="Y395" s="12" t="s">
        <v>86</v>
      </c>
      <c r="Z395">
        <f t="shared" si="37"/>
        <v>420</v>
      </c>
      <c r="AA395" s="39">
        <f t="shared" si="38"/>
        <v>64.348571428571432</v>
      </c>
      <c r="AB395" s="39">
        <f t="shared" si="39"/>
        <v>2362.6563039845041</v>
      </c>
      <c r="AC395">
        <f t="shared" si="36"/>
        <v>0.99976062070564498</v>
      </c>
      <c r="AD395">
        <f t="shared" si="40"/>
        <v>0.99966023182425201</v>
      </c>
      <c r="AE395">
        <f t="shared" si="41"/>
        <v>27279</v>
      </c>
    </row>
    <row r="396" spans="1:31">
      <c r="A396" s="9">
        <v>395</v>
      </c>
      <c r="B396" s="30">
        <v>40560</v>
      </c>
      <c r="C396" s="9">
        <v>1</v>
      </c>
      <c r="D396" s="9">
        <v>0</v>
      </c>
      <c r="E396" s="9">
        <v>1</v>
      </c>
      <c r="F396" s="9">
        <v>22</v>
      </c>
      <c r="G396" s="9" t="b">
        <v>1</v>
      </c>
      <c r="H396" s="9">
        <v>1</v>
      </c>
      <c r="I396" s="9">
        <v>3</v>
      </c>
      <c r="J396" s="9">
        <v>0.14000000000000001</v>
      </c>
      <c r="K396" s="9">
        <v>0.1212</v>
      </c>
      <c r="L396" s="9">
        <v>0.93</v>
      </c>
      <c r="M396" s="9">
        <v>0.25369999999999998</v>
      </c>
      <c r="N396" s="9">
        <v>0</v>
      </c>
      <c r="O396" s="9">
        <v>13</v>
      </c>
      <c r="P396" s="9">
        <v>13</v>
      </c>
      <c r="Q396" s="13" t="s">
        <v>98</v>
      </c>
      <c r="R396" s="17" t="s">
        <v>100</v>
      </c>
      <c r="S396" s="9" t="s">
        <v>80</v>
      </c>
      <c r="T396" s="12" t="s">
        <v>96</v>
      </c>
      <c r="U396" s="16" t="s">
        <v>97</v>
      </c>
      <c r="V396" s="12" t="s">
        <v>83</v>
      </c>
      <c r="W396" s="15" t="s">
        <v>84</v>
      </c>
      <c r="X396" s="9" t="s">
        <v>85</v>
      </c>
      <c r="Y396" s="12" t="s">
        <v>86</v>
      </c>
      <c r="Z396">
        <f t="shared" si="37"/>
        <v>419</v>
      </c>
      <c r="AA396" s="39">
        <f t="shared" si="38"/>
        <v>64.348571428571432</v>
      </c>
      <c r="AB396" s="39">
        <f t="shared" si="39"/>
        <v>2364.5989836256954</v>
      </c>
      <c r="AC396">
        <f t="shared" si="36"/>
        <v>0.99976068597900514</v>
      </c>
      <c r="AD396">
        <f t="shared" si="40"/>
        <v>0.99966064980636915</v>
      </c>
      <c r="AE396">
        <f t="shared" si="41"/>
        <v>27252</v>
      </c>
    </row>
    <row r="397" spans="1:31">
      <c r="A397" s="10">
        <v>396</v>
      </c>
      <c r="B397" s="31">
        <v>40560</v>
      </c>
      <c r="C397" s="10">
        <v>1</v>
      </c>
      <c r="D397" s="10">
        <v>0</v>
      </c>
      <c r="E397" s="10">
        <v>1</v>
      </c>
      <c r="F397" s="10">
        <v>23</v>
      </c>
      <c r="G397" s="10" t="b">
        <v>1</v>
      </c>
      <c r="H397" s="10">
        <v>1</v>
      </c>
      <c r="I397" s="10">
        <v>3</v>
      </c>
      <c r="J397" s="10">
        <v>0.16</v>
      </c>
      <c r="K397" s="10">
        <v>0.13639999999999999</v>
      </c>
      <c r="L397" s="10">
        <v>0.86</v>
      </c>
      <c r="M397" s="10">
        <v>0.28360000000000002</v>
      </c>
      <c r="N397" s="10">
        <v>1</v>
      </c>
      <c r="O397" s="10">
        <v>3</v>
      </c>
      <c r="P397" s="10">
        <v>4</v>
      </c>
      <c r="Q397" s="13" t="s">
        <v>98</v>
      </c>
      <c r="R397" s="17" t="s">
        <v>100</v>
      </c>
      <c r="S397" s="10" t="s">
        <v>80</v>
      </c>
      <c r="T397" s="12" t="s">
        <v>96</v>
      </c>
      <c r="U397" s="16" t="s">
        <v>97</v>
      </c>
      <c r="V397" s="12" t="s">
        <v>83</v>
      </c>
      <c r="W397" s="15" t="s">
        <v>84</v>
      </c>
      <c r="X397" s="10" t="s">
        <v>85</v>
      </c>
      <c r="Y397" s="12" t="s">
        <v>86</v>
      </c>
      <c r="Z397">
        <f t="shared" si="37"/>
        <v>418</v>
      </c>
      <c r="AA397" s="39">
        <f t="shared" si="38"/>
        <v>64.348571428571432</v>
      </c>
      <c r="AB397" s="39">
        <f t="shared" si="39"/>
        <v>2366.5451196561876</v>
      </c>
      <c r="AC397">
        <f t="shared" si="36"/>
        <v>0.99976081383095883</v>
      </c>
      <c r="AD397">
        <f t="shared" si="40"/>
        <v>0.99966160291800144</v>
      </c>
      <c r="AE397">
        <f t="shared" si="41"/>
        <v>27239</v>
      </c>
    </row>
    <row r="398" spans="1:31">
      <c r="A398" s="9">
        <v>397</v>
      </c>
      <c r="B398" s="30">
        <v>40561</v>
      </c>
      <c r="C398" s="9">
        <v>1</v>
      </c>
      <c r="D398" s="9">
        <v>0</v>
      </c>
      <c r="E398" s="9">
        <v>1</v>
      </c>
      <c r="F398" s="9">
        <v>12</v>
      </c>
      <c r="G398" s="9" t="b">
        <v>0</v>
      </c>
      <c r="H398" s="9">
        <v>2</v>
      </c>
      <c r="I398" s="9">
        <v>2</v>
      </c>
      <c r="J398" s="9">
        <v>0.2</v>
      </c>
      <c r="K398" s="9">
        <v>0.18179999999999999</v>
      </c>
      <c r="L398" s="9">
        <v>0.86</v>
      </c>
      <c r="M398" s="9">
        <v>0.32840000000000003</v>
      </c>
      <c r="N398" s="9">
        <v>0</v>
      </c>
      <c r="O398" s="9">
        <v>3</v>
      </c>
      <c r="P398" s="9">
        <v>3</v>
      </c>
      <c r="Q398" s="13" t="s">
        <v>98</v>
      </c>
      <c r="R398" s="13" t="s">
        <v>79</v>
      </c>
      <c r="S398" s="9" t="s">
        <v>80</v>
      </c>
      <c r="T398" s="11" t="s">
        <v>88</v>
      </c>
      <c r="U398" s="11" t="s">
        <v>92</v>
      </c>
      <c r="V398" s="12" t="s">
        <v>83</v>
      </c>
      <c r="W398" s="15" t="s">
        <v>84</v>
      </c>
      <c r="X398" s="9" t="s">
        <v>85</v>
      </c>
      <c r="Y398" s="13" t="s">
        <v>99</v>
      </c>
      <c r="Z398">
        <f t="shared" si="37"/>
        <v>417</v>
      </c>
      <c r="AA398" s="39">
        <f t="shared" si="38"/>
        <v>64.348571428571432</v>
      </c>
      <c r="AB398" s="39">
        <f t="shared" si="39"/>
        <v>2368.4951303487846</v>
      </c>
      <c r="AC398">
        <f t="shared" si="36"/>
        <v>0.99976110214867075</v>
      </c>
      <c r="AD398">
        <f t="shared" si="40"/>
        <v>0.99966260699160647</v>
      </c>
      <c r="AE398">
        <f t="shared" si="41"/>
        <v>27235</v>
      </c>
    </row>
    <row r="399" spans="1:31">
      <c r="A399" s="10">
        <v>398</v>
      </c>
      <c r="B399" s="31">
        <v>40561</v>
      </c>
      <c r="C399" s="10">
        <v>1</v>
      </c>
      <c r="D399" s="10">
        <v>0</v>
      </c>
      <c r="E399" s="10">
        <v>1</v>
      </c>
      <c r="F399" s="10">
        <v>13</v>
      </c>
      <c r="G399" s="10" t="b">
        <v>0</v>
      </c>
      <c r="H399" s="10">
        <v>2</v>
      </c>
      <c r="I399" s="10">
        <v>2</v>
      </c>
      <c r="J399" s="10">
        <v>0.2</v>
      </c>
      <c r="K399" s="10">
        <v>0.19700000000000001</v>
      </c>
      <c r="L399" s="10">
        <v>0.86</v>
      </c>
      <c r="M399" s="10">
        <v>0.22389999999999999</v>
      </c>
      <c r="N399" s="10">
        <v>0</v>
      </c>
      <c r="O399" s="10">
        <v>22</v>
      </c>
      <c r="P399" s="10">
        <v>22</v>
      </c>
      <c r="Q399" s="13" t="s">
        <v>98</v>
      </c>
      <c r="R399" s="13" t="s">
        <v>79</v>
      </c>
      <c r="S399" s="10" t="s">
        <v>80</v>
      </c>
      <c r="T399" s="11" t="s">
        <v>88</v>
      </c>
      <c r="U399" s="11" t="s">
        <v>92</v>
      </c>
      <c r="V399" s="12" t="s">
        <v>83</v>
      </c>
      <c r="W399" s="15" t="s">
        <v>84</v>
      </c>
      <c r="X399" s="10" t="s">
        <v>85</v>
      </c>
      <c r="Y399" s="13" t="s">
        <v>99</v>
      </c>
      <c r="Z399">
        <f t="shared" si="37"/>
        <v>416</v>
      </c>
      <c r="AA399" s="39">
        <f t="shared" si="38"/>
        <v>64.348571428571432</v>
      </c>
      <c r="AB399" s="39">
        <f t="shared" si="39"/>
        <v>2370.4498612648672</v>
      </c>
      <c r="AC399">
        <f t="shared" si="36"/>
        <v>0.99976157554601985</v>
      </c>
      <c r="AD399">
        <f t="shared" si="40"/>
        <v>0.99966363896139654</v>
      </c>
      <c r="AE399">
        <f t="shared" si="41"/>
        <v>27232</v>
      </c>
    </row>
    <row r="400" spans="1:31">
      <c r="A400" s="9">
        <v>399</v>
      </c>
      <c r="B400" s="30">
        <v>40561</v>
      </c>
      <c r="C400" s="9">
        <v>1</v>
      </c>
      <c r="D400" s="9">
        <v>0</v>
      </c>
      <c r="E400" s="9">
        <v>1</v>
      </c>
      <c r="F400" s="9">
        <v>14</v>
      </c>
      <c r="G400" s="9" t="b">
        <v>0</v>
      </c>
      <c r="H400" s="9">
        <v>2</v>
      </c>
      <c r="I400" s="9">
        <v>2</v>
      </c>
      <c r="J400" s="9">
        <v>0.22</v>
      </c>
      <c r="K400" s="9">
        <v>0.2273</v>
      </c>
      <c r="L400" s="9">
        <v>0.8</v>
      </c>
      <c r="M400" s="9">
        <v>0.16420000000000001</v>
      </c>
      <c r="N400" s="9">
        <v>2</v>
      </c>
      <c r="O400" s="9">
        <v>26</v>
      </c>
      <c r="P400" s="9">
        <v>28</v>
      </c>
      <c r="Q400" s="13" t="s">
        <v>98</v>
      </c>
      <c r="R400" s="13" t="s">
        <v>79</v>
      </c>
      <c r="S400" s="9" t="s">
        <v>80</v>
      </c>
      <c r="T400" s="11" t="s">
        <v>88</v>
      </c>
      <c r="U400" s="13" t="s">
        <v>94</v>
      </c>
      <c r="V400" s="12" t="s">
        <v>83</v>
      </c>
      <c r="W400" s="15" t="s">
        <v>84</v>
      </c>
      <c r="X400" s="9" t="s">
        <v>85</v>
      </c>
      <c r="Y400" s="13" t="s">
        <v>99</v>
      </c>
      <c r="Z400">
        <f t="shared" si="37"/>
        <v>415</v>
      </c>
      <c r="AA400" s="39">
        <f t="shared" si="38"/>
        <v>64.348571428571432</v>
      </c>
      <c r="AB400" s="39">
        <f t="shared" si="39"/>
        <v>2372.4113777184975</v>
      </c>
      <c r="AC400">
        <f t="shared" ref="AC400:AC463" si="42">CORREL(J400:J1399,P400:P1399)</f>
        <v>0.99976178527777582</v>
      </c>
      <c r="AD400">
        <f t="shared" si="40"/>
        <v>0.99966425757023225</v>
      </c>
      <c r="AE400">
        <f t="shared" si="41"/>
        <v>27210</v>
      </c>
    </row>
    <row r="401" spans="1:31">
      <c r="A401" s="10">
        <v>400</v>
      </c>
      <c r="B401" s="31">
        <v>40561</v>
      </c>
      <c r="C401" s="10">
        <v>1</v>
      </c>
      <c r="D401" s="10">
        <v>0</v>
      </c>
      <c r="E401" s="10">
        <v>1</v>
      </c>
      <c r="F401" s="10">
        <v>15</v>
      </c>
      <c r="G401" s="10" t="b">
        <v>0</v>
      </c>
      <c r="H401" s="10">
        <v>2</v>
      </c>
      <c r="I401" s="10">
        <v>2</v>
      </c>
      <c r="J401" s="10">
        <v>0.22</v>
      </c>
      <c r="K401" s="10">
        <v>0.2273</v>
      </c>
      <c r="L401" s="10">
        <v>0.87</v>
      </c>
      <c r="M401" s="10">
        <v>0.16420000000000001</v>
      </c>
      <c r="N401" s="10">
        <v>3</v>
      </c>
      <c r="O401" s="10">
        <v>32</v>
      </c>
      <c r="P401" s="10">
        <v>35</v>
      </c>
      <c r="Q401" s="13" t="s">
        <v>98</v>
      </c>
      <c r="R401" s="13" t="s">
        <v>79</v>
      </c>
      <c r="S401" s="10" t="s">
        <v>80</v>
      </c>
      <c r="T401" s="11" t="s">
        <v>88</v>
      </c>
      <c r="U401" s="13" t="s">
        <v>94</v>
      </c>
      <c r="V401" s="11" t="s">
        <v>87</v>
      </c>
      <c r="W401" s="15" t="s">
        <v>84</v>
      </c>
      <c r="X401" s="10" t="s">
        <v>85</v>
      </c>
      <c r="Y401" s="13" t="s">
        <v>99</v>
      </c>
      <c r="Z401">
        <f t="shared" si="37"/>
        <v>414</v>
      </c>
      <c r="AA401" s="39">
        <f t="shared" si="38"/>
        <v>64.348571428571432</v>
      </c>
      <c r="AB401" s="39">
        <f t="shared" si="39"/>
        <v>2374.3783323697248</v>
      </c>
      <c r="AC401">
        <f t="shared" si="42"/>
        <v>0.99976199206597083</v>
      </c>
      <c r="AD401">
        <f t="shared" si="40"/>
        <v>0.99966466935684239</v>
      </c>
      <c r="AE401">
        <f t="shared" si="41"/>
        <v>27182</v>
      </c>
    </row>
    <row r="402" spans="1:31">
      <c r="A402" s="9">
        <v>401</v>
      </c>
      <c r="B402" s="30">
        <v>40561</v>
      </c>
      <c r="C402" s="9">
        <v>1</v>
      </c>
      <c r="D402" s="9">
        <v>0</v>
      </c>
      <c r="E402" s="9">
        <v>1</v>
      </c>
      <c r="F402" s="9">
        <v>16</v>
      </c>
      <c r="G402" s="9" t="b">
        <v>0</v>
      </c>
      <c r="H402" s="9">
        <v>2</v>
      </c>
      <c r="I402" s="9">
        <v>2</v>
      </c>
      <c r="J402" s="9">
        <v>0.22</v>
      </c>
      <c r="K402" s="9">
        <v>0.2273</v>
      </c>
      <c r="L402" s="9">
        <v>0.87</v>
      </c>
      <c r="M402" s="9">
        <v>0.19400000000000001</v>
      </c>
      <c r="N402" s="9">
        <v>0</v>
      </c>
      <c r="O402" s="9">
        <v>61</v>
      </c>
      <c r="P402" s="9">
        <v>61</v>
      </c>
      <c r="Q402" s="13" t="s">
        <v>98</v>
      </c>
      <c r="R402" s="13" t="s">
        <v>79</v>
      </c>
      <c r="S402" s="9" t="s">
        <v>80</v>
      </c>
      <c r="T402" s="11" t="s">
        <v>88</v>
      </c>
      <c r="U402" s="13" t="s">
        <v>94</v>
      </c>
      <c r="V402" s="11" t="s">
        <v>87</v>
      </c>
      <c r="W402" s="15" t="s">
        <v>84</v>
      </c>
      <c r="X402" s="9" t="s">
        <v>85</v>
      </c>
      <c r="Y402" s="13" t="s">
        <v>99</v>
      </c>
      <c r="Z402">
        <f t="shared" si="37"/>
        <v>413</v>
      </c>
      <c r="AA402" s="39">
        <f t="shared" si="38"/>
        <v>64.348571428571432</v>
      </c>
      <c r="AB402" s="39">
        <f t="shared" si="39"/>
        <v>2376.3508113788644</v>
      </c>
      <c r="AC402">
        <f t="shared" si="42"/>
        <v>0.99976212915152618</v>
      </c>
      <c r="AD402">
        <f t="shared" si="40"/>
        <v>0.99966508278554489</v>
      </c>
      <c r="AE402">
        <f t="shared" si="41"/>
        <v>27147</v>
      </c>
    </row>
    <row r="403" spans="1:31">
      <c r="A403" s="10">
        <v>402</v>
      </c>
      <c r="B403" s="31">
        <v>40561</v>
      </c>
      <c r="C403" s="10">
        <v>1</v>
      </c>
      <c r="D403" s="10">
        <v>0</v>
      </c>
      <c r="E403" s="10">
        <v>1</v>
      </c>
      <c r="F403" s="10">
        <v>17</v>
      </c>
      <c r="G403" s="10" t="b">
        <v>0</v>
      </c>
      <c r="H403" s="10">
        <v>2</v>
      </c>
      <c r="I403" s="10">
        <v>2</v>
      </c>
      <c r="J403" s="10">
        <v>0.22</v>
      </c>
      <c r="K403" s="10">
        <v>0.2273</v>
      </c>
      <c r="L403" s="10">
        <v>0.82</v>
      </c>
      <c r="M403" s="10">
        <v>0.19400000000000001</v>
      </c>
      <c r="N403" s="10">
        <v>1</v>
      </c>
      <c r="O403" s="10">
        <v>124</v>
      </c>
      <c r="P403" s="10">
        <v>125</v>
      </c>
      <c r="Q403" s="13" t="s">
        <v>98</v>
      </c>
      <c r="R403" s="13" t="s">
        <v>79</v>
      </c>
      <c r="S403" s="10" t="s">
        <v>80</v>
      </c>
      <c r="T403" s="11" t="s">
        <v>88</v>
      </c>
      <c r="U403" s="15" t="s">
        <v>95</v>
      </c>
      <c r="V403" s="13" t="s">
        <v>93</v>
      </c>
      <c r="W403" s="15" t="s">
        <v>84</v>
      </c>
      <c r="X403" s="10" t="s">
        <v>85</v>
      </c>
      <c r="Y403" s="13" t="s">
        <v>99</v>
      </c>
      <c r="Z403">
        <f t="shared" si="37"/>
        <v>412</v>
      </c>
      <c r="AA403" s="39">
        <f t="shared" si="38"/>
        <v>64.348571428571432</v>
      </c>
      <c r="AB403" s="39">
        <f t="shared" si="39"/>
        <v>2378.3302357057869</v>
      </c>
      <c r="AC403">
        <f t="shared" si="42"/>
        <v>0.99976213163697203</v>
      </c>
      <c r="AD403">
        <f t="shared" si="40"/>
        <v>0.99966519013028521</v>
      </c>
      <c r="AE403">
        <f t="shared" si="41"/>
        <v>27086</v>
      </c>
    </row>
    <row r="404" spans="1:31">
      <c r="A404" s="9">
        <v>403</v>
      </c>
      <c r="B404" s="30">
        <v>40561</v>
      </c>
      <c r="C404" s="9">
        <v>1</v>
      </c>
      <c r="D404" s="9">
        <v>0</v>
      </c>
      <c r="E404" s="9">
        <v>1</v>
      </c>
      <c r="F404" s="9">
        <v>18</v>
      </c>
      <c r="G404" s="9" t="b">
        <v>0</v>
      </c>
      <c r="H404" s="9">
        <v>2</v>
      </c>
      <c r="I404" s="9">
        <v>2</v>
      </c>
      <c r="J404" s="9">
        <v>0.22</v>
      </c>
      <c r="K404" s="9">
        <v>0.2273</v>
      </c>
      <c r="L404" s="9">
        <v>0.8</v>
      </c>
      <c r="M404" s="9">
        <v>0.16420000000000001</v>
      </c>
      <c r="N404" s="9">
        <v>1</v>
      </c>
      <c r="O404" s="9">
        <v>132</v>
      </c>
      <c r="P404" s="9">
        <v>133</v>
      </c>
      <c r="Q404" s="13" t="s">
        <v>98</v>
      </c>
      <c r="R404" s="13" t="s">
        <v>79</v>
      </c>
      <c r="S404" s="9" t="s">
        <v>80</v>
      </c>
      <c r="T404" s="11" t="s">
        <v>88</v>
      </c>
      <c r="U404" s="15" t="s">
        <v>95</v>
      </c>
      <c r="V404" s="13" t="s">
        <v>93</v>
      </c>
      <c r="W404" s="15" t="s">
        <v>84</v>
      </c>
      <c r="X404" s="9" t="s">
        <v>85</v>
      </c>
      <c r="Y404" s="13" t="s">
        <v>99</v>
      </c>
      <c r="Z404">
        <f t="shared" si="37"/>
        <v>411</v>
      </c>
      <c r="AA404" s="39">
        <f t="shared" si="38"/>
        <v>64.348571428571432</v>
      </c>
      <c r="AB404" s="39">
        <f t="shared" si="39"/>
        <v>2380.3175751051003</v>
      </c>
      <c r="AC404">
        <f t="shared" si="42"/>
        <v>0.99976265275647802</v>
      </c>
      <c r="AD404">
        <f t="shared" si="40"/>
        <v>0.99966544957966619</v>
      </c>
      <c r="AE404">
        <f t="shared" si="41"/>
        <v>26961</v>
      </c>
    </row>
    <row r="405" spans="1:31">
      <c r="A405" s="10">
        <v>404</v>
      </c>
      <c r="B405" s="31">
        <v>40561</v>
      </c>
      <c r="C405" s="10">
        <v>1</v>
      </c>
      <c r="D405" s="10">
        <v>0</v>
      </c>
      <c r="E405" s="10">
        <v>1</v>
      </c>
      <c r="F405" s="10">
        <v>19</v>
      </c>
      <c r="G405" s="10" t="b">
        <v>0</v>
      </c>
      <c r="H405" s="10">
        <v>2</v>
      </c>
      <c r="I405" s="10">
        <v>2</v>
      </c>
      <c r="J405" s="10">
        <v>0.22</v>
      </c>
      <c r="K405" s="10">
        <v>0.2273</v>
      </c>
      <c r="L405" s="10">
        <v>0.8</v>
      </c>
      <c r="M405" s="10">
        <v>0.1343</v>
      </c>
      <c r="N405" s="10">
        <v>1</v>
      </c>
      <c r="O405" s="10">
        <v>98</v>
      </c>
      <c r="P405" s="10">
        <v>99</v>
      </c>
      <c r="Q405" s="13" t="s">
        <v>98</v>
      </c>
      <c r="R405" s="13" t="s">
        <v>79</v>
      </c>
      <c r="S405" s="10" t="s">
        <v>80</v>
      </c>
      <c r="T405" s="11" t="s">
        <v>88</v>
      </c>
      <c r="U405" s="15" t="s">
        <v>95</v>
      </c>
      <c r="V405" s="13" t="s">
        <v>93</v>
      </c>
      <c r="W405" s="15" t="s">
        <v>84</v>
      </c>
      <c r="X405" s="10" t="s">
        <v>85</v>
      </c>
      <c r="Y405" s="13" t="s">
        <v>99</v>
      </c>
      <c r="Z405">
        <f t="shared" si="37"/>
        <v>410</v>
      </c>
      <c r="AA405" s="39">
        <f t="shared" si="38"/>
        <v>64.348571428571432</v>
      </c>
      <c r="AB405" s="39">
        <f t="shared" si="39"/>
        <v>2382.3100725707418</v>
      </c>
      <c r="AC405">
        <f t="shared" si="42"/>
        <v>0.99976332580727134</v>
      </c>
      <c r="AD405">
        <f t="shared" si="40"/>
        <v>0.99966584886833354</v>
      </c>
      <c r="AE405">
        <f t="shared" si="41"/>
        <v>26828</v>
      </c>
    </row>
    <row r="406" spans="1:31">
      <c r="A406" s="9">
        <v>405</v>
      </c>
      <c r="B406" s="30">
        <v>40561</v>
      </c>
      <c r="C406" s="9">
        <v>1</v>
      </c>
      <c r="D406" s="9">
        <v>0</v>
      </c>
      <c r="E406" s="9">
        <v>1</v>
      </c>
      <c r="F406" s="9">
        <v>20</v>
      </c>
      <c r="G406" s="9" t="b">
        <v>0</v>
      </c>
      <c r="H406" s="9">
        <v>2</v>
      </c>
      <c r="I406" s="9">
        <v>2</v>
      </c>
      <c r="J406" s="9">
        <v>0.22</v>
      </c>
      <c r="K406" s="9">
        <v>0.2727</v>
      </c>
      <c r="L406" s="9">
        <v>0.87</v>
      </c>
      <c r="M406" s="9">
        <v>0</v>
      </c>
      <c r="N406" s="9">
        <v>0</v>
      </c>
      <c r="O406" s="9">
        <v>83</v>
      </c>
      <c r="P406" s="9">
        <v>83</v>
      </c>
      <c r="Q406" s="13" t="s">
        <v>98</v>
      </c>
      <c r="R406" s="13" t="s">
        <v>79</v>
      </c>
      <c r="S406" s="9" t="s">
        <v>80</v>
      </c>
      <c r="T406" s="11" t="s">
        <v>88</v>
      </c>
      <c r="U406" s="16" t="s">
        <v>97</v>
      </c>
      <c r="V406" s="13" t="s">
        <v>93</v>
      </c>
      <c r="W406" s="15" t="s">
        <v>84</v>
      </c>
      <c r="X406" s="9" t="s">
        <v>85</v>
      </c>
      <c r="Y406" s="13" t="s">
        <v>99</v>
      </c>
      <c r="Z406">
        <f t="shared" si="37"/>
        <v>409</v>
      </c>
      <c r="AA406" s="39">
        <f t="shared" si="38"/>
        <v>64.348571428571432</v>
      </c>
      <c r="AB406" s="39">
        <f t="shared" si="39"/>
        <v>2384.3065554866894</v>
      </c>
      <c r="AC406">
        <f t="shared" si="42"/>
        <v>0.99976349232950446</v>
      </c>
      <c r="AD406">
        <f t="shared" si="40"/>
        <v>0.99966589672190276</v>
      </c>
      <c r="AE406">
        <f t="shared" si="41"/>
        <v>26729</v>
      </c>
    </row>
    <row r="407" spans="1:31">
      <c r="A407" s="10">
        <v>406</v>
      </c>
      <c r="B407" s="31">
        <v>40561</v>
      </c>
      <c r="C407" s="10">
        <v>1</v>
      </c>
      <c r="D407" s="10">
        <v>0</v>
      </c>
      <c r="E407" s="10">
        <v>1</v>
      </c>
      <c r="F407" s="10">
        <v>21</v>
      </c>
      <c r="G407" s="10" t="b">
        <v>0</v>
      </c>
      <c r="H407" s="10">
        <v>2</v>
      </c>
      <c r="I407" s="10">
        <v>2</v>
      </c>
      <c r="J407" s="10">
        <v>0.22</v>
      </c>
      <c r="K407" s="10">
        <v>0.2424</v>
      </c>
      <c r="L407" s="10">
        <v>0.93</v>
      </c>
      <c r="M407" s="10">
        <v>0.1045</v>
      </c>
      <c r="N407" s="10">
        <v>0</v>
      </c>
      <c r="O407" s="10">
        <v>41</v>
      </c>
      <c r="P407" s="10">
        <v>41</v>
      </c>
      <c r="Q407" s="13" t="s">
        <v>98</v>
      </c>
      <c r="R407" s="13" t="s">
        <v>79</v>
      </c>
      <c r="S407" s="10" t="s">
        <v>80</v>
      </c>
      <c r="T407" s="11" t="s">
        <v>88</v>
      </c>
      <c r="U407" s="16" t="s">
        <v>97</v>
      </c>
      <c r="V407" s="11" t="s">
        <v>87</v>
      </c>
      <c r="W407" s="15" t="s">
        <v>84</v>
      </c>
      <c r="X407" s="10" t="s">
        <v>85</v>
      </c>
      <c r="Y407" s="13" t="s">
        <v>99</v>
      </c>
      <c r="Z407">
        <f t="shared" si="37"/>
        <v>408</v>
      </c>
      <c r="AA407" s="39">
        <f t="shared" si="38"/>
        <v>64.348571428571432</v>
      </c>
      <c r="AB407" s="39">
        <f t="shared" si="39"/>
        <v>2386.3072994561744</v>
      </c>
      <c r="AC407">
        <f t="shared" si="42"/>
        <v>0.99976353794171946</v>
      </c>
      <c r="AD407">
        <f t="shared" si="40"/>
        <v>0.99966589973102149</v>
      </c>
      <c r="AE407">
        <f t="shared" si="41"/>
        <v>26646</v>
      </c>
    </row>
    <row r="408" spans="1:31">
      <c r="A408" s="9">
        <v>407</v>
      </c>
      <c r="B408" s="30">
        <v>40561</v>
      </c>
      <c r="C408" s="9">
        <v>1</v>
      </c>
      <c r="D408" s="9">
        <v>0</v>
      </c>
      <c r="E408" s="9">
        <v>1</v>
      </c>
      <c r="F408" s="9">
        <v>22</v>
      </c>
      <c r="G408" s="9" t="b">
        <v>0</v>
      </c>
      <c r="H408" s="9">
        <v>2</v>
      </c>
      <c r="I408" s="9">
        <v>2</v>
      </c>
      <c r="J408" s="9">
        <v>0.22</v>
      </c>
      <c r="K408" s="9">
        <v>0.2576</v>
      </c>
      <c r="L408" s="9">
        <v>0.93</v>
      </c>
      <c r="M408" s="9">
        <v>8.9599999999999999E-2</v>
      </c>
      <c r="N408" s="9">
        <v>0</v>
      </c>
      <c r="O408" s="9">
        <v>33</v>
      </c>
      <c r="P408" s="9">
        <v>33</v>
      </c>
      <c r="Q408" s="13" t="s">
        <v>98</v>
      </c>
      <c r="R408" s="13" t="s">
        <v>79</v>
      </c>
      <c r="S408" s="9" t="s">
        <v>80</v>
      </c>
      <c r="T408" s="11" t="s">
        <v>88</v>
      </c>
      <c r="U408" s="16" t="s">
        <v>97</v>
      </c>
      <c r="V408" s="11" t="s">
        <v>87</v>
      </c>
      <c r="W408" s="15" t="s">
        <v>84</v>
      </c>
      <c r="X408" s="9" t="s">
        <v>85</v>
      </c>
      <c r="Y408" s="13" t="s">
        <v>99</v>
      </c>
      <c r="Z408">
        <f t="shared" si="37"/>
        <v>407</v>
      </c>
      <c r="AA408" s="39">
        <f t="shared" si="38"/>
        <v>64.348571428571432</v>
      </c>
      <c r="AB408" s="39">
        <f t="shared" si="39"/>
        <v>2388.3102102051844</v>
      </c>
      <c r="AC408">
        <f t="shared" si="42"/>
        <v>0.99976362448140454</v>
      </c>
      <c r="AD408">
        <f t="shared" si="40"/>
        <v>0.99966631266511163</v>
      </c>
      <c r="AE408">
        <f t="shared" si="41"/>
        <v>26605</v>
      </c>
    </row>
    <row r="409" spans="1:31">
      <c r="A409" s="10">
        <v>408</v>
      </c>
      <c r="B409" s="31">
        <v>40561</v>
      </c>
      <c r="C409" s="10">
        <v>1</v>
      </c>
      <c r="D409" s="10">
        <v>0</v>
      </c>
      <c r="E409" s="10">
        <v>1</v>
      </c>
      <c r="F409" s="10">
        <v>23</v>
      </c>
      <c r="G409" s="10" t="b">
        <v>0</v>
      </c>
      <c r="H409" s="10">
        <v>2</v>
      </c>
      <c r="I409" s="10">
        <v>2</v>
      </c>
      <c r="J409" s="10">
        <v>0.22</v>
      </c>
      <c r="K409" s="10">
        <v>0.2727</v>
      </c>
      <c r="L409" s="10">
        <v>0.93</v>
      </c>
      <c r="M409" s="10">
        <v>0</v>
      </c>
      <c r="N409" s="10">
        <v>1</v>
      </c>
      <c r="O409" s="10">
        <v>19</v>
      </c>
      <c r="P409" s="10">
        <v>20</v>
      </c>
      <c r="Q409" s="13" t="s">
        <v>98</v>
      </c>
      <c r="R409" s="13" t="s">
        <v>79</v>
      </c>
      <c r="S409" s="10" t="s">
        <v>80</v>
      </c>
      <c r="T409" s="11" t="s">
        <v>88</v>
      </c>
      <c r="U409" s="16" t="s">
        <v>97</v>
      </c>
      <c r="V409" s="12" t="s">
        <v>83</v>
      </c>
      <c r="W409" s="15" t="s">
        <v>84</v>
      </c>
      <c r="X409" s="10" t="s">
        <v>85</v>
      </c>
      <c r="Y409" s="13" t="s">
        <v>99</v>
      </c>
      <c r="Z409">
        <f t="shared" si="37"/>
        <v>406</v>
      </c>
      <c r="AA409" s="39">
        <f t="shared" si="38"/>
        <v>64.348571428571432</v>
      </c>
      <c r="AB409" s="39">
        <f t="shared" si="39"/>
        <v>2390.317481581596</v>
      </c>
      <c r="AC409">
        <f t="shared" si="42"/>
        <v>0.99976377829121987</v>
      </c>
      <c r="AD409">
        <f t="shared" si="40"/>
        <v>0.99966686171009389</v>
      </c>
      <c r="AE409">
        <f t="shared" si="41"/>
        <v>26572</v>
      </c>
    </row>
    <row r="410" spans="1:31">
      <c r="A410" s="9">
        <v>409</v>
      </c>
      <c r="B410" s="30">
        <v>40562</v>
      </c>
      <c r="C410" s="9">
        <v>1</v>
      </c>
      <c r="D410" s="9">
        <v>0</v>
      </c>
      <c r="E410" s="9">
        <v>1</v>
      </c>
      <c r="F410" s="9">
        <v>0</v>
      </c>
      <c r="G410" s="9" t="b">
        <v>0</v>
      </c>
      <c r="H410" s="9">
        <v>3</v>
      </c>
      <c r="I410" s="9">
        <v>2</v>
      </c>
      <c r="J410" s="9">
        <v>0.22</v>
      </c>
      <c r="K410" s="9">
        <v>0.2727</v>
      </c>
      <c r="L410" s="9">
        <v>0.93</v>
      </c>
      <c r="M410" s="9">
        <v>0</v>
      </c>
      <c r="N410" s="9">
        <v>0</v>
      </c>
      <c r="O410" s="9">
        <v>3</v>
      </c>
      <c r="P410" s="9">
        <v>3</v>
      </c>
      <c r="Q410" s="13" t="s">
        <v>98</v>
      </c>
      <c r="R410" s="13" t="s">
        <v>79</v>
      </c>
      <c r="S410" s="9" t="s">
        <v>80</v>
      </c>
      <c r="T410" s="11" t="s">
        <v>88</v>
      </c>
      <c r="U410" s="14" t="s">
        <v>82</v>
      </c>
      <c r="V410" s="12" t="s">
        <v>83</v>
      </c>
      <c r="W410" s="15" t="s">
        <v>84</v>
      </c>
      <c r="X410" s="9" t="s">
        <v>85</v>
      </c>
      <c r="Y410" s="13" t="s">
        <v>99</v>
      </c>
      <c r="Z410">
        <f t="shared" si="37"/>
        <v>405</v>
      </c>
      <c r="AA410" s="39">
        <f t="shared" si="38"/>
        <v>64.348571428571432</v>
      </c>
      <c r="AB410" s="39">
        <f t="shared" si="39"/>
        <v>2392.3285999154809</v>
      </c>
      <c r="AC410">
        <f t="shared" si="42"/>
        <v>0.99976408201707045</v>
      </c>
      <c r="AD410">
        <f t="shared" si="40"/>
        <v>0.99966767226606656</v>
      </c>
      <c r="AE410">
        <f t="shared" si="41"/>
        <v>26552</v>
      </c>
    </row>
    <row r="411" spans="1:31">
      <c r="A411" s="10">
        <v>410</v>
      </c>
      <c r="B411" s="31">
        <v>40562</v>
      </c>
      <c r="C411" s="10">
        <v>1</v>
      </c>
      <c r="D411" s="10">
        <v>0</v>
      </c>
      <c r="E411" s="10">
        <v>1</v>
      </c>
      <c r="F411" s="10">
        <v>1</v>
      </c>
      <c r="G411" s="10" t="b">
        <v>0</v>
      </c>
      <c r="H411" s="10">
        <v>3</v>
      </c>
      <c r="I411" s="10">
        <v>3</v>
      </c>
      <c r="J411" s="10">
        <v>0.22</v>
      </c>
      <c r="K411" s="10">
        <v>0.2273</v>
      </c>
      <c r="L411" s="10">
        <v>0.93</v>
      </c>
      <c r="M411" s="10">
        <v>0.1343</v>
      </c>
      <c r="N411" s="10">
        <v>1</v>
      </c>
      <c r="O411" s="10">
        <v>6</v>
      </c>
      <c r="P411" s="10">
        <v>7</v>
      </c>
      <c r="Q411" s="13" t="s">
        <v>98</v>
      </c>
      <c r="R411" s="13" t="s">
        <v>79</v>
      </c>
      <c r="S411" s="10" t="s">
        <v>80</v>
      </c>
      <c r="T411" s="12" t="s">
        <v>96</v>
      </c>
      <c r="U411" s="14" t="s">
        <v>82</v>
      </c>
      <c r="V411" s="12" t="s">
        <v>83</v>
      </c>
      <c r="W411" s="15" t="s">
        <v>84</v>
      </c>
      <c r="X411" s="10" t="s">
        <v>85</v>
      </c>
      <c r="Y411" s="13" t="s">
        <v>99</v>
      </c>
      <c r="Z411">
        <f t="shared" si="37"/>
        <v>404</v>
      </c>
      <c r="AA411" s="39">
        <f t="shared" si="38"/>
        <v>64.348571428571432</v>
      </c>
      <c r="AB411" s="39">
        <f t="shared" si="39"/>
        <v>2394.3430194823518</v>
      </c>
      <c r="AC411">
        <f t="shared" si="42"/>
        <v>0.99976465789668589</v>
      </c>
      <c r="AD411">
        <f t="shared" si="40"/>
        <v>0.99966890111490125</v>
      </c>
      <c r="AE411">
        <f t="shared" si="41"/>
        <v>26549</v>
      </c>
    </row>
    <row r="412" spans="1:31">
      <c r="A412" s="9">
        <v>411</v>
      </c>
      <c r="B412" s="30">
        <v>40562</v>
      </c>
      <c r="C412" s="9">
        <v>1</v>
      </c>
      <c r="D412" s="9">
        <v>0</v>
      </c>
      <c r="E412" s="9">
        <v>1</v>
      </c>
      <c r="F412" s="9">
        <v>2</v>
      </c>
      <c r="G412" s="9" t="b">
        <v>0</v>
      </c>
      <c r="H412" s="9">
        <v>3</v>
      </c>
      <c r="I412" s="9">
        <v>3</v>
      </c>
      <c r="J412" s="9">
        <v>0.22</v>
      </c>
      <c r="K412" s="9">
        <v>0.2273</v>
      </c>
      <c r="L412" s="9">
        <v>0.93</v>
      </c>
      <c r="M412" s="9">
        <v>0.1343</v>
      </c>
      <c r="N412" s="9">
        <v>0</v>
      </c>
      <c r="O412" s="9">
        <v>3</v>
      </c>
      <c r="P412" s="9">
        <v>3</v>
      </c>
      <c r="Q412" s="13" t="s">
        <v>98</v>
      </c>
      <c r="R412" s="13" t="s">
        <v>79</v>
      </c>
      <c r="S412" s="9" t="s">
        <v>80</v>
      </c>
      <c r="T412" s="12" t="s">
        <v>96</v>
      </c>
      <c r="U412" s="14" t="s">
        <v>82</v>
      </c>
      <c r="V412" s="12" t="s">
        <v>83</v>
      </c>
      <c r="W412" s="15" t="s">
        <v>84</v>
      </c>
      <c r="X412" s="9" t="s">
        <v>85</v>
      </c>
      <c r="Y412" s="13" t="s">
        <v>99</v>
      </c>
      <c r="Z412">
        <f t="shared" si="37"/>
        <v>403</v>
      </c>
      <c r="AA412" s="39">
        <f t="shared" si="38"/>
        <v>64.348571428571432</v>
      </c>
      <c r="AB412" s="39">
        <f t="shared" si="39"/>
        <v>2396.3629753582018</v>
      </c>
      <c r="AC412">
        <f t="shared" si="42"/>
        <v>0.99976516413177907</v>
      </c>
      <c r="AD412">
        <f t="shared" si="40"/>
        <v>0.99967002849880493</v>
      </c>
      <c r="AE412">
        <f t="shared" si="41"/>
        <v>26542</v>
      </c>
    </row>
    <row r="413" spans="1:31">
      <c r="A413" s="10">
        <v>412</v>
      </c>
      <c r="B413" s="31">
        <v>40562</v>
      </c>
      <c r="C413" s="10">
        <v>1</v>
      </c>
      <c r="D413" s="10">
        <v>0</v>
      </c>
      <c r="E413" s="10">
        <v>1</v>
      </c>
      <c r="F413" s="10">
        <v>4</v>
      </c>
      <c r="G413" s="10" t="b">
        <v>0</v>
      </c>
      <c r="H413" s="10">
        <v>3</v>
      </c>
      <c r="I413" s="10">
        <v>3</v>
      </c>
      <c r="J413" s="10">
        <v>0.22</v>
      </c>
      <c r="K413" s="10">
        <v>0.2273</v>
      </c>
      <c r="L413" s="10">
        <v>0.93</v>
      </c>
      <c r="M413" s="10">
        <v>0.1343</v>
      </c>
      <c r="N413" s="10">
        <v>1</v>
      </c>
      <c r="O413" s="10">
        <v>1</v>
      </c>
      <c r="P413" s="10">
        <v>2</v>
      </c>
      <c r="Q413" s="13" t="s">
        <v>98</v>
      </c>
      <c r="R413" s="13" t="s">
        <v>79</v>
      </c>
      <c r="S413" s="10" t="s">
        <v>80</v>
      </c>
      <c r="T413" s="12" t="s">
        <v>96</v>
      </c>
      <c r="U413" s="14" t="s">
        <v>82</v>
      </c>
      <c r="V413" s="12" t="s">
        <v>83</v>
      </c>
      <c r="W413" s="15" t="s">
        <v>84</v>
      </c>
      <c r="X413" s="10" t="s">
        <v>85</v>
      </c>
      <c r="Y413" s="13" t="s">
        <v>99</v>
      </c>
      <c r="Z413">
        <f t="shared" si="37"/>
        <v>402</v>
      </c>
      <c r="AA413" s="39">
        <f t="shared" si="38"/>
        <v>64.348571428571432</v>
      </c>
      <c r="AB413" s="39">
        <f t="shared" si="39"/>
        <v>2398.3876118469288</v>
      </c>
      <c r="AC413">
        <f t="shared" si="42"/>
        <v>0.99976574381506134</v>
      </c>
      <c r="AD413">
        <f t="shared" si="40"/>
        <v>0.99967126554088026</v>
      </c>
      <c r="AE413">
        <f t="shared" si="41"/>
        <v>26539</v>
      </c>
    </row>
    <row r="414" spans="1:31">
      <c r="A414" s="9">
        <v>413</v>
      </c>
      <c r="B414" s="30">
        <v>40562</v>
      </c>
      <c r="C414" s="9">
        <v>1</v>
      </c>
      <c r="D414" s="9">
        <v>0</v>
      </c>
      <c r="E414" s="9">
        <v>1</v>
      </c>
      <c r="F414" s="9">
        <v>5</v>
      </c>
      <c r="G414" s="9" t="b">
        <v>0</v>
      </c>
      <c r="H414" s="9">
        <v>3</v>
      </c>
      <c r="I414" s="9">
        <v>2</v>
      </c>
      <c r="J414" s="9">
        <v>0.22</v>
      </c>
      <c r="K414" s="9">
        <v>0.2576</v>
      </c>
      <c r="L414" s="9">
        <v>0.93</v>
      </c>
      <c r="M414" s="9">
        <v>8.9599999999999999E-2</v>
      </c>
      <c r="N414" s="9">
        <v>0</v>
      </c>
      <c r="O414" s="9">
        <v>7</v>
      </c>
      <c r="P414" s="9">
        <v>7</v>
      </c>
      <c r="Q414" s="13" t="s">
        <v>98</v>
      </c>
      <c r="R414" s="13" t="s">
        <v>79</v>
      </c>
      <c r="S414" s="9" t="s">
        <v>80</v>
      </c>
      <c r="T414" s="11" t="s">
        <v>88</v>
      </c>
      <c r="U414" s="15" t="s">
        <v>89</v>
      </c>
      <c r="V414" s="12" t="s">
        <v>83</v>
      </c>
      <c r="W414" s="15" t="s">
        <v>84</v>
      </c>
      <c r="X414" s="9" t="s">
        <v>85</v>
      </c>
      <c r="Y414" s="13" t="s">
        <v>99</v>
      </c>
      <c r="Z414">
        <f t="shared" si="37"/>
        <v>401</v>
      </c>
      <c r="AA414" s="39">
        <f t="shared" si="38"/>
        <v>64.348571428571432</v>
      </c>
      <c r="AB414" s="39">
        <f t="shared" si="39"/>
        <v>2400.4172765323292</v>
      </c>
      <c r="AC414">
        <f t="shared" si="42"/>
        <v>0.999766344179286</v>
      </c>
      <c r="AD414">
        <f t="shared" si="40"/>
        <v>0.99967253404320067</v>
      </c>
      <c r="AE414">
        <f t="shared" si="41"/>
        <v>26537</v>
      </c>
    </row>
    <row r="415" spans="1:31">
      <c r="A415" s="10">
        <v>414</v>
      </c>
      <c r="B415" s="31">
        <v>40562</v>
      </c>
      <c r="C415" s="10">
        <v>1</v>
      </c>
      <c r="D415" s="10">
        <v>0</v>
      </c>
      <c r="E415" s="10">
        <v>1</v>
      </c>
      <c r="F415" s="10">
        <v>6</v>
      </c>
      <c r="G415" s="10" t="b">
        <v>0</v>
      </c>
      <c r="H415" s="10">
        <v>3</v>
      </c>
      <c r="I415" s="10">
        <v>2</v>
      </c>
      <c r="J415" s="10">
        <v>0.22</v>
      </c>
      <c r="K415" s="10">
        <v>0.2576</v>
      </c>
      <c r="L415" s="10">
        <v>0.93</v>
      </c>
      <c r="M415" s="10">
        <v>8.9599999999999999E-2</v>
      </c>
      <c r="N415" s="10">
        <v>0</v>
      </c>
      <c r="O415" s="10">
        <v>32</v>
      </c>
      <c r="P415" s="10">
        <v>32</v>
      </c>
      <c r="Q415" s="13" t="s">
        <v>98</v>
      </c>
      <c r="R415" s="13" t="s">
        <v>79</v>
      </c>
      <c r="S415" s="10" t="s">
        <v>80</v>
      </c>
      <c r="T415" s="11" t="s">
        <v>88</v>
      </c>
      <c r="U415" s="15" t="s">
        <v>89</v>
      </c>
      <c r="V415" s="11" t="s">
        <v>87</v>
      </c>
      <c r="W415" s="15" t="s">
        <v>84</v>
      </c>
      <c r="X415" s="10" t="s">
        <v>85</v>
      </c>
      <c r="Y415" s="13" t="s">
        <v>99</v>
      </c>
      <c r="Z415">
        <f t="shared" si="37"/>
        <v>400</v>
      </c>
      <c r="AA415" s="39">
        <f t="shared" si="38"/>
        <v>64.348571428571432</v>
      </c>
      <c r="AB415" s="39">
        <f t="shared" si="39"/>
        <v>2402.4526577401057</v>
      </c>
      <c r="AC415">
        <f t="shared" si="42"/>
        <v>0.99976685588530412</v>
      </c>
      <c r="AD415">
        <f t="shared" si="40"/>
        <v>0.99967367340218349</v>
      </c>
      <c r="AE415">
        <f t="shared" si="41"/>
        <v>26530</v>
      </c>
    </row>
    <row r="416" spans="1:31">
      <c r="A416" s="9">
        <v>415</v>
      </c>
      <c r="B416" s="30">
        <v>40562</v>
      </c>
      <c r="C416" s="9">
        <v>1</v>
      </c>
      <c r="D416" s="9">
        <v>0</v>
      </c>
      <c r="E416" s="9">
        <v>1</v>
      </c>
      <c r="F416" s="9">
        <v>7</v>
      </c>
      <c r="G416" s="9" t="b">
        <v>0</v>
      </c>
      <c r="H416" s="9">
        <v>3</v>
      </c>
      <c r="I416" s="9">
        <v>2</v>
      </c>
      <c r="J416" s="9">
        <v>0.24</v>
      </c>
      <c r="K416" s="9">
        <v>0.2576</v>
      </c>
      <c r="L416" s="9">
        <v>0.92</v>
      </c>
      <c r="M416" s="9">
        <v>0.1045</v>
      </c>
      <c r="N416" s="9">
        <v>1</v>
      </c>
      <c r="O416" s="9">
        <v>89</v>
      </c>
      <c r="P416" s="9">
        <v>90</v>
      </c>
      <c r="Q416" s="13" t="s">
        <v>98</v>
      </c>
      <c r="R416" s="13" t="s">
        <v>79</v>
      </c>
      <c r="S416" s="9" t="s">
        <v>80</v>
      </c>
      <c r="T416" s="11" t="s">
        <v>88</v>
      </c>
      <c r="U416" s="15" t="s">
        <v>89</v>
      </c>
      <c r="V416" s="13" t="s">
        <v>93</v>
      </c>
      <c r="W416" s="15" t="s">
        <v>84</v>
      </c>
      <c r="X416" s="9" t="s">
        <v>85</v>
      </c>
      <c r="Y416" s="13" t="s">
        <v>99</v>
      </c>
      <c r="Z416">
        <f t="shared" si="37"/>
        <v>399</v>
      </c>
      <c r="AA416" s="39">
        <f t="shared" si="38"/>
        <v>64.348571428571432</v>
      </c>
      <c r="AB416" s="39">
        <f t="shared" si="39"/>
        <v>2404.4957405915002</v>
      </c>
      <c r="AC416">
        <f t="shared" si="42"/>
        <v>0.99976702588587174</v>
      </c>
      <c r="AD416">
        <f t="shared" si="40"/>
        <v>0.99967425899338092</v>
      </c>
      <c r="AE416">
        <f t="shared" si="41"/>
        <v>26498</v>
      </c>
    </row>
    <row r="417" spans="1:31">
      <c r="A417" s="10">
        <v>416</v>
      </c>
      <c r="B417" s="31">
        <v>40562</v>
      </c>
      <c r="C417" s="10">
        <v>1</v>
      </c>
      <c r="D417" s="10">
        <v>0</v>
      </c>
      <c r="E417" s="10">
        <v>1</v>
      </c>
      <c r="F417" s="10">
        <v>8</v>
      </c>
      <c r="G417" s="10" t="b">
        <v>0</v>
      </c>
      <c r="H417" s="10">
        <v>3</v>
      </c>
      <c r="I417" s="10">
        <v>2</v>
      </c>
      <c r="J417" s="10">
        <v>0.24</v>
      </c>
      <c r="K417" s="10">
        <v>0.2576</v>
      </c>
      <c r="L417" s="10">
        <v>0.93</v>
      </c>
      <c r="M417" s="10">
        <v>0.1045</v>
      </c>
      <c r="N417" s="10">
        <v>1</v>
      </c>
      <c r="O417" s="10">
        <v>196</v>
      </c>
      <c r="P417" s="10">
        <v>197</v>
      </c>
      <c r="Q417" s="13" t="s">
        <v>98</v>
      </c>
      <c r="R417" s="13" t="s">
        <v>79</v>
      </c>
      <c r="S417" s="10" t="s">
        <v>80</v>
      </c>
      <c r="T417" s="11" t="s">
        <v>88</v>
      </c>
      <c r="U417" s="15" t="s">
        <v>89</v>
      </c>
      <c r="V417" s="13" t="s">
        <v>93</v>
      </c>
      <c r="W417" s="15" t="s">
        <v>84</v>
      </c>
      <c r="X417" s="10" t="s">
        <v>85</v>
      </c>
      <c r="Y417" s="13" t="s">
        <v>99</v>
      </c>
      <c r="Z417">
        <f t="shared" si="37"/>
        <v>398</v>
      </c>
      <c r="AA417" s="39">
        <f t="shared" si="38"/>
        <v>64.348571428571432</v>
      </c>
      <c r="AB417" s="39">
        <f t="shared" si="39"/>
        <v>2406.5481817492819</v>
      </c>
      <c r="AC417">
        <f t="shared" si="42"/>
        <v>0.99976707482622096</v>
      </c>
      <c r="AD417">
        <f t="shared" si="40"/>
        <v>0.99967426101573498</v>
      </c>
      <c r="AE417">
        <f t="shared" si="41"/>
        <v>26408</v>
      </c>
    </row>
    <row r="418" spans="1:31">
      <c r="A418" s="9">
        <v>417</v>
      </c>
      <c r="B418" s="30">
        <v>40562</v>
      </c>
      <c r="C418" s="9">
        <v>1</v>
      </c>
      <c r="D418" s="9">
        <v>0</v>
      </c>
      <c r="E418" s="9">
        <v>1</v>
      </c>
      <c r="F418" s="9">
        <v>9</v>
      </c>
      <c r="G418" s="9" t="b">
        <v>0</v>
      </c>
      <c r="H418" s="9">
        <v>3</v>
      </c>
      <c r="I418" s="9">
        <v>2</v>
      </c>
      <c r="J418" s="9">
        <v>0.24</v>
      </c>
      <c r="K418" s="9">
        <v>0.2576</v>
      </c>
      <c r="L418" s="9">
        <v>0.93</v>
      </c>
      <c r="M418" s="9">
        <v>0.1045</v>
      </c>
      <c r="N418" s="9">
        <v>2</v>
      </c>
      <c r="O418" s="9">
        <v>107</v>
      </c>
      <c r="P418" s="9">
        <v>109</v>
      </c>
      <c r="Q418" s="13" t="s">
        <v>98</v>
      </c>
      <c r="R418" s="13" t="s">
        <v>79</v>
      </c>
      <c r="S418" s="9" t="s">
        <v>80</v>
      </c>
      <c r="T418" s="11" t="s">
        <v>88</v>
      </c>
      <c r="U418" s="15" t="s">
        <v>89</v>
      </c>
      <c r="V418" s="13" t="s">
        <v>93</v>
      </c>
      <c r="W418" s="15" t="s">
        <v>84</v>
      </c>
      <c r="X418" s="9" t="s">
        <v>85</v>
      </c>
      <c r="Y418" s="13" t="s">
        <v>99</v>
      </c>
      <c r="Z418">
        <f t="shared" si="37"/>
        <v>397</v>
      </c>
      <c r="AA418" s="39">
        <f t="shared" si="38"/>
        <v>64.348571428571432</v>
      </c>
      <c r="AB418" s="39">
        <f t="shared" si="39"/>
        <v>2408.6072492606027</v>
      </c>
      <c r="AC418">
        <f t="shared" si="42"/>
        <v>0.99976939583809066</v>
      </c>
      <c r="AD418">
        <f t="shared" si="40"/>
        <v>0.99967579555122732</v>
      </c>
      <c r="AE418">
        <f t="shared" si="41"/>
        <v>26211</v>
      </c>
    </row>
    <row r="419" spans="1:31">
      <c r="A419" s="10">
        <v>418</v>
      </c>
      <c r="B419" s="31">
        <v>40562</v>
      </c>
      <c r="C419" s="10">
        <v>1</v>
      </c>
      <c r="D419" s="10">
        <v>0</v>
      </c>
      <c r="E419" s="10">
        <v>1</v>
      </c>
      <c r="F419" s="10">
        <v>10</v>
      </c>
      <c r="G419" s="10" t="b">
        <v>0</v>
      </c>
      <c r="H419" s="10">
        <v>3</v>
      </c>
      <c r="I419" s="10">
        <v>2</v>
      </c>
      <c r="J419" s="10">
        <v>0.26</v>
      </c>
      <c r="K419" s="10">
        <v>0.2727</v>
      </c>
      <c r="L419" s="10">
        <v>0.93</v>
      </c>
      <c r="M419" s="10">
        <v>0.1343</v>
      </c>
      <c r="N419" s="10">
        <v>1</v>
      </c>
      <c r="O419" s="10">
        <v>46</v>
      </c>
      <c r="P419" s="10">
        <v>47</v>
      </c>
      <c r="Q419" s="13" t="s">
        <v>98</v>
      </c>
      <c r="R419" s="13" t="s">
        <v>79</v>
      </c>
      <c r="S419" s="10" t="s">
        <v>80</v>
      </c>
      <c r="T419" s="11" t="s">
        <v>88</v>
      </c>
      <c r="U419" s="13" t="s">
        <v>91</v>
      </c>
      <c r="V419" s="11" t="s">
        <v>87</v>
      </c>
      <c r="W419" s="13" t="s">
        <v>90</v>
      </c>
      <c r="X419" s="10" t="s">
        <v>85</v>
      </c>
      <c r="Y419" s="13" t="s">
        <v>99</v>
      </c>
      <c r="Z419">
        <f t="shared" si="37"/>
        <v>396</v>
      </c>
      <c r="AA419" s="39">
        <f t="shared" si="38"/>
        <v>64.348571428571432</v>
      </c>
      <c r="AB419" s="39">
        <f t="shared" si="39"/>
        <v>2410.671090038883</v>
      </c>
      <c r="AC419">
        <f t="shared" si="42"/>
        <v>0.99976960362593259</v>
      </c>
      <c r="AD419">
        <f t="shared" si="40"/>
        <v>0.99967582446204006</v>
      </c>
      <c r="AE419">
        <f t="shared" si="41"/>
        <v>26102</v>
      </c>
    </row>
    <row r="420" spans="1:31">
      <c r="A420" s="9">
        <v>419</v>
      </c>
      <c r="B420" s="30">
        <v>40562</v>
      </c>
      <c r="C420" s="9">
        <v>1</v>
      </c>
      <c r="D420" s="9">
        <v>0</v>
      </c>
      <c r="E420" s="9">
        <v>1</v>
      </c>
      <c r="F420" s="9">
        <v>11</v>
      </c>
      <c r="G420" s="9" t="b">
        <v>0</v>
      </c>
      <c r="H420" s="9">
        <v>3</v>
      </c>
      <c r="I420" s="9">
        <v>2</v>
      </c>
      <c r="J420" s="9">
        <v>0.28000000000000003</v>
      </c>
      <c r="K420" s="9">
        <v>0.30299999999999999</v>
      </c>
      <c r="L420" s="9">
        <v>0.87</v>
      </c>
      <c r="M420" s="9">
        <v>8.9599999999999999E-2</v>
      </c>
      <c r="N420" s="9">
        <v>5</v>
      </c>
      <c r="O420" s="9">
        <v>47</v>
      </c>
      <c r="P420" s="9">
        <v>52</v>
      </c>
      <c r="Q420" s="13" t="s">
        <v>98</v>
      </c>
      <c r="R420" s="13" t="s">
        <v>79</v>
      </c>
      <c r="S420" s="9" t="s">
        <v>80</v>
      </c>
      <c r="T420" s="11" t="s">
        <v>88</v>
      </c>
      <c r="U420" s="13" t="s">
        <v>91</v>
      </c>
      <c r="V420" s="11" t="s">
        <v>87</v>
      </c>
      <c r="W420" s="13" t="s">
        <v>90</v>
      </c>
      <c r="X420" s="9" t="s">
        <v>85</v>
      </c>
      <c r="Y420" s="13" t="s">
        <v>99</v>
      </c>
      <c r="Z420">
        <f t="shared" si="37"/>
        <v>395</v>
      </c>
      <c r="AA420" s="39">
        <f t="shared" si="38"/>
        <v>64.348571428571432</v>
      </c>
      <c r="AB420" s="39">
        <f t="shared" si="39"/>
        <v>2412.7365566608132</v>
      </c>
      <c r="AC420">
        <f t="shared" si="42"/>
        <v>0.99976973666049063</v>
      </c>
      <c r="AD420">
        <f t="shared" si="40"/>
        <v>0.99967616293905714</v>
      </c>
      <c r="AE420">
        <f t="shared" si="41"/>
        <v>26055</v>
      </c>
    </row>
    <row r="421" spans="1:31">
      <c r="A421" s="10">
        <v>420</v>
      </c>
      <c r="B421" s="31">
        <v>40562</v>
      </c>
      <c r="C421" s="10">
        <v>1</v>
      </c>
      <c r="D421" s="10">
        <v>0</v>
      </c>
      <c r="E421" s="10">
        <v>1</v>
      </c>
      <c r="F421" s="10">
        <v>12</v>
      </c>
      <c r="G421" s="10" t="b">
        <v>0</v>
      </c>
      <c r="H421" s="10">
        <v>3</v>
      </c>
      <c r="I421" s="10">
        <v>2</v>
      </c>
      <c r="J421" s="10">
        <v>0.3</v>
      </c>
      <c r="K421" s="10">
        <v>0.31819999999999998</v>
      </c>
      <c r="L421" s="10">
        <v>0.81</v>
      </c>
      <c r="M421" s="10">
        <v>8.9599999999999999E-2</v>
      </c>
      <c r="N421" s="10">
        <v>5</v>
      </c>
      <c r="O421" s="10">
        <v>65</v>
      </c>
      <c r="P421" s="10">
        <v>70</v>
      </c>
      <c r="Q421" s="13" t="s">
        <v>98</v>
      </c>
      <c r="R421" s="13" t="s">
        <v>79</v>
      </c>
      <c r="S421" s="10" t="s">
        <v>80</v>
      </c>
      <c r="T421" s="11" t="s">
        <v>88</v>
      </c>
      <c r="U421" s="11" t="s">
        <v>92</v>
      </c>
      <c r="V421" s="13" t="s">
        <v>93</v>
      </c>
      <c r="W421" s="13" t="s">
        <v>90</v>
      </c>
      <c r="X421" s="10" t="s">
        <v>85</v>
      </c>
      <c r="Y421" s="13" t="s">
        <v>99</v>
      </c>
      <c r="Z421">
        <f t="shared" si="37"/>
        <v>394</v>
      </c>
      <c r="AA421" s="39">
        <f t="shared" si="38"/>
        <v>64.348571428571432</v>
      </c>
      <c r="AB421" s="39">
        <f t="shared" si="39"/>
        <v>2414.8077416360302</v>
      </c>
      <c r="AC421">
        <f t="shared" si="42"/>
        <v>0.99976987620422031</v>
      </c>
      <c r="AD421">
        <f t="shared" si="40"/>
        <v>0.99967636432531959</v>
      </c>
      <c r="AE421">
        <f t="shared" si="41"/>
        <v>26003</v>
      </c>
    </row>
    <row r="422" spans="1:31">
      <c r="A422" s="9">
        <v>421</v>
      </c>
      <c r="B422" s="30">
        <v>40562</v>
      </c>
      <c r="C422" s="9">
        <v>1</v>
      </c>
      <c r="D422" s="9">
        <v>0</v>
      </c>
      <c r="E422" s="9">
        <v>1</v>
      </c>
      <c r="F422" s="9">
        <v>13</v>
      </c>
      <c r="G422" s="9" t="b">
        <v>0</v>
      </c>
      <c r="H422" s="9">
        <v>3</v>
      </c>
      <c r="I422" s="9">
        <v>1</v>
      </c>
      <c r="J422" s="9">
        <v>0.4</v>
      </c>
      <c r="K422" s="9">
        <v>0.40910000000000002</v>
      </c>
      <c r="L422" s="9">
        <v>0.62</v>
      </c>
      <c r="M422" s="9">
        <v>0.28360000000000002</v>
      </c>
      <c r="N422" s="9">
        <v>11</v>
      </c>
      <c r="O422" s="9">
        <v>67</v>
      </c>
      <c r="P422" s="9">
        <v>78</v>
      </c>
      <c r="Q422" s="13" t="s">
        <v>98</v>
      </c>
      <c r="R422" s="13" t="s">
        <v>79</v>
      </c>
      <c r="S422" s="9" t="s">
        <v>80</v>
      </c>
      <c r="T422" s="13" t="s">
        <v>81</v>
      </c>
      <c r="U422" s="11" t="s">
        <v>92</v>
      </c>
      <c r="V422" s="13" t="s">
        <v>93</v>
      </c>
      <c r="W422" s="13" t="s">
        <v>90</v>
      </c>
      <c r="X422" s="9" t="s">
        <v>85</v>
      </c>
      <c r="Y422" s="13" t="s">
        <v>99</v>
      </c>
      <c r="Z422">
        <f t="shared" si="37"/>
        <v>393</v>
      </c>
      <c r="AA422" s="39">
        <f t="shared" si="38"/>
        <v>64.348571428571432</v>
      </c>
      <c r="AB422" s="39">
        <f t="shared" si="39"/>
        <v>2416.8855660680788</v>
      </c>
      <c r="AC422">
        <f t="shared" si="42"/>
        <v>0.99976992637836237</v>
      </c>
      <c r="AD422">
        <f t="shared" si="40"/>
        <v>0.99967638876809495</v>
      </c>
      <c r="AE422">
        <f t="shared" si="41"/>
        <v>25933</v>
      </c>
    </row>
    <row r="423" spans="1:31">
      <c r="A423" s="10">
        <v>422</v>
      </c>
      <c r="B423" s="31">
        <v>40562</v>
      </c>
      <c r="C423" s="10">
        <v>1</v>
      </c>
      <c r="D423" s="10">
        <v>0</v>
      </c>
      <c r="E423" s="10">
        <v>1</v>
      </c>
      <c r="F423" s="10">
        <v>14</v>
      </c>
      <c r="G423" s="10" t="b">
        <v>0</v>
      </c>
      <c r="H423" s="10">
        <v>3</v>
      </c>
      <c r="I423" s="10">
        <v>1</v>
      </c>
      <c r="J423" s="10">
        <v>0.4</v>
      </c>
      <c r="K423" s="10">
        <v>0.40910000000000002</v>
      </c>
      <c r="L423" s="10">
        <v>0.57999999999999996</v>
      </c>
      <c r="M423" s="10">
        <v>0.25369999999999998</v>
      </c>
      <c r="N423" s="10">
        <v>7</v>
      </c>
      <c r="O423" s="10">
        <v>68</v>
      </c>
      <c r="P423" s="10">
        <v>75</v>
      </c>
      <c r="Q423" s="13" t="s">
        <v>98</v>
      </c>
      <c r="R423" s="13" t="s">
        <v>79</v>
      </c>
      <c r="S423" s="10" t="s">
        <v>80</v>
      </c>
      <c r="T423" s="13" t="s">
        <v>81</v>
      </c>
      <c r="U423" s="13" t="s">
        <v>94</v>
      </c>
      <c r="V423" s="13" t="s">
        <v>93</v>
      </c>
      <c r="W423" s="13" t="s">
        <v>90</v>
      </c>
      <c r="X423" s="10" t="s">
        <v>85</v>
      </c>
      <c r="Y423" s="13" t="s">
        <v>99</v>
      </c>
      <c r="Z423">
        <f t="shared" si="37"/>
        <v>392</v>
      </c>
      <c r="AA423" s="39">
        <f t="shared" si="38"/>
        <v>64.309455587392549</v>
      </c>
      <c r="AB423" s="39">
        <f t="shared" si="39"/>
        <v>2418.9692665196771</v>
      </c>
      <c r="AC423">
        <f t="shared" si="42"/>
        <v>0.99977014932694563</v>
      </c>
      <c r="AD423">
        <f t="shared" si="40"/>
        <v>0.99967641677478269</v>
      </c>
      <c r="AE423">
        <f t="shared" si="41"/>
        <v>25855</v>
      </c>
    </row>
    <row r="424" spans="1:31">
      <c r="A424" s="9">
        <v>423</v>
      </c>
      <c r="B424" s="30">
        <v>40562</v>
      </c>
      <c r="C424" s="9">
        <v>1</v>
      </c>
      <c r="D424" s="9">
        <v>0</v>
      </c>
      <c r="E424" s="9">
        <v>1</v>
      </c>
      <c r="F424" s="9">
        <v>15</v>
      </c>
      <c r="G424" s="9" t="b">
        <v>0</v>
      </c>
      <c r="H424" s="9">
        <v>3</v>
      </c>
      <c r="I424" s="9">
        <v>1</v>
      </c>
      <c r="J424" s="9">
        <v>0.4</v>
      </c>
      <c r="K424" s="9">
        <v>0.40910000000000002</v>
      </c>
      <c r="L424" s="9">
        <v>0.54</v>
      </c>
      <c r="M424" s="9">
        <v>0.28360000000000002</v>
      </c>
      <c r="N424" s="9">
        <v>4</v>
      </c>
      <c r="O424" s="9">
        <v>78</v>
      </c>
      <c r="P424" s="9">
        <v>82</v>
      </c>
      <c r="Q424" s="13" t="s">
        <v>98</v>
      </c>
      <c r="R424" s="13" t="s">
        <v>79</v>
      </c>
      <c r="S424" s="9" t="s">
        <v>80</v>
      </c>
      <c r="T424" s="13" t="s">
        <v>81</v>
      </c>
      <c r="U424" s="13" t="s">
        <v>94</v>
      </c>
      <c r="V424" s="13" t="s">
        <v>93</v>
      </c>
      <c r="W424" s="13" t="s">
        <v>90</v>
      </c>
      <c r="X424" s="9" t="s">
        <v>85</v>
      </c>
      <c r="Y424" s="13" t="s">
        <v>99</v>
      </c>
      <c r="Z424">
        <f t="shared" si="37"/>
        <v>391</v>
      </c>
      <c r="AA424" s="39">
        <f t="shared" si="38"/>
        <v>64.27873563218391</v>
      </c>
      <c r="AB424" s="39">
        <f t="shared" si="39"/>
        <v>2421.0581818326468</v>
      </c>
      <c r="AC424">
        <f t="shared" si="42"/>
        <v>0.999770408889738</v>
      </c>
      <c r="AD424">
        <f t="shared" si="40"/>
        <v>0.99967644911773279</v>
      </c>
      <c r="AE424">
        <f t="shared" si="41"/>
        <v>25780</v>
      </c>
    </row>
    <row r="425" spans="1:31">
      <c r="A425" s="10">
        <v>424</v>
      </c>
      <c r="B425" s="31">
        <v>40562</v>
      </c>
      <c r="C425" s="10">
        <v>1</v>
      </c>
      <c r="D425" s="10">
        <v>0</v>
      </c>
      <c r="E425" s="10">
        <v>1</v>
      </c>
      <c r="F425" s="10">
        <v>16</v>
      </c>
      <c r="G425" s="10" t="b">
        <v>0</v>
      </c>
      <c r="H425" s="10">
        <v>3</v>
      </c>
      <c r="I425" s="10">
        <v>1</v>
      </c>
      <c r="J425" s="10">
        <v>0.38</v>
      </c>
      <c r="K425" s="10">
        <v>0.39389999999999997</v>
      </c>
      <c r="L425" s="10">
        <v>0.57999999999999996</v>
      </c>
      <c r="M425" s="10">
        <v>0.3881</v>
      </c>
      <c r="N425" s="10">
        <v>10</v>
      </c>
      <c r="O425" s="10">
        <v>94</v>
      </c>
      <c r="P425" s="10">
        <v>104</v>
      </c>
      <c r="Q425" s="13" t="s">
        <v>98</v>
      </c>
      <c r="R425" s="13" t="s">
        <v>79</v>
      </c>
      <c r="S425" s="10" t="s">
        <v>80</v>
      </c>
      <c r="T425" s="13" t="s">
        <v>81</v>
      </c>
      <c r="U425" s="13" t="s">
        <v>94</v>
      </c>
      <c r="V425" s="13" t="s">
        <v>93</v>
      </c>
      <c r="W425" s="13" t="s">
        <v>90</v>
      </c>
      <c r="X425" s="10" t="s">
        <v>85</v>
      </c>
      <c r="Y425" s="13" t="s">
        <v>99</v>
      </c>
      <c r="Z425">
        <f t="shared" si="37"/>
        <v>390</v>
      </c>
      <c r="AA425" s="39">
        <f t="shared" si="38"/>
        <v>64.22766570605188</v>
      </c>
      <c r="AB425" s="39">
        <f t="shared" si="39"/>
        <v>2423.1529381498513</v>
      </c>
      <c r="AC425">
        <f t="shared" si="42"/>
        <v>0.99977058970670207</v>
      </c>
      <c r="AD425">
        <f t="shared" si="40"/>
        <v>0.99967654833974395</v>
      </c>
      <c r="AE425">
        <f t="shared" si="41"/>
        <v>25698</v>
      </c>
    </row>
    <row r="426" spans="1:31">
      <c r="A426" s="9">
        <v>425</v>
      </c>
      <c r="B426" s="30">
        <v>40562</v>
      </c>
      <c r="C426" s="9">
        <v>1</v>
      </c>
      <c r="D426" s="9">
        <v>0</v>
      </c>
      <c r="E426" s="9">
        <v>1</v>
      </c>
      <c r="F426" s="9">
        <v>17</v>
      </c>
      <c r="G426" s="9" t="b">
        <v>0</v>
      </c>
      <c r="H426" s="9">
        <v>3</v>
      </c>
      <c r="I426" s="9">
        <v>1</v>
      </c>
      <c r="J426" s="9">
        <v>0.36</v>
      </c>
      <c r="K426" s="9">
        <v>0.33329999999999999</v>
      </c>
      <c r="L426" s="9">
        <v>0.56999999999999995</v>
      </c>
      <c r="M426" s="9">
        <v>0.32840000000000003</v>
      </c>
      <c r="N426" s="9">
        <v>7</v>
      </c>
      <c r="O426" s="9">
        <v>190</v>
      </c>
      <c r="P426" s="9">
        <v>197</v>
      </c>
      <c r="Q426" s="13" t="s">
        <v>98</v>
      </c>
      <c r="R426" s="13" t="s">
        <v>79</v>
      </c>
      <c r="S426" s="9" t="s">
        <v>80</v>
      </c>
      <c r="T426" s="13" t="s">
        <v>81</v>
      </c>
      <c r="U426" s="15" t="s">
        <v>95</v>
      </c>
      <c r="V426" s="13" t="s">
        <v>93</v>
      </c>
      <c r="W426" s="13" t="s">
        <v>90</v>
      </c>
      <c r="X426" s="9" t="s">
        <v>85</v>
      </c>
      <c r="Y426" s="13" t="s">
        <v>99</v>
      </c>
      <c r="Z426">
        <f t="shared" si="37"/>
        <v>389</v>
      </c>
      <c r="AA426" s="39">
        <f t="shared" si="38"/>
        <v>64.112716763005778</v>
      </c>
      <c r="AB426" s="39">
        <f t="shared" si="39"/>
        <v>2425.254235629804</v>
      </c>
      <c r="AC426">
        <f t="shared" si="42"/>
        <v>0.99977059759187659</v>
      </c>
      <c r="AD426">
        <f t="shared" si="40"/>
        <v>0.99967683464036461</v>
      </c>
      <c r="AE426">
        <f t="shared" si="41"/>
        <v>25594</v>
      </c>
    </row>
    <row r="427" spans="1:31">
      <c r="A427" s="10">
        <v>426</v>
      </c>
      <c r="B427" s="31">
        <v>40562</v>
      </c>
      <c r="C427" s="10">
        <v>1</v>
      </c>
      <c r="D427" s="10">
        <v>0</v>
      </c>
      <c r="E427" s="10">
        <v>1</v>
      </c>
      <c r="F427" s="10">
        <v>18</v>
      </c>
      <c r="G427" s="10" t="b">
        <v>0</v>
      </c>
      <c r="H427" s="10">
        <v>3</v>
      </c>
      <c r="I427" s="10">
        <v>1</v>
      </c>
      <c r="J427" s="10">
        <v>0.34</v>
      </c>
      <c r="K427" s="10">
        <v>0.31819999999999998</v>
      </c>
      <c r="L427" s="10">
        <v>0.61</v>
      </c>
      <c r="M427" s="10">
        <v>0.28360000000000002</v>
      </c>
      <c r="N427" s="10">
        <v>5</v>
      </c>
      <c r="O427" s="10">
        <v>156</v>
      </c>
      <c r="P427" s="10">
        <v>161</v>
      </c>
      <c r="Q427" s="13" t="s">
        <v>98</v>
      </c>
      <c r="R427" s="13" t="s">
        <v>79</v>
      </c>
      <c r="S427" s="10" t="s">
        <v>80</v>
      </c>
      <c r="T427" s="13" t="s">
        <v>81</v>
      </c>
      <c r="U427" s="15" t="s">
        <v>95</v>
      </c>
      <c r="V427" s="13" t="s">
        <v>93</v>
      </c>
      <c r="W427" s="13" t="s">
        <v>90</v>
      </c>
      <c r="X427" s="10" t="s">
        <v>85</v>
      </c>
      <c r="Y427" s="13" t="s">
        <v>99</v>
      </c>
      <c r="Z427">
        <f t="shared" si="37"/>
        <v>388</v>
      </c>
      <c r="AA427" s="39">
        <f t="shared" si="38"/>
        <v>63.727536231884059</v>
      </c>
      <c r="AB427" s="39">
        <f t="shared" si="39"/>
        <v>2427.3618084810396</v>
      </c>
      <c r="AC427">
        <f t="shared" si="42"/>
        <v>0.99977182854302504</v>
      </c>
      <c r="AD427">
        <f t="shared" si="40"/>
        <v>0.99967965502720602</v>
      </c>
      <c r="AE427">
        <f t="shared" si="41"/>
        <v>25397</v>
      </c>
    </row>
    <row r="428" spans="1:31">
      <c r="A428" s="9">
        <v>427</v>
      </c>
      <c r="B428" s="30">
        <v>40562</v>
      </c>
      <c r="C428" s="9">
        <v>1</v>
      </c>
      <c r="D428" s="9">
        <v>0</v>
      </c>
      <c r="E428" s="9">
        <v>1</v>
      </c>
      <c r="F428" s="9">
        <v>19</v>
      </c>
      <c r="G428" s="9" t="b">
        <v>0</v>
      </c>
      <c r="H428" s="9">
        <v>3</v>
      </c>
      <c r="I428" s="9">
        <v>1</v>
      </c>
      <c r="J428" s="9">
        <v>0.32</v>
      </c>
      <c r="K428" s="9">
        <v>0.28789999999999999</v>
      </c>
      <c r="L428" s="9">
        <v>0.56999999999999995</v>
      </c>
      <c r="M428" s="9">
        <v>0.41789999999999999</v>
      </c>
      <c r="N428" s="9">
        <v>4</v>
      </c>
      <c r="O428" s="9">
        <v>108</v>
      </c>
      <c r="P428" s="9">
        <v>112</v>
      </c>
      <c r="Q428" s="13" t="s">
        <v>98</v>
      </c>
      <c r="R428" s="13" t="s">
        <v>79</v>
      </c>
      <c r="S428" s="9" t="s">
        <v>80</v>
      </c>
      <c r="T428" s="13" t="s">
        <v>81</v>
      </c>
      <c r="U428" s="15" t="s">
        <v>95</v>
      </c>
      <c r="V428" s="13" t="s">
        <v>93</v>
      </c>
      <c r="W428" s="13" t="s">
        <v>90</v>
      </c>
      <c r="X428" s="9" t="s">
        <v>85</v>
      </c>
      <c r="Y428" s="13" t="s">
        <v>99</v>
      </c>
      <c r="Z428">
        <f t="shared" si="37"/>
        <v>387</v>
      </c>
      <c r="AA428" s="39">
        <f t="shared" si="38"/>
        <v>63.444767441860463</v>
      </c>
      <c r="AB428" s="39">
        <f t="shared" si="39"/>
        <v>2429.4753143081953</v>
      </c>
      <c r="AC428">
        <f t="shared" si="42"/>
        <v>0.99977237990625656</v>
      </c>
      <c r="AD428">
        <f t="shared" si="40"/>
        <v>0.99968108516153464</v>
      </c>
      <c r="AE428">
        <f t="shared" si="41"/>
        <v>25236</v>
      </c>
    </row>
    <row r="429" spans="1:31">
      <c r="A429" s="10">
        <v>428</v>
      </c>
      <c r="B429" s="31">
        <v>40562</v>
      </c>
      <c r="C429" s="10">
        <v>1</v>
      </c>
      <c r="D429" s="10">
        <v>0</v>
      </c>
      <c r="E429" s="10">
        <v>1</v>
      </c>
      <c r="F429" s="10">
        <v>20</v>
      </c>
      <c r="G429" s="10" t="b">
        <v>0</v>
      </c>
      <c r="H429" s="10">
        <v>3</v>
      </c>
      <c r="I429" s="10">
        <v>1</v>
      </c>
      <c r="J429" s="10">
        <v>0.32</v>
      </c>
      <c r="K429" s="10">
        <v>0.30299999999999999</v>
      </c>
      <c r="L429" s="10">
        <v>0.49</v>
      </c>
      <c r="M429" s="10">
        <v>0.29849999999999999</v>
      </c>
      <c r="N429" s="10">
        <v>2</v>
      </c>
      <c r="O429" s="10">
        <v>74</v>
      </c>
      <c r="P429" s="10">
        <v>76</v>
      </c>
      <c r="Q429" s="13" t="s">
        <v>98</v>
      </c>
      <c r="R429" s="13" t="s">
        <v>79</v>
      </c>
      <c r="S429" s="10" t="s">
        <v>80</v>
      </c>
      <c r="T429" s="13" t="s">
        <v>81</v>
      </c>
      <c r="U429" s="16" t="s">
        <v>97</v>
      </c>
      <c r="V429" s="13" t="s">
        <v>93</v>
      </c>
      <c r="W429" s="13" t="s">
        <v>90</v>
      </c>
      <c r="X429" s="10" t="s">
        <v>85</v>
      </c>
      <c r="Y429" s="13" t="s">
        <v>99</v>
      </c>
      <c r="Z429">
        <f t="shared" si="37"/>
        <v>386</v>
      </c>
      <c r="AA429" s="39">
        <f t="shared" si="38"/>
        <v>63.303206997084551</v>
      </c>
      <c r="AB429" s="39">
        <f t="shared" si="39"/>
        <v>2431.5934374036083</v>
      </c>
      <c r="AC429">
        <f t="shared" si="42"/>
        <v>0.99977242675411926</v>
      </c>
      <c r="AD429">
        <f t="shared" si="40"/>
        <v>0.9996815084213545</v>
      </c>
      <c r="AE429">
        <f t="shared" si="41"/>
        <v>25124</v>
      </c>
    </row>
    <row r="430" spans="1:31">
      <c r="A430" s="9">
        <v>429</v>
      </c>
      <c r="B430" s="30">
        <v>40562</v>
      </c>
      <c r="C430" s="9">
        <v>1</v>
      </c>
      <c r="D430" s="9">
        <v>0</v>
      </c>
      <c r="E430" s="9">
        <v>1</v>
      </c>
      <c r="F430" s="9">
        <v>21</v>
      </c>
      <c r="G430" s="9" t="b">
        <v>0</v>
      </c>
      <c r="H430" s="9">
        <v>3</v>
      </c>
      <c r="I430" s="9">
        <v>1</v>
      </c>
      <c r="J430" s="9">
        <v>0.32</v>
      </c>
      <c r="K430" s="9">
        <v>0.28789999999999999</v>
      </c>
      <c r="L430" s="9">
        <v>0.49</v>
      </c>
      <c r="M430" s="9">
        <v>0.41789999999999999</v>
      </c>
      <c r="N430" s="9">
        <v>4</v>
      </c>
      <c r="O430" s="9">
        <v>55</v>
      </c>
      <c r="P430" s="9">
        <v>59</v>
      </c>
      <c r="Q430" s="13" t="s">
        <v>98</v>
      </c>
      <c r="R430" s="13" t="s">
        <v>79</v>
      </c>
      <c r="S430" s="9" t="s">
        <v>80</v>
      </c>
      <c r="T430" s="13" t="s">
        <v>81</v>
      </c>
      <c r="U430" s="16" t="s">
        <v>97</v>
      </c>
      <c r="V430" s="11" t="s">
        <v>87</v>
      </c>
      <c r="W430" s="13" t="s">
        <v>90</v>
      </c>
      <c r="X430" s="9" t="s">
        <v>85</v>
      </c>
      <c r="Y430" s="13" t="s">
        <v>99</v>
      </c>
      <c r="Z430">
        <f t="shared" si="37"/>
        <v>385</v>
      </c>
      <c r="AA430" s="39">
        <f t="shared" si="38"/>
        <v>63.26608187134503</v>
      </c>
      <c r="AB430" s="39">
        <f t="shared" si="39"/>
        <v>2433.7153355289925</v>
      </c>
      <c r="AC430">
        <f t="shared" si="42"/>
        <v>0.99977247489499144</v>
      </c>
      <c r="AD430">
        <f t="shared" si="40"/>
        <v>0.99968160473697476</v>
      </c>
      <c r="AE430">
        <f t="shared" si="41"/>
        <v>25048</v>
      </c>
    </row>
    <row r="431" spans="1:31">
      <c r="A431" s="10">
        <v>430</v>
      </c>
      <c r="B431" s="31">
        <v>40562</v>
      </c>
      <c r="C431" s="10">
        <v>1</v>
      </c>
      <c r="D431" s="10">
        <v>0</v>
      </c>
      <c r="E431" s="10">
        <v>1</v>
      </c>
      <c r="F431" s="10">
        <v>22</v>
      </c>
      <c r="G431" s="10" t="b">
        <v>0</v>
      </c>
      <c r="H431" s="10">
        <v>3</v>
      </c>
      <c r="I431" s="10">
        <v>1</v>
      </c>
      <c r="J431" s="10">
        <v>0.3</v>
      </c>
      <c r="K431" s="10">
        <v>0.30299999999999999</v>
      </c>
      <c r="L431" s="10">
        <v>0.52</v>
      </c>
      <c r="M431" s="10">
        <v>0.16420000000000001</v>
      </c>
      <c r="N431" s="10">
        <v>6</v>
      </c>
      <c r="O431" s="10">
        <v>53</v>
      </c>
      <c r="P431" s="10">
        <v>59</v>
      </c>
      <c r="Q431" s="13" t="s">
        <v>98</v>
      </c>
      <c r="R431" s="13" t="s">
        <v>79</v>
      </c>
      <c r="S431" s="10" t="s">
        <v>80</v>
      </c>
      <c r="T431" s="13" t="s">
        <v>81</v>
      </c>
      <c r="U431" s="16" t="s">
        <v>97</v>
      </c>
      <c r="V431" s="11" t="s">
        <v>87</v>
      </c>
      <c r="W431" s="13" t="s">
        <v>90</v>
      </c>
      <c r="X431" s="10" t="s">
        <v>85</v>
      </c>
      <c r="Y431" s="13" t="s">
        <v>99</v>
      </c>
      <c r="Z431">
        <f t="shared" si="37"/>
        <v>384</v>
      </c>
      <c r="AA431" s="39">
        <f t="shared" si="38"/>
        <v>63.278592375366571</v>
      </c>
      <c r="AB431" s="39">
        <f t="shared" si="39"/>
        <v>2435.8416332215647</v>
      </c>
      <c r="AC431">
        <f t="shared" si="42"/>
        <v>0.99977265707123697</v>
      </c>
      <c r="AD431">
        <f t="shared" si="40"/>
        <v>0.99968161481142326</v>
      </c>
      <c r="AE431">
        <f t="shared" si="41"/>
        <v>24989</v>
      </c>
    </row>
    <row r="432" spans="1:31">
      <c r="A432" s="9">
        <v>431</v>
      </c>
      <c r="B432" s="30">
        <v>40562</v>
      </c>
      <c r="C432" s="9">
        <v>1</v>
      </c>
      <c r="D432" s="9">
        <v>0</v>
      </c>
      <c r="E432" s="9">
        <v>1</v>
      </c>
      <c r="F432" s="9">
        <v>23</v>
      </c>
      <c r="G432" s="9" t="b">
        <v>0</v>
      </c>
      <c r="H432" s="9">
        <v>3</v>
      </c>
      <c r="I432" s="9">
        <v>1</v>
      </c>
      <c r="J432" s="9">
        <v>0.3</v>
      </c>
      <c r="K432" s="9">
        <v>0.2727</v>
      </c>
      <c r="L432" s="9">
        <v>0.52</v>
      </c>
      <c r="M432" s="9">
        <v>0.4627</v>
      </c>
      <c r="N432" s="9">
        <v>1</v>
      </c>
      <c r="O432" s="9">
        <v>27</v>
      </c>
      <c r="P432" s="9">
        <v>28</v>
      </c>
      <c r="Q432" s="13" t="s">
        <v>98</v>
      </c>
      <c r="R432" s="13" t="s">
        <v>79</v>
      </c>
      <c r="S432" s="9" t="s">
        <v>80</v>
      </c>
      <c r="T432" s="13" t="s">
        <v>81</v>
      </c>
      <c r="U432" s="16" t="s">
        <v>97</v>
      </c>
      <c r="V432" s="12" t="s">
        <v>83</v>
      </c>
      <c r="W432" s="13" t="s">
        <v>90</v>
      </c>
      <c r="X432" s="9" t="s">
        <v>85</v>
      </c>
      <c r="Y432" s="13" t="s">
        <v>99</v>
      </c>
      <c r="Z432">
        <f t="shared" si="37"/>
        <v>383</v>
      </c>
      <c r="AA432" s="39">
        <f t="shared" si="38"/>
        <v>63.291176470588233</v>
      </c>
      <c r="AB432" s="39">
        <f t="shared" si="39"/>
        <v>2437.9735138048968</v>
      </c>
      <c r="AC432">
        <f t="shared" si="42"/>
        <v>0.99977278562601646</v>
      </c>
      <c r="AD432">
        <f t="shared" si="40"/>
        <v>0.99968161855203597</v>
      </c>
      <c r="AE432">
        <f t="shared" si="41"/>
        <v>24930</v>
      </c>
    </row>
    <row r="433" spans="1:31">
      <c r="A433" s="10">
        <v>432</v>
      </c>
      <c r="B433" s="31">
        <v>40563</v>
      </c>
      <c r="C433" s="10">
        <v>1</v>
      </c>
      <c r="D433" s="10">
        <v>0</v>
      </c>
      <c r="E433" s="10">
        <v>1</v>
      </c>
      <c r="F433" s="10">
        <v>0</v>
      </c>
      <c r="G433" s="10" t="b">
        <v>0</v>
      </c>
      <c r="H433" s="10">
        <v>4</v>
      </c>
      <c r="I433" s="10">
        <v>1</v>
      </c>
      <c r="J433" s="10">
        <v>0.26</v>
      </c>
      <c r="K433" s="10">
        <v>0.2273</v>
      </c>
      <c r="L433" s="10">
        <v>0.56000000000000005</v>
      </c>
      <c r="M433" s="10">
        <v>0.3881</v>
      </c>
      <c r="N433" s="10">
        <v>5</v>
      </c>
      <c r="O433" s="10">
        <v>8</v>
      </c>
      <c r="P433" s="10">
        <v>13</v>
      </c>
      <c r="Q433" s="13" t="s">
        <v>98</v>
      </c>
      <c r="R433" s="13" t="s">
        <v>79</v>
      </c>
      <c r="S433" s="10" t="s">
        <v>80</v>
      </c>
      <c r="T433" s="13" t="s">
        <v>81</v>
      </c>
      <c r="U433" s="14" t="s">
        <v>82</v>
      </c>
      <c r="V433" s="12" t="s">
        <v>83</v>
      </c>
      <c r="W433" s="13" t="s">
        <v>90</v>
      </c>
      <c r="X433" s="10" t="s">
        <v>85</v>
      </c>
      <c r="Y433" s="13" t="s">
        <v>99</v>
      </c>
      <c r="Z433">
        <f t="shared" si="37"/>
        <v>382</v>
      </c>
      <c r="AA433" s="39">
        <f t="shared" si="38"/>
        <v>63.395280235988203</v>
      </c>
      <c r="AB433" s="39">
        <f t="shared" si="39"/>
        <v>2440.1083285049472</v>
      </c>
      <c r="AC433">
        <f t="shared" si="42"/>
        <v>0.99977332780719208</v>
      </c>
      <c r="AD433">
        <f t="shared" si="40"/>
        <v>0.99968171164293784</v>
      </c>
      <c r="AE433">
        <f t="shared" si="41"/>
        <v>24902</v>
      </c>
    </row>
    <row r="434" spans="1:31">
      <c r="A434" s="9">
        <v>433</v>
      </c>
      <c r="B434" s="30">
        <v>40563</v>
      </c>
      <c r="C434" s="9">
        <v>1</v>
      </c>
      <c r="D434" s="9">
        <v>0</v>
      </c>
      <c r="E434" s="9">
        <v>1</v>
      </c>
      <c r="F434" s="9">
        <v>1</v>
      </c>
      <c r="G434" s="9" t="b">
        <v>0</v>
      </c>
      <c r="H434" s="9">
        <v>4</v>
      </c>
      <c r="I434" s="9">
        <v>1</v>
      </c>
      <c r="J434" s="9">
        <v>0.26</v>
      </c>
      <c r="K434" s="9">
        <v>0.2727</v>
      </c>
      <c r="L434" s="9">
        <v>0.56000000000000005</v>
      </c>
      <c r="M434" s="9">
        <v>0</v>
      </c>
      <c r="N434" s="9">
        <v>2</v>
      </c>
      <c r="O434" s="9">
        <v>3</v>
      </c>
      <c r="P434" s="9">
        <v>5</v>
      </c>
      <c r="Q434" s="13" t="s">
        <v>98</v>
      </c>
      <c r="R434" s="13" t="s">
        <v>79</v>
      </c>
      <c r="S434" s="9" t="s">
        <v>80</v>
      </c>
      <c r="T434" s="13" t="s">
        <v>81</v>
      </c>
      <c r="U434" s="14" t="s">
        <v>82</v>
      </c>
      <c r="V434" s="12" t="s">
        <v>83</v>
      </c>
      <c r="W434" s="13" t="s">
        <v>90</v>
      </c>
      <c r="X434" s="9" t="s">
        <v>85</v>
      </c>
      <c r="Y434" s="13" t="s">
        <v>99</v>
      </c>
      <c r="Z434">
        <f t="shared" si="37"/>
        <v>381</v>
      </c>
      <c r="AA434" s="39">
        <f t="shared" si="38"/>
        <v>63.544378698224854</v>
      </c>
      <c r="AB434" s="39">
        <f t="shared" si="39"/>
        <v>2442.2472147138219</v>
      </c>
      <c r="AC434">
        <f t="shared" si="42"/>
        <v>0.99977393960498262</v>
      </c>
      <c r="AD434">
        <f t="shared" si="40"/>
        <v>0.99968200063368051</v>
      </c>
      <c r="AE434">
        <f t="shared" si="41"/>
        <v>24889</v>
      </c>
    </row>
    <row r="435" spans="1:31">
      <c r="A435" s="10">
        <v>434</v>
      </c>
      <c r="B435" s="31">
        <v>40563</v>
      </c>
      <c r="C435" s="10">
        <v>1</v>
      </c>
      <c r="D435" s="10">
        <v>0</v>
      </c>
      <c r="E435" s="10">
        <v>1</v>
      </c>
      <c r="F435" s="10">
        <v>2</v>
      </c>
      <c r="G435" s="10" t="b">
        <v>0</v>
      </c>
      <c r="H435" s="10">
        <v>4</v>
      </c>
      <c r="I435" s="10">
        <v>1</v>
      </c>
      <c r="J435" s="10">
        <v>0.26</v>
      </c>
      <c r="K435" s="10">
        <v>0.2727</v>
      </c>
      <c r="L435" s="10">
        <v>0.56000000000000005</v>
      </c>
      <c r="M435" s="10">
        <v>0</v>
      </c>
      <c r="N435" s="10">
        <v>0</v>
      </c>
      <c r="O435" s="10">
        <v>2</v>
      </c>
      <c r="P435" s="10">
        <v>2</v>
      </c>
      <c r="Q435" s="13" t="s">
        <v>98</v>
      </c>
      <c r="R435" s="13" t="s">
        <v>79</v>
      </c>
      <c r="S435" s="10" t="s">
        <v>80</v>
      </c>
      <c r="T435" s="13" t="s">
        <v>81</v>
      </c>
      <c r="U435" s="14" t="s">
        <v>82</v>
      </c>
      <c r="V435" s="12" t="s">
        <v>83</v>
      </c>
      <c r="W435" s="13" t="s">
        <v>90</v>
      </c>
      <c r="X435" s="10" t="s">
        <v>85</v>
      </c>
      <c r="Y435" s="13" t="s">
        <v>99</v>
      </c>
      <c r="Z435">
        <f t="shared" si="37"/>
        <v>380</v>
      </c>
      <c r="AA435" s="39">
        <f t="shared" si="38"/>
        <v>63.718100890207715</v>
      </c>
      <c r="AB435" s="39">
        <f t="shared" si="39"/>
        <v>2444.3908418075721</v>
      </c>
      <c r="AC435">
        <f t="shared" si="42"/>
        <v>0.99977471551115571</v>
      </c>
      <c r="AD435">
        <f t="shared" si="40"/>
        <v>0.99968240505104844</v>
      </c>
      <c r="AE435">
        <f t="shared" si="41"/>
        <v>24884</v>
      </c>
    </row>
    <row r="436" spans="1:31">
      <c r="A436" s="9">
        <v>435</v>
      </c>
      <c r="B436" s="30">
        <v>40563</v>
      </c>
      <c r="C436" s="9">
        <v>1</v>
      </c>
      <c r="D436" s="9">
        <v>0</v>
      </c>
      <c r="E436" s="9">
        <v>1</v>
      </c>
      <c r="F436" s="9">
        <v>3</v>
      </c>
      <c r="G436" s="9" t="b">
        <v>0</v>
      </c>
      <c r="H436" s="9">
        <v>4</v>
      </c>
      <c r="I436" s="9">
        <v>1</v>
      </c>
      <c r="J436" s="9">
        <v>0.26</v>
      </c>
      <c r="K436" s="9">
        <v>0.2576</v>
      </c>
      <c r="L436" s="9">
        <v>0.56000000000000005</v>
      </c>
      <c r="M436" s="9">
        <v>0.16420000000000001</v>
      </c>
      <c r="N436" s="9">
        <v>0</v>
      </c>
      <c r="O436" s="9">
        <v>1</v>
      </c>
      <c r="P436" s="9">
        <v>1</v>
      </c>
      <c r="Q436" s="13" t="s">
        <v>98</v>
      </c>
      <c r="R436" s="13" t="s">
        <v>79</v>
      </c>
      <c r="S436" s="9" t="s">
        <v>80</v>
      </c>
      <c r="T436" s="13" t="s">
        <v>81</v>
      </c>
      <c r="U436" s="14" t="s">
        <v>82</v>
      </c>
      <c r="V436" s="12" t="s">
        <v>83</v>
      </c>
      <c r="W436" s="13" t="s">
        <v>90</v>
      </c>
      <c r="X436" s="9" t="s">
        <v>85</v>
      </c>
      <c r="Y436" s="13" t="s">
        <v>99</v>
      </c>
      <c r="Z436">
        <f t="shared" si="37"/>
        <v>379</v>
      </c>
      <c r="AA436" s="39">
        <f t="shared" si="38"/>
        <v>63.901785714285715</v>
      </c>
      <c r="AB436" s="39">
        <f t="shared" si="39"/>
        <v>2446.5397754132964</v>
      </c>
      <c r="AC436">
        <f t="shared" si="42"/>
        <v>0.99977555988953781</v>
      </c>
      <c r="AD436">
        <f t="shared" si="40"/>
        <v>0.99968285876473517</v>
      </c>
      <c r="AE436">
        <f t="shared" si="41"/>
        <v>24882</v>
      </c>
    </row>
    <row r="437" spans="1:31">
      <c r="A437" s="10">
        <v>436</v>
      </c>
      <c r="B437" s="31">
        <v>40563</v>
      </c>
      <c r="C437" s="10">
        <v>1</v>
      </c>
      <c r="D437" s="10">
        <v>0</v>
      </c>
      <c r="E437" s="10">
        <v>1</v>
      </c>
      <c r="F437" s="10">
        <v>4</v>
      </c>
      <c r="G437" s="10" t="b">
        <v>0</v>
      </c>
      <c r="H437" s="10">
        <v>4</v>
      </c>
      <c r="I437" s="10">
        <v>1</v>
      </c>
      <c r="J437" s="10">
        <v>0.26</v>
      </c>
      <c r="K437" s="10">
        <v>0.2576</v>
      </c>
      <c r="L437" s="10">
        <v>0.56000000000000005</v>
      </c>
      <c r="M437" s="10">
        <v>0.16420000000000001</v>
      </c>
      <c r="N437" s="10">
        <v>0</v>
      </c>
      <c r="O437" s="10">
        <v>1</v>
      </c>
      <c r="P437" s="10">
        <v>1</v>
      </c>
      <c r="Q437" s="13" t="s">
        <v>98</v>
      </c>
      <c r="R437" s="13" t="s">
        <v>79</v>
      </c>
      <c r="S437" s="10" t="s">
        <v>80</v>
      </c>
      <c r="T437" s="13" t="s">
        <v>81</v>
      </c>
      <c r="U437" s="14" t="s">
        <v>82</v>
      </c>
      <c r="V437" s="12" t="s">
        <v>83</v>
      </c>
      <c r="W437" s="13" t="s">
        <v>90</v>
      </c>
      <c r="X437" s="10" t="s">
        <v>85</v>
      </c>
      <c r="Y437" s="13" t="s">
        <v>99</v>
      </c>
      <c r="Z437">
        <f t="shared" si="37"/>
        <v>378</v>
      </c>
      <c r="AA437" s="39">
        <f t="shared" si="38"/>
        <v>64.089552238805965</v>
      </c>
      <c r="AB437" s="39">
        <f t="shared" si="39"/>
        <v>2448.6942687568121</v>
      </c>
      <c r="AC437">
        <f t="shared" si="42"/>
        <v>0.99977642980576531</v>
      </c>
      <c r="AD437">
        <f t="shared" si="40"/>
        <v>0.99968333066570381</v>
      </c>
      <c r="AE437">
        <f t="shared" si="41"/>
        <v>24881</v>
      </c>
    </row>
    <row r="438" spans="1:31">
      <c r="A438" s="9">
        <v>437</v>
      </c>
      <c r="B438" s="30">
        <v>40563</v>
      </c>
      <c r="C438" s="9">
        <v>1</v>
      </c>
      <c r="D438" s="9">
        <v>0</v>
      </c>
      <c r="E438" s="9">
        <v>1</v>
      </c>
      <c r="F438" s="9">
        <v>5</v>
      </c>
      <c r="G438" s="9" t="b">
        <v>0</v>
      </c>
      <c r="H438" s="9">
        <v>4</v>
      </c>
      <c r="I438" s="9">
        <v>1</v>
      </c>
      <c r="J438" s="9">
        <v>0.24</v>
      </c>
      <c r="K438" s="9">
        <v>0.2273</v>
      </c>
      <c r="L438" s="9">
        <v>0.6</v>
      </c>
      <c r="M438" s="9">
        <v>0.22389999999999999</v>
      </c>
      <c r="N438" s="9">
        <v>0</v>
      </c>
      <c r="O438" s="9">
        <v>6</v>
      </c>
      <c r="P438" s="9">
        <v>6</v>
      </c>
      <c r="Q438" s="13" t="s">
        <v>98</v>
      </c>
      <c r="R438" s="13" t="s">
        <v>79</v>
      </c>
      <c r="S438" s="9" t="s">
        <v>80</v>
      </c>
      <c r="T438" s="13" t="s">
        <v>81</v>
      </c>
      <c r="U438" s="15" t="s">
        <v>89</v>
      </c>
      <c r="V438" s="12" t="s">
        <v>83</v>
      </c>
      <c r="W438" s="15" t="s">
        <v>84</v>
      </c>
      <c r="X438" s="9" t="s">
        <v>85</v>
      </c>
      <c r="Y438" s="13" t="s">
        <v>99</v>
      </c>
      <c r="Z438">
        <f t="shared" si="37"/>
        <v>377</v>
      </c>
      <c r="AA438" s="39">
        <f t="shared" si="38"/>
        <v>64.278443113772454</v>
      </c>
      <c r="AB438" s="39">
        <f t="shared" si="39"/>
        <v>2450.8544639783463</v>
      </c>
      <c r="AC438">
        <f t="shared" si="42"/>
        <v>0.99977730281819965</v>
      </c>
      <c r="AD438">
        <f t="shared" si="40"/>
        <v>0.9996838042475551</v>
      </c>
      <c r="AE438">
        <f t="shared" si="41"/>
        <v>24880</v>
      </c>
    </row>
    <row r="439" spans="1:31">
      <c r="A439" s="10">
        <v>438</v>
      </c>
      <c r="B439" s="31">
        <v>40563</v>
      </c>
      <c r="C439" s="10">
        <v>1</v>
      </c>
      <c r="D439" s="10">
        <v>0</v>
      </c>
      <c r="E439" s="10">
        <v>1</v>
      </c>
      <c r="F439" s="10">
        <v>6</v>
      </c>
      <c r="G439" s="10" t="b">
        <v>0</v>
      </c>
      <c r="H439" s="10">
        <v>4</v>
      </c>
      <c r="I439" s="10">
        <v>1</v>
      </c>
      <c r="J439" s="10">
        <v>0.22</v>
      </c>
      <c r="K439" s="10">
        <v>0.21210000000000001</v>
      </c>
      <c r="L439" s="10">
        <v>0.6</v>
      </c>
      <c r="M439" s="10">
        <v>0.22389999999999999</v>
      </c>
      <c r="N439" s="10">
        <v>0</v>
      </c>
      <c r="O439" s="10">
        <v>35</v>
      </c>
      <c r="P439" s="10">
        <v>35</v>
      </c>
      <c r="Q439" s="13" t="s">
        <v>98</v>
      </c>
      <c r="R439" s="13" t="s">
        <v>79</v>
      </c>
      <c r="S439" s="10" t="s">
        <v>80</v>
      </c>
      <c r="T439" s="13" t="s">
        <v>81</v>
      </c>
      <c r="U439" s="15" t="s">
        <v>89</v>
      </c>
      <c r="V439" s="11" t="s">
        <v>87</v>
      </c>
      <c r="W439" s="15" t="s">
        <v>84</v>
      </c>
      <c r="X439" s="10" t="s">
        <v>85</v>
      </c>
      <c r="Y439" s="13" t="s">
        <v>99</v>
      </c>
      <c r="Z439">
        <f t="shared" si="37"/>
        <v>376</v>
      </c>
      <c r="AA439" s="39">
        <f t="shared" si="38"/>
        <v>64.453453453453449</v>
      </c>
      <c r="AB439" s="39">
        <f t="shared" si="39"/>
        <v>2453.0209707824342</v>
      </c>
      <c r="AC439">
        <f t="shared" si="42"/>
        <v>0.99977795287707583</v>
      </c>
      <c r="AD439">
        <f t="shared" si="40"/>
        <v>0.99968426305928615</v>
      </c>
      <c r="AE439">
        <f t="shared" si="41"/>
        <v>24874</v>
      </c>
    </row>
    <row r="440" spans="1:31">
      <c r="A440" s="9">
        <v>439</v>
      </c>
      <c r="B440" s="30">
        <v>40563</v>
      </c>
      <c r="C440" s="9">
        <v>1</v>
      </c>
      <c r="D440" s="9">
        <v>0</v>
      </c>
      <c r="E440" s="9">
        <v>1</v>
      </c>
      <c r="F440" s="9">
        <v>7</v>
      </c>
      <c r="G440" s="9" t="b">
        <v>0</v>
      </c>
      <c r="H440" s="9">
        <v>4</v>
      </c>
      <c r="I440" s="9">
        <v>1</v>
      </c>
      <c r="J440" s="9">
        <v>0.22</v>
      </c>
      <c r="K440" s="9">
        <v>0.21210000000000001</v>
      </c>
      <c r="L440" s="9">
        <v>0.55000000000000004</v>
      </c>
      <c r="M440" s="9">
        <v>0.22389999999999999</v>
      </c>
      <c r="N440" s="9">
        <v>1</v>
      </c>
      <c r="O440" s="9">
        <v>100</v>
      </c>
      <c r="P440" s="9">
        <v>101</v>
      </c>
      <c r="Q440" s="13" t="s">
        <v>98</v>
      </c>
      <c r="R440" s="13" t="s">
        <v>79</v>
      </c>
      <c r="S440" s="9" t="s">
        <v>80</v>
      </c>
      <c r="T440" s="13" t="s">
        <v>81</v>
      </c>
      <c r="U440" s="15" t="s">
        <v>89</v>
      </c>
      <c r="V440" s="13" t="s">
        <v>93</v>
      </c>
      <c r="W440" s="15" t="s">
        <v>84</v>
      </c>
      <c r="X440" s="9" t="s">
        <v>85</v>
      </c>
      <c r="Y440" s="13" t="s">
        <v>99</v>
      </c>
      <c r="Z440">
        <f t="shared" si="37"/>
        <v>375</v>
      </c>
      <c r="AA440" s="39">
        <f t="shared" si="38"/>
        <v>64.5421686746988</v>
      </c>
      <c r="AB440" s="39">
        <f t="shared" si="39"/>
        <v>2455.1962743225449</v>
      </c>
      <c r="AC440">
        <f t="shared" si="42"/>
        <v>0.99977810169010539</v>
      </c>
      <c r="AD440">
        <f t="shared" si="40"/>
        <v>0.99968436881664913</v>
      </c>
      <c r="AE440">
        <f t="shared" si="41"/>
        <v>24839</v>
      </c>
    </row>
    <row r="441" spans="1:31">
      <c r="A441" s="10">
        <v>440</v>
      </c>
      <c r="B441" s="31">
        <v>40563</v>
      </c>
      <c r="C441" s="10">
        <v>1</v>
      </c>
      <c r="D441" s="10">
        <v>0</v>
      </c>
      <c r="E441" s="10">
        <v>1</v>
      </c>
      <c r="F441" s="10">
        <v>8</v>
      </c>
      <c r="G441" s="10" t="b">
        <v>0</v>
      </c>
      <c r="H441" s="10">
        <v>4</v>
      </c>
      <c r="I441" s="10">
        <v>1</v>
      </c>
      <c r="J441" s="10">
        <v>0.22</v>
      </c>
      <c r="K441" s="10">
        <v>0.21210000000000001</v>
      </c>
      <c r="L441" s="10">
        <v>0.55000000000000004</v>
      </c>
      <c r="M441" s="10">
        <v>0.28360000000000002</v>
      </c>
      <c r="N441" s="10">
        <v>2</v>
      </c>
      <c r="O441" s="10">
        <v>247</v>
      </c>
      <c r="P441" s="10">
        <v>249</v>
      </c>
      <c r="Q441" s="13" t="s">
        <v>98</v>
      </c>
      <c r="R441" s="13" t="s">
        <v>79</v>
      </c>
      <c r="S441" s="10" t="s">
        <v>80</v>
      </c>
      <c r="T441" s="13" t="s">
        <v>81</v>
      </c>
      <c r="U441" s="15" t="s">
        <v>89</v>
      </c>
      <c r="V441" s="13" t="s">
        <v>93</v>
      </c>
      <c r="W441" s="15" t="s">
        <v>84</v>
      </c>
      <c r="X441" s="10" t="s">
        <v>85</v>
      </c>
      <c r="Y441" s="13" t="s">
        <v>99</v>
      </c>
      <c r="Z441">
        <f t="shared" si="37"/>
        <v>374</v>
      </c>
      <c r="AA441" s="39">
        <f t="shared" si="38"/>
        <v>64.432024169184288</v>
      </c>
      <c r="AB441" s="39">
        <f t="shared" si="39"/>
        <v>2457.3820356926399</v>
      </c>
      <c r="AC441">
        <f t="shared" si="42"/>
        <v>0.99977827342273529</v>
      </c>
      <c r="AD441">
        <f t="shared" si="40"/>
        <v>0.99968465499072989</v>
      </c>
      <c r="AE441">
        <f t="shared" si="41"/>
        <v>24738</v>
      </c>
    </row>
    <row r="442" spans="1:31">
      <c r="A442" s="9">
        <v>441</v>
      </c>
      <c r="B442" s="30">
        <v>40563</v>
      </c>
      <c r="C442" s="9">
        <v>1</v>
      </c>
      <c r="D442" s="9">
        <v>0</v>
      </c>
      <c r="E442" s="9">
        <v>1</v>
      </c>
      <c r="F442" s="9">
        <v>9</v>
      </c>
      <c r="G442" s="9" t="b">
        <v>0</v>
      </c>
      <c r="H442" s="9">
        <v>4</v>
      </c>
      <c r="I442" s="9">
        <v>2</v>
      </c>
      <c r="J442" s="9">
        <v>0.24</v>
      </c>
      <c r="K442" s="9">
        <v>0.2273</v>
      </c>
      <c r="L442" s="9">
        <v>0.52</v>
      </c>
      <c r="M442" s="9">
        <v>0.22389999999999999</v>
      </c>
      <c r="N442" s="9">
        <v>3</v>
      </c>
      <c r="O442" s="9">
        <v>140</v>
      </c>
      <c r="P442" s="9">
        <v>143</v>
      </c>
      <c r="Q442" s="13" t="s">
        <v>98</v>
      </c>
      <c r="R442" s="13" t="s">
        <v>79</v>
      </c>
      <c r="S442" s="9" t="s">
        <v>80</v>
      </c>
      <c r="T442" s="11" t="s">
        <v>88</v>
      </c>
      <c r="U442" s="15" t="s">
        <v>89</v>
      </c>
      <c r="V442" s="13" t="s">
        <v>93</v>
      </c>
      <c r="W442" s="15" t="s">
        <v>84</v>
      </c>
      <c r="X442" s="9" t="s">
        <v>85</v>
      </c>
      <c r="Y442" s="13" t="s">
        <v>99</v>
      </c>
      <c r="Z442">
        <f t="shared" si="37"/>
        <v>373</v>
      </c>
      <c r="AA442" s="39">
        <f t="shared" si="38"/>
        <v>63.872727272727275</v>
      </c>
      <c r="AB442" s="39">
        <f t="shared" si="39"/>
        <v>2459.5725997602135</v>
      </c>
      <c r="AC442">
        <f t="shared" si="42"/>
        <v>0.99978318046274772</v>
      </c>
      <c r="AD442">
        <f t="shared" si="40"/>
        <v>0.99969011201274405</v>
      </c>
      <c r="AE442">
        <f t="shared" si="41"/>
        <v>24489</v>
      </c>
    </row>
    <row r="443" spans="1:31">
      <c r="A443" s="10">
        <v>442</v>
      </c>
      <c r="B443" s="31">
        <v>40563</v>
      </c>
      <c r="C443" s="10">
        <v>1</v>
      </c>
      <c r="D443" s="10">
        <v>0</v>
      </c>
      <c r="E443" s="10">
        <v>1</v>
      </c>
      <c r="F443" s="10">
        <v>10</v>
      </c>
      <c r="G443" s="10" t="b">
        <v>0</v>
      </c>
      <c r="H443" s="10">
        <v>4</v>
      </c>
      <c r="I443" s="10">
        <v>1</v>
      </c>
      <c r="J443" s="10">
        <v>0.26</v>
      </c>
      <c r="K443" s="10">
        <v>0.2273</v>
      </c>
      <c r="L443" s="10">
        <v>0.48</v>
      </c>
      <c r="M443" s="10">
        <v>0.29849999999999999</v>
      </c>
      <c r="N443" s="10">
        <v>1</v>
      </c>
      <c r="O443" s="10">
        <v>56</v>
      </c>
      <c r="P443" s="10">
        <v>57</v>
      </c>
      <c r="Q443" s="13" t="s">
        <v>98</v>
      </c>
      <c r="R443" s="13" t="s">
        <v>79</v>
      </c>
      <c r="S443" s="10" t="s">
        <v>80</v>
      </c>
      <c r="T443" s="13" t="s">
        <v>81</v>
      </c>
      <c r="U443" s="13" t="s">
        <v>91</v>
      </c>
      <c r="V443" s="11" t="s">
        <v>87</v>
      </c>
      <c r="W443" s="13" t="s">
        <v>90</v>
      </c>
      <c r="X443" s="10" t="s">
        <v>85</v>
      </c>
      <c r="Y443" s="13" t="s">
        <v>99</v>
      </c>
      <c r="Z443">
        <f t="shared" si="37"/>
        <v>372</v>
      </c>
      <c r="AA443" s="39">
        <f t="shared" si="38"/>
        <v>63.872727272727275</v>
      </c>
      <c r="AB443" s="39">
        <f t="shared" si="39"/>
        <v>2461.7714138389001</v>
      </c>
      <c r="AC443">
        <f t="shared" si="42"/>
        <v>0.99978392230607294</v>
      </c>
      <c r="AD443">
        <f t="shared" si="40"/>
        <v>0.99969129513768029</v>
      </c>
      <c r="AE443">
        <f t="shared" si="41"/>
        <v>24346</v>
      </c>
    </row>
    <row r="444" spans="1:31">
      <c r="A444" s="9">
        <v>443</v>
      </c>
      <c r="B444" s="30">
        <v>40563</v>
      </c>
      <c r="C444" s="9">
        <v>1</v>
      </c>
      <c r="D444" s="9">
        <v>0</v>
      </c>
      <c r="E444" s="9">
        <v>1</v>
      </c>
      <c r="F444" s="9">
        <v>11</v>
      </c>
      <c r="G444" s="9" t="b">
        <v>0</v>
      </c>
      <c r="H444" s="9">
        <v>4</v>
      </c>
      <c r="I444" s="9">
        <v>2</v>
      </c>
      <c r="J444" s="9">
        <v>0.28000000000000003</v>
      </c>
      <c r="K444" s="9">
        <v>0.2727</v>
      </c>
      <c r="L444" s="9">
        <v>0.45</v>
      </c>
      <c r="M444" s="9">
        <v>0.16420000000000001</v>
      </c>
      <c r="N444" s="9">
        <v>5</v>
      </c>
      <c r="O444" s="9">
        <v>63</v>
      </c>
      <c r="P444" s="9">
        <v>68</v>
      </c>
      <c r="Q444" s="13" t="s">
        <v>98</v>
      </c>
      <c r="R444" s="13" t="s">
        <v>79</v>
      </c>
      <c r="S444" s="9" t="s">
        <v>80</v>
      </c>
      <c r="T444" s="11" t="s">
        <v>88</v>
      </c>
      <c r="U444" s="13" t="s">
        <v>91</v>
      </c>
      <c r="V444" s="11" t="s">
        <v>87</v>
      </c>
      <c r="W444" s="13" t="s">
        <v>90</v>
      </c>
      <c r="X444" s="9" t="s">
        <v>85</v>
      </c>
      <c r="Y444" s="13" t="s">
        <v>99</v>
      </c>
      <c r="Z444">
        <f t="shared" si="37"/>
        <v>371</v>
      </c>
      <c r="AA444" s="39">
        <f t="shared" si="38"/>
        <v>63.893617021276597</v>
      </c>
      <c r="AB444" s="39">
        <f t="shared" si="39"/>
        <v>2463.9720513635716</v>
      </c>
      <c r="AC444">
        <f t="shared" si="42"/>
        <v>0.99978398498277077</v>
      </c>
      <c r="AD444">
        <f t="shared" si="40"/>
        <v>0.99969130262190886</v>
      </c>
      <c r="AE444">
        <f t="shared" si="41"/>
        <v>24289</v>
      </c>
    </row>
    <row r="445" spans="1:31">
      <c r="A445" s="10">
        <v>444</v>
      </c>
      <c r="B445" s="31">
        <v>40563</v>
      </c>
      <c r="C445" s="10">
        <v>1</v>
      </c>
      <c r="D445" s="10">
        <v>0</v>
      </c>
      <c r="E445" s="10">
        <v>1</v>
      </c>
      <c r="F445" s="10">
        <v>12</v>
      </c>
      <c r="G445" s="10" t="b">
        <v>0</v>
      </c>
      <c r="H445" s="10">
        <v>4</v>
      </c>
      <c r="I445" s="10">
        <v>2</v>
      </c>
      <c r="J445" s="10">
        <v>0.3</v>
      </c>
      <c r="K445" s="10">
        <v>0.33329999999999999</v>
      </c>
      <c r="L445" s="10">
        <v>0.42</v>
      </c>
      <c r="M445" s="10">
        <v>0</v>
      </c>
      <c r="N445" s="10">
        <v>7</v>
      </c>
      <c r="O445" s="10">
        <v>77</v>
      </c>
      <c r="P445" s="10">
        <v>84</v>
      </c>
      <c r="Q445" s="13" t="s">
        <v>98</v>
      </c>
      <c r="R445" s="13" t="s">
        <v>79</v>
      </c>
      <c r="S445" s="10" t="s">
        <v>80</v>
      </c>
      <c r="T445" s="11" t="s">
        <v>88</v>
      </c>
      <c r="U445" s="11" t="s">
        <v>92</v>
      </c>
      <c r="V445" s="13" t="s">
        <v>93</v>
      </c>
      <c r="W445" s="13" t="s">
        <v>90</v>
      </c>
      <c r="X445" s="10" t="s">
        <v>85</v>
      </c>
      <c r="Y445" s="13" t="s">
        <v>99</v>
      </c>
      <c r="Z445">
        <f t="shared" si="37"/>
        <v>370</v>
      </c>
      <c r="AA445" s="39">
        <f t="shared" si="38"/>
        <v>63.893617021276597</v>
      </c>
      <c r="AB445" s="39">
        <f t="shared" si="39"/>
        <v>2466.1794263224306</v>
      </c>
      <c r="AC445">
        <f t="shared" si="42"/>
        <v>0.99978401949131224</v>
      </c>
      <c r="AD445">
        <f t="shared" si="40"/>
        <v>0.99969137089314453</v>
      </c>
      <c r="AE445">
        <f t="shared" si="41"/>
        <v>24221</v>
      </c>
    </row>
    <row r="446" spans="1:31">
      <c r="A446" s="9">
        <v>445</v>
      </c>
      <c r="B446" s="30">
        <v>40563</v>
      </c>
      <c r="C446" s="9">
        <v>1</v>
      </c>
      <c r="D446" s="9">
        <v>0</v>
      </c>
      <c r="E446" s="9">
        <v>1</v>
      </c>
      <c r="F446" s="9">
        <v>13</v>
      </c>
      <c r="G446" s="9" t="b">
        <v>0</v>
      </c>
      <c r="H446" s="9">
        <v>4</v>
      </c>
      <c r="I446" s="9">
        <v>2</v>
      </c>
      <c r="J446" s="9">
        <v>0.28000000000000003</v>
      </c>
      <c r="K446" s="9">
        <v>0.28789999999999999</v>
      </c>
      <c r="L446" s="9">
        <v>0.45</v>
      </c>
      <c r="M446" s="9">
        <v>0.1045</v>
      </c>
      <c r="N446" s="9">
        <v>12</v>
      </c>
      <c r="O446" s="9">
        <v>86</v>
      </c>
      <c r="P446" s="9">
        <v>98</v>
      </c>
      <c r="Q446" s="13" t="s">
        <v>98</v>
      </c>
      <c r="R446" s="13" t="s">
        <v>79</v>
      </c>
      <c r="S446" s="9" t="s">
        <v>80</v>
      </c>
      <c r="T446" s="11" t="s">
        <v>88</v>
      </c>
      <c r="U446" s="11" t="s">
        <v>92</v>
      </c>
      <c r="V446" s="13" t="s">
        <v>93</v>
      </c>
      <c r="W446" s="13" t="s">
        <v>90</v>
      </c>
      <c r="X446" s="9" t="s">
        <v>85</v>
      </c>
      <c r="Y446" s="13" t="s">
        <v>99</v>
      </c>
      <c r="Z446">
        <f t="shared" si="37"/>
        <v>369</v>
      </c>
      <c r="AA446" s="39">
        <f t="shared" si="38"/>
        <v>63.893617021276597</v>
      </c>
      <c r="AB446" s="39">
        <f t="shared" si="39"/>
        <v>2468.3937902575071</v>
      </c>
      <c r="AC446">
        <f t="shared" si="42"/>
        <v>0.99978402291219381</v>
      </c>
      <c r="AD446">
        <f t="shared" si="40"/>
        <v>0.99969161482869529</v>
      </c>
      <c r="AE446">
        <f t="shared" si="41"/>
        <v>24137</v>
      </c>
    </row>
    <row r="447" spans="1:31">
      <c r="A447" s="10">
        <v>446</v>
      </c>
      <c r="B447" s="31">
        <v>40563</v>
      </c>
      <c r="C447" s="10">
        <v>1</v>
      </c>
      <c r="D447" s="10">
        <v>0</v>
      </c>
      <c r="E447" s="10">
        <v>1</v>
      </c>
      <c r="F447" s="10">
        <v>14</v>
      </c>
      <c r="G447" s="10" t="b">
        <v>0</v>
      </c>
      <c r="H447" s="10">
        <v>4</v>
      </c>
      <c r="I447" s="10">
        <v>2</v>
      </c>
      <c r="J447" s="10">
        <v>0.3</v>
      </c>
      <c r="K447" s="10">
        <v>0.30299999999999999</v>
      </c>
      <c r="L447" s="10">
        <v>0.45</v>
      </c>
      <c r="M447" s="10">
        <v>0.1343</v>
      </c>
      <c r="N447" s="10">
        <v>6</v>
      </c>
      <c r="O447" s="10">
        <v>75</v>
      </c>
      <c r="P447" s="10">
        <v>81</v>
      </c>
      <c r="Q447" s="13" t="s">
        <v>98</v>
      </c>
      <c r="R447" s="13" t="s">
        <v>79</v>
      </c>
      <c r="S447" s="10" t="s">
        <v>80</v>
      </c>
      <c r="T447" s="11" t="s">
        <v>88</v>
      </c>
      <c r="U447" s="13" t="s">
        <v>94</v>
      </c>
      <c r="V447" s="13" t="s">
        <v>93</v>
      </c>
      <c r="W447" s="13" t="s">
        <v>90</v>
      </c>
      <c r="X447" s="10" t="s">
        <v>85</v>
      </c>
      <c r="Y447" s="13" t="s">
        <v>99</v>
      </c>
      <c r="Z447">
        <f t="shared" si="37"/>
        <v>368</v>
      </c>
      <c r="AA447" s="39">
        <f t="shared" si="38"/>
        <v>63.893617021276597</v>
      </c>
      <c r="AB447" s="39">
        <f t="shared" si="39"/>
        <v>2470.6148937070957</v>
      </c>
      <c r="AC447">
        <f t="shared" si="42"/>
        <v>0.99978405394668168</v>
      </c>
      <c r="AD447">
        <f t="shared" si="40"/>
        <v>0.99969201024185228</v>
      </c>
      <c r="AE447">
        <f t="shared" si="41"/>
        <v>24039</v>
      </c>
    </row>
    <row r="448" spans="1:31">
      <c r="A448" s="9">
        <v>447</v>
      </c>
      <c r="B448" s="30">
        <v>40563</v>
      </c>
      <c r="C448" s="9">
        <v>1</v>
      </c>
      <c r="D448" s="9">
        <v>0</v>
      </c>
      <c r="E448" s="9">
        <v>1</v>
      </c>
      <c r="F448" s="9">
        <v>15</v>
      </c>
      <c r="G448" s="9" t="b">
        <v>0</v>
      </c>
      <c r="H448" s="9">
        <v>4</v>
      </c>
      <c r="I448" s="9">
        <v>2</v>
      </c>
      <c r="J448" s="9">
        <v>0.32</v>
      </c>
      <c r="K448" s="9">
        <v>0.31819999999999998</v>
      </c>
      <c r="L448" s="9">
        <v>0.45</v>
      </c>
      <c r="M448" s="9">
        <v>0.19400000000000001</v>
      </c>
      <c r="N448" s="9">
        <v>8</v>
      </c>
      <c r="O448" s="9">
        <v>62</v>
      </c>
      <c r="P448" s="9">
        <v>70</v>
      </c>
      <c r="Q448" s="13" t="s">
        <v>98</v>
      </c>
      <c r="R448" s="13" t="s">
        <v>79</v>
      </c>
      <c r="S448" s="9" t="s">
        <v>80</v>
      </c>
      <c r="T448" s="11" t="s">
        <v>88</v>
      </c>
      <c r="U448" s="13" t="s">
        <v>94</v>
      </c>
      <c r="V448" s="13" t="s">
        <v>93</v>
      </c>
      <c r="W448" s="13" t="s">
        <v>90</v>
      </c>
      <c r="X448" s="9" t="s">
        <v>85</v>
      </c>
      <c r="Y448" s="13" t="s">
        <v>99</v>
      </c>
      <c r="Z448">
        <f t="shared" si="37"/>
        <v>367</v>
      </c>
      <c r="AA448" s="39">
        <f t="shared" si="38"/>
        <v>63.893617021276597</v>
      </c>
      <c r="AB448" s="39">
        <f t="shared" si="39"/>
        <v>2472.841055026136</v>
      </c>
      <c r="AC448">
        <f t="shared" si="42"/>
        <v>0.99978406314810087</v>
      </c>
      <c r="AD448">
        <f t="shared" si="40"/>
        <v>0.99969218897171364</v>
      </c>
      <c r="AE448">
        <f t="shared" si="41"/>
        <v>23958</v>
      </c>
    </row>
    <row r="449" spans="1:31">
      <c r="A449" s="10">
        <v>448</v>
      </c>
      <c r="B449" s="31">
        <v>40563</v>
      </c>
      <c r="C449" s="10">
        <v>1</v>
      </c>
      <c r="D449" s="10">
        <v>0</v>
      </c>
      <c r="E449" s="10">
        <v>1</v>
      </c>
      <c r="F449" s="10">
        <v>16</v>
      </c>
      <c r="G449" s="10" t="b">
        <v>0</v>
      </c>
      <c r="H449" s="10">
        <v>4</v>
      </c>
      <c r="I449" s="10">
        <v>2</v>
      </c>
      <c r="J449" s="10">
        <v>0.3</v>
      </c>
      <c r="K449" s="10">
        <v>0.30299999999999999</v>
      </c>
      <c r="L449" s="10">
        <v>0.49</v>
      </c>
      <c r="M449" s="10">
        <v>0.1343</v>
      </c>
      <c r="N449" s="10">
        <v>8</v>
      </c>
      <c r="O449" s="10">
        <v>83</v>
      </c>
      <c r="P449" s="10">
        <v>91</v>
      </c>
      <c r="Q449" s="13" t="s">
        <v>98</v>
      </c>
      <c r="R449" s="13" t="s">
        <v>79</v>
      </c>
      <c r="S449" s="10" t="s">
        <v>80</v>
      </c>
      <c r="T449" s="11" t="s">
        <v>88</v>
      </c>
      <c r="U449" s="13" t="s">
        <v>94</v>
      </c>
      <c r="V449" s="13" t="s">
        <v>93</v>
      </c>
      <c r="W449" s="13" t="s">
        <v>90</v>
      </c>
      <c r="X449" s="10" t="s">
        <v>85</v>
      </c>
      <c r="Y449" s="13" t="s">
        <v>99</v>
      </c>
      <c r="Z449">
        <f t="shared" si="37"/>
        <v>366</v>
      </c>
      <c r="AA449" s="39">
        <f t="shared" si="38"/>
        <v>63.893617021276597</v>
      </c>
      <c r="AB449" s="39">
        <f t="shared" si="39"/>
        <v>2475.0725165251133</v>
      </c>
      <c r="AC449">
        <f t="shared" si="42"/>
        <v>0.99978415322405634</v>
      </c>
      <c r="AD449">
        <f t="shared" si="40"/>
        <v>0.99969227253885795</v>
      </c>
      <c r="AE449">
        <f t="shared" si="41"/>
        <v>23888</v>
      </c>
    </row>
    <row r="450" spans="1:31">
      <c r="A450" s="9">
        <v>449</v>
      </c>
      <c r="B450" s="30">
        <v>40563</v>
      </c>
      <c r="C450" s="9">
        <v>1</v>
      </c>
      <c r="D450" s="9">
        <v>0</v>
      </c>
      <c r="E450" s="9">
        <v>1</v>
      </c>
      <c r="F450" s="9">
        <v>17</v>
      </c>
      <c r="G450" s="9" t="b">
        <v>0</v>
      </c>
      <c r="H450" s="9">
        <v>4</v>
      </c>
      <c r="I450" s="9">
        <v>2</v>
      </c>
      <c r="J450" s="9">
        <v>0.3</v>
      </c>
      <c r="K450" s="9">
        <v>0.31819999999999998</v>
      </c>
      <c r="L450" s="9">
        <v>0.49</v>
      </c>
      <c r="M450" s="9">
        <v>0.1045</v>
      </c>
      <c r="N450" s="9">
        <v>8</v>
      </c>
      <c r="O450" s="9">
        <v>207</v>
      </c>
      <c r="P450" s="9">
        <v>215</v>
      </c>
      <c r="Q450" s="13" t="s">
        <v>98</v>
      </c>
      <c r="R450" s="13" t="s">
        <v>79</v>
      </c>
      <c r="S450" s="9" t="s">
        <v>80</v>
      </c>
      <c r="T450" s="11" t="s">
        <v>88</v>
      </c>
      <c r="U450" s="15" t="s">
        <v>95</v>
      </c>
      <c r="V450" s="13" t="s">
        <v>93</v>
      </c>
      <c r="W450" s="13" t="s">
        <v>90</v>
      </c>
      <c r="X450" s="9" t="s">
        <v>85</v>
      </c>
      <c r="Y450" s="13" t="s">
        <v>99</v>
      </c>
      <c r="Z450">
        <f t="shared" ref="Z450:Z513" si="43">COUNTIF(Q450:Q1449,"Weekday")</f>
        <v>365</v>
      </c>
      <c r="AA450" s="39">
        <f t="shared" ref="AA450:AA513" si="44">AVERAGEIF(T450:T1449,"Clear",P450:P1449)</f>
        <v>63.893617021276597</v>
      </c>
      <c r="AB450" s="39">
        <f t="shared" ref="AB450:AB513" si="45">STDEV(P450:P1449)</f>
        <v>2477.3113474252004</v>
      </c>
      <c r="AC450">
        <f t="shared" si="42"/>
        <v>0.99978415337438209</v>
      </c>
      <c r="AD450">
        <f t="shared" ref="AD450:AD513" si="46">CORREL(L450:L1449,P450:P1449)</f>
        <v>0.99969251979143925</v>
      </c>
      <c r="AE450">
        <f t="shared" ref="AE450:AE513" si="47">SUMIF(Q450:Q1449,"Weekday",P450:P1449)</f>
        <v>23797</v>
      </c>
    </row>
    <row r="451" spans="1:31">
      <c r="A451" s="10">
        <v>450</v>
      </c>
      <c r="B451" s="31">
        <v>40563</v>
      </c>
      <c r="C451" s="10">
        <v>1</v>
      </c>
      <c r="D451" s="10">
        <v>0</v>
      </c>
      <c r="E451" s="10">
        <v>1</v>
      </c>
      <c r="F451" s="10">
        <v>18</v>
      </c>
      <c r="G451" s="10" t="b">
        <v>0</v>
      </c>
      <c r="H451" s="10">
        <v>4</v>
      </c>
      <c r="I451" s="10">
        <v>2</v>
      </c>
      <c r="J451" s="10">
        <v>0.26</v>
      </c>
      <c r="K451" s="10">
        <v>0.2576</v>
      </c>
      <c r="L451" s="10">
        <v>0.56000000000000005</v>
      </c>
      <c r="M451" s="10">
        <v>0.19400000000000001</v>
      </c>
      <c r="N451" s="10">
        <v>1</v>
      </c>
      <c r="O451" s="10">
        <v>184</v>
      </c>
      <c r="P451" s="10">
        <v>185</v>
      </c>
      <c r="Q451" s="13" t="s">
        <v>98</v>
      </c>
      <c r="R451" s="13" t="s">
        <v>79</v>
      </c>
      <c r="S451" s="10" t="s">
        <v>80</v>
      </c>
      <c r="T451" s="11" t="s">
        <v>88</v>
      </c>
      <c r="U451" s="15" t="s">
        <v>95</v>
      </c>
      <c r="V451" s="13" t="s">
        <v>93</v>
      </c>
      <c r="W451" s="13" t="s">
        <v>90</v>
      </c>
      <c r="X451" s="10" t="s">
        <v>85</v>
      </c>
      <c r="Y451" s="13" t="s">
        <v>99</v>
      </c>
      <c r="Z451">
        <f t="shared" si="43"/>
        <v>364</v>
      </c>
      <c r="AA451" s="39">
        <f t="shared" si="44"/>
        <v>63.893617021276597</v>
      </c>
      <c r="AB451" s="39">
        <f t="shared" si="45"/>
        <v>2479.5574719362407</v>
      </c>
      <c r="AC451">
        <f t="shared" si="42"/>
        <v>0.99978649603573799</v>
      </c>
      <c r="AD451">
        <f t="shared" si="46"/>
        <v>0.9996965464934906</v>
      </c>
      <c r="AE451">
        <f t="shared" si="47"/>
        <v>23582</v>
      </c>
    </row>
    <row r="452" spans="1:31">
      <c r="A452" s="9">
        <v>451</v>
      </c>
      <c r="B452" s="30">
        <v>40563</v>
      </c>
      <c r="C452" s="9">
        <v>1</v>
      </c>
      <c r="D452" s="9">
        <v>0</v>
      </c>
      <c r="E452" s="9">
        <v>1</v>
      </c>
      <c r="F452" s="9">
        <v>19</v>
      </c>
      <c r="G452" s="9" t="b">
        <v>0</v>
      </c>
      <c r="H452" s="9">
        <v>4</v>
      </c>
      <c r="I452" s="9">
        <v>1</v>
      </c>
      <c r="J452" s="9">
        <v>0.26</v>
      </c>
      <c r="K452" s="9">
        <v>0.2273</v>
      </c>
      <c r="L452" s="9">
        <v>0.56000000000000005</v>
      </c>
      <c r="M452" s="9">
        <v>0.32840000000000003</v>
      </c>
      <c r="N452" s="9">
        <v>6</v>
      </c>
      <c r="O452" s="9">
        <v>146</v>
      </c>
      <c r="P452" s="9">
        <v>152</v>
      </c>
      <c r="Q452" s="13" t="s">
        <v>98</v>
      </c>
      <c r="R452" s="13" t="s">
        <v>79</v>
      </c>
      <c r="S452" s="9" t="s">
        <v>80</v>
      </c>
      <c r="T452" s="13" t="s">
        <v>81</v>
      </c>
      <c r="U452" s="15" t="s">
        <v>95</v>
      </c>
      <c r="V452" s="13" t="s">
        <v>93</v>
      </c>
      <c r="W452" s="13" t="s">
        <v>90</v>
      </c>
      <c r="X452" s="9" t="s">
        <v>85</v>
      </c>
      <c r="Y452" s="13" t="s">
        <v>99</v>
      </c>
      <c r="Z452">
        <f t="shared" si="43"/>
        <v>363</v>
      </c>
      <c r="AA452" s="39">
        <f t="shared" si="44"/>
        <v>63.893617021276597</v>
      </c>
      <c r="AB452" s="39">
        <f t="shared" si="45"/>
        <v>2481.8104615518369</v>
      </c>
      <c r="AC452">
        <f t="shared" si="42"/>
        <v>0.99978820242988808</v>
      </c>
      <c r="AD452">
        <f t="shared" si="46"/>
        <v>0.99969898101678234</v>
      </c>
      <c r="AE452">
        <f t="shared" si="47"/>
        <v>23397</v>
      </c>
    </row>
    <row r="453" spans="1:31">
      <c r="A453" s="10">
        <v>452</v>
      </c>
      <c r="B453" s="31">
        <v>40563</v>
      </c>
      <c r="C453" s="10">
        <v>1</v>
      </c>
      <c r="D453" s="10">
        <v>0</v>
      </c>
      <c r="E453" s="10">
        <v>1</v>
      </c>
      <c r="F453" s="10">
        <v>20</v>
      </c>
      <c r="G453" s="10" t="b">
        <v>0</v>
      </c>
      <c r="H453" s="10">
        <v>4</v>
      </c>
      <c r="I453" s="10">
        <v>2</v>
      </c>
      <c r="J453" s="10">
        <v>0.26</v>
      </c>
      <c r="K453" s="10">
        <v>0.2424</v>
      </c>
      <c r="L453" s="10">
        <v>0.6</v>
      </c>
      <c r="M453" s="10">
        <v>0.28360000000000002</v>
      </c>
      <c r="N453" s="10">
        <v>2</v>
      </c>
      <c r="O453" s="10">
        <v>124</v>
      </c>
      <c r="P453" s="10">
        <v>126</v>
      </c>
      <c r="Q453" s="13" t="s">
        <v>98</v>
      </c>
      <c r="R453" s="13" t="s">
        <v>79</v>
      </c>
      <c r="S453" s="10" t="s">
        <v>80</v>
      </c>
      <c r="T453" s="11" t="s">
        <v>88</v>
      </c>
      <c r="U453" s="16" t="s">
        <v>97</v>
      </c>
      <c r="V453" s="13" t="s">
        <v>93</v>
      </c>
      <c r="W453" s="13" t="s">
        <v>90</v>
      </c>
      <c r="X453" s="10" t="s">
        <v>85</v>
      </c>
      <c r="Y453" s="13" t="s">
        <v>99</v>
      </c>
      <c r="Z453">
        <f t="shared" si="43"/>
        <v>362</v>
      </c>
      <c r="AA453" s="39">
        <f t="shared" si="44"/>
        <v>63.625</v>
      </c>
      <c r="AB453" s="39">
        <f t="shared" si="45"/>
        <v>2484.0696605876606</v>
      </c>
      <c r="AC453">
        <f t="shared" si="42"/>
        <v>0.99978902571013095</v>
      </c>
      <c r="AD453">
        <f t="shared" si="46"/>
        <v>0.9997003307951654</v>
      </c>
      <c r="AE453">
        <f t="shared" si="47"/>
        <v>23245</v>
      </c>
    </row>
    <row r="454" spans="1:31">
      <c r="A454" s="9">
        <v>453</v>
      </c>
      <c r="B454" s="30">
        <v>40563</v>
      </c>
      <c r="C454" s="9">
        <v>1</v>
      </c>
      <c r="D454" s="9">
        <v>0</v>
      </c>
      <c r="E454" s="9">
        <v>1</v>
      </c>
      <c r="F454" s="9">
        <v>21</v>
      </c>
      <c r="G454" s="9" t="b">
        <v>0</v>
      </c>
      <c r="H454" s="9">
        <v>4</v>
      </c>
      <c r="I454" s="9">
        <v>2</v>
      </c>
      <c r="J454" s="9">
        <v>0.24</v>
      </c>
      <c r="K454" s="9">
        <v>0.2273</v>
      </c>
      <c r="L454" s="9">
        <v>0.6</v>
      </c>
      <c r="M454" s="9">
        <v>0.25369999999999998</v>
      </c>
      <c r="N454" s="9">
        <v>3</v>
      </c>
      <c r="O454" s="9">
        <v>54</v>
      </c>
      <c r="P454" s="9">
        <v>57</v>
      </c>
      <c r="Q454" s="13" t="s">
        <v>98</v>
      </c>
      <c r="R454" s="13" t="s">
        <v>79</v>
      </c>
      <c r="S454" s="9" t="s">
        <v>80</v>
      </c>
      <c r="T454" s="11" t="s">
        <v>88</v>
      </c>
      <c r="U454" s="16" t="s">
        <v>97</v>
      </c>
      <c r="V454" s="11" t="s">
        <v>87</v>
      </c>
      <c r="W454" s="15" t="s">
        <v>84</v>
      </c>
      <c r="X454" s="9" t="s">
        <v>85</v>
      </c>
      <c r="Y454" s="13" t="s">
        <v>99</v>
      </c>
      <c r="Z454">
        <f t="shared" si="43"/>
        <v>361</v>
      </c>
      <c r="AA454" s="39">
        <f t="shared" si="44"/>
        <v>63.625</v>
      </c>
      <c r="AB454" s="39">
        <f t="shared" si="45"/>
        <v>2486.3345209389322</v>
      </c>
      <c r="AC454">
        <f t="shared" si="42"/>
        <v>0.99978937704115789</v>
      </c>
      <c r="AD454">
        <f t="shared" si="46"/>
        <v>0.99970096910367789</v>
      </c>
      <c r="AE454">
        <f t="shared" si="47"/>
        <v>23119</v>
      </c>
    </row>
    <row r="455" spans="1:31">
      <c r="A455" s="10">
        <v>454</v>
      </c>
      <c r="B455" s="31">
        <v>40563</v>
      </c>
      <c r="C455" s="10">
        <v>1</v>
      </c>
      <c r="D455" s="10">
        <v>0</v>
      </c>
      <c r="E455" s="10">
        <v>1</v>
      </c>
      <c r="F455" s="10">
        <v>22</v>
      </c>
      <c r="G455" s="10" t="b">
        <v>0</v>
      </c>
      <c r="H455" s="10">
        <v>4</v>
      </c>
      <c r="I455" s="10">
        <v>2</v>
      </c>
      <c r="J455" s="10">
        <v>0.24</v>
      </c>
      <c r="K455" s="10">
        <v>0.21210000000000001</v>
      </c>
      <c r="L455" s="10">
        <v>0.65</v>
      </c>
      <c r="M455" s="10">
        <v>0.28360000000000002</v>
      </c>
      <c r="N455" s="10">
        <v>0</v>
      </c>
      <c r="O455" s="10">
        <v>56</v>
      </c>
      <c r="P455" s="10">
        <v>56</v>
      </c>
      <c r="Q455" s="13" t="s">
        <v>98</v>
      </c>
      <c r="R455" s="13" t="s">
        <v>79</v>
      </c>
      <c r="S455" s="10" t="s">
        <v>80</v>
      </c>
      <c r="T455" s="11" t="s">
        <v>88</v>
      </c>
      <c r="U455" s="16" t="s">
        <v>97</v>
      </c>
      <c r="V455" s="11" t="s">
        <v>87</v>
      </c>
      <c r="W455" s="15" t="s">
        <v>84</v>
      </c>
      <c r="X455" s="10" t="s">
        <v>85</v>
      </c>
      <c r="Y455" s="13" t="s">
        <v>99</v>
      </c>
      <c r="Z455">
        <f t="shared" si="43"/>
        <v>360</v>
      </c>
      <c r="AA455" s="39">
        <f t="shared" si="44"/>
        <v>63.625</v>
      </c>
      <c r="AB455" s="39">
        <f t="shared" si="45"/>
        <v>2488.6017915863313</v>
      </c>
      <c r="AC455">
        <f t="shared" si="42"/>
        <v>0.99978940740017663</v>
      </c>
      <c r="AD455">
        <f t="shared" si="46"/>
        <v>0.99970096954342713</v>
      </c>
      <c r="AE455">
        <f t="shared" si="47"/>
        <v>23062</v>
      </c>
    </row>
    <row r="456" spans="1:31">
      <c r="A456" s="9">
        <v>455</v>
      </c>
      <c r="B456" s="30">
        <v>40563</v>
      </c>
      <c r="C456" s="9">
        <v>1</v>
      </c>
      <c r="D456" s="9">
        <v>0</v>
      </c>
      <c r="E456" s="9">
        <v>1</v>
      </c>
      <c r="F456" s="9">
        <v>23</v>
      </c>
      <c r="G456" s="9" t="b">
        <v>0</v>
      </c>
      <c r="H456" s="9">
        <v>4</v>
      </c>
      <c r="I456" s="9">
        <v>2</v>
      </c>
      <c r="J456" s="9">
        <v>0.24</v>
      </c>
      <c r="K456" s="9">
        <v>0.21210000000000001</v>
      </c>
      <c r="L456" s="9">
        <v>0.65</v>
      </c>
      <c r="M456" s="9">
        <v>0.32840000000000003</v>
      </c>
      <c r="N456" s="9">
        <v>3</v>
      </c>
      <c r="O456" s="9">
        <v>28</v>
      </c>
      <c r="P456" s="9">
        <v>31</v>
      </c>
      <c r="Q456" s="13" t="s">
        <v>98</v>
      </c>
      <c r="R456" s="13" t="s">
        <v>79</v>
      </c>
      <c r="S456" s="9" t="s">
        <v>80</v>
      </c>
      <c r="T456" s="11" t="s">
        <v>88</v>
      </c>
      <c r="U456" s="16" t="s">
        <v>97</v>
      </c>
      <c r="V456" s="11" t="s">
        <v>87</v>
      </c>
      <c r="W456" s="15" t="s">
        <v>84</v>
      </c>
      <c r="X456" s="9" t="s">
        <v>85</v>
      </c>
      <c r="Y456" s="13" t="s">
        <v>99</v>
      </c>
      <c r="Z456">
        <f t="shared" si="43"/>
        <v>359</v>
      </c>
      <c r="AA456" s="39">
        <f t="shared" si="44"/>
        <v>63.625</v>
      </c>
      <c r="AB456" s="39">
        <f t="shared" si="45"/>
        <v>2490.8751950949741</v>
      </c>
      <c r="AC456">
        <f t="shared" si="42"/>
        <v>0.9997894423021455</v>
      </c>
      <c r="AD456">
        <f t="shared" si="46"/>
        <v>0.99970098095570714</v>
      </c>
      <c r="AE456">
        <f t="shared" si="47"/>
        <v>23006</v>
      </c>
    </row>
    <row r="457" spans="1:31">
      <c r="A457" s="10">
        <v>456</v>
      </c>
      <c r="B457" s="31">
        <v>40564</v>
      </c>
      <c r="C457" s="10">
        <v>1</v>
      </c>
      <c r="D457" s="10">
        <v>0</v>
      </c>
      <c r="E457" s="10">
        <v>1</v>
      </c>
      <c r="F457" s="10">
        <v>0</v>
      </c>
      <c r="G457" s="10" t="b">
        <v>0</v>
      </c>
      <c r="H457" s="10">
        <v>5</v>
      </c>
      <c r="I457" s="10">
        <v>2</v>
      </c>
      <c r="J457" s="10">
        <v>0.24</v>
      </c>
      <c r="K457" s="10">
        <v>0.2273</v>
      </c>
      <c r="L457" s="10">
        <v>0.7</v>
      </c>
      <c r="M457" s="10">
        <v>0.25369999999999998</v>
      </c>
      <c r="N457" s="10">
        <v>1</v>
      </c>
      <c r="O457" s="10">
        <v>20</v>
      </c>
      <c r="P457" s="10">
        <v>21</v>
      </c>
      <c r="Q457" s="13" t="s">
        <v>98</v>
      </c>
      <c r="R457" s="13" t="s">
        <v>79</v>
      </c>
      <c r="S457" s="10" t="s">
        <v>80</v>
      </c>
      <c r="T457" s="11" t="s">
        <v>88</v>
      </c>
      <c r="U457" s="14" t="s">
        <v>82</v>
      </c>
      <c r="V457" s="12" t="s">
        <v>83</v>
      </c>
      <c r="W457" s="15" t="s">
        <v>84</v>
      </c>
      <c r="X457" s="10" t="s">
        <v>85</v>
      </c>
      <c r="Y457" s="13" t="s">
        <v>99</v>
      </c>
      <c r="Z457">
        <f t="shared" si="43"/>
        <v>358</v>
      </c>
      <c r="AA457" s="39">
        <f t="shared" si="44"/>
        <v>63.625</v>
      </c>
      <c r="AB457" s="39">
        <f t="shared" si="45"/>
        <v>2493.1525703783268</v>
      </c>
      <c r="AC457">
        <f t="shared" si="42"/>
        <v>0.99978968442559579</v>
      </c>
      <c r="AD457">
        <f t="shared" si="46"/>
        <v>0.9997011523980569</v>
      </c>
      <c r="AE457">
        <f t="shared" si="47"/>
        <v>22975</v>
      </c>
    </row>
    <row r="458" spans="1:31">
      <c r="A458" s="9">
        <v>457</v>
      </c>
      <c r="B458" s="30">
        <v>40564</v>
      </c>
      <c r="C458" s="9">
        <v>1</v>
      </c>
      <c r="D458" s="9">
        <v>0</v>
      </c>
      <c r="E458" s="9">
        <v>1</v>
      </c>
      <c r="F458" s="9">
        <v>1</v>
      </c>
      <c r="G458" s="9" t="b">
        <v>0</v>
      </c>
      <c r="H458" s="9">
        <v>5</v>
      </c>
      <c r="I458" s="9">
        <v>2</v>
      </c>
      <c r="J458" s="9">
        <v>0.24</v>
      </c>
      <c r="K458" s="9">
        <v>0.2273</v>
      </c>
      <c r="L458" s="9">
        <v>0.7</v>
      </c>
      <c r="M458" s="9">
        <v>0.25369999999999998</v>
      </c>
      <c r="N458" s="9">
        <v>0</v>
      </c>
      <c r="O458" s="9">
        <v>6</v>
      </c>
      <c r="P458" s="9">
        <v>6</v>
      </c>
      <c r="Q458" s="13" t="s">
        <v>98</v>
      </c>
      <c r="R458" s="13" t="s">
        <v>79</v>
      </c>
      <c r="S458" s="9" t="s">
        <v>80</v>
      </c>
      <c r="T458" s="11" t="s">
        <v>88</v>
      </c>
      <c r="U458" s="14" t="s">
        <v>82</v>
      </c>
      <c r="V458" s="12" t="s">
        <v>83</v>
      </c>
      <c r="W458" s="15" t="s">
        <v>84</v>
      </c>
      <c r="X458" s="9" t="s">
        <v>85</v>
      </c>
      <c r="Y458" s="13" t="s">
        <v>99</v>
      </c>
      <c r="Z458">
        <f t="shared" si="43"/>
        <v>357</v>
      </c>
      <c r="AA458" s="39">
        <f t="shared" si="44"/>
        <v>63.625</v>
      </c>
      <c r="AB458" s="39">
        <f t="shared" si="45"/>
        <v>2495.4351637519007</v>
      </c>
      <c r="AC458">
        <f t="shared" si="42"/>
        <v>0.99979006224269362</v>
      </c>
      <c r="AD458">
        <f t="shared" si="46"/>
        <v>0.99970150963173021</v>
      </c>
      <c r="AE458">
        <f t="shared" si="47"/>
        <v>22954</v>
      </c>
    </row>
    <row r="459" spans="1:31">
      <c r="A459" s="10">
        <v>458</v>
      </c>
      <c r="B459" s="31">
        <v>40564</v>
      </c>
      <c r="C459" s="10">
        <v>1</v>
      </c>
      <c r="D459" s="10">
        <v>0</v>
      </c>
      <c r="E459" s="10">
        <v>1</v>
      </c>
      <c r="F459" s="10">
        <v>2</v>
      </c>
      <c r="G459" s="10" t="b">
        <v>0</v>
      </c>
      <c r="H459" s="10">
        <v>5</v>
      </c>
      <c r="I459" s="10">
        <v>3</v>
      </c>
      <c r="J459" s="10">
        <v>0.24</v>
      </c>
      <c r="K459" s="10">
        <v>0.2424</v>
      </c>
      <c r="L459" s="10">
        <v>0.75</v>
      </c>
      <c r="M459" s="10">
        <v>0.16420000000000001</v>
      </c>
      <c r="N459" s="10">
        <v>0</v>
      </c>
      <c r="O459" s="10">
        <v>2</v>
      </c>
      <c r="P459" s="10">
        <v>2</v>
      </c>
      <c r="Q459" s="13" t="s">
        <v>98</v>
      </c>
      <c r="R459" s="13" t="s">
        <v>79</v>
      </c>
      <c r="S459" s="10" t="s">
        <v>80</v>
      </c>
      <c r="T459" s="12" t="s">
        <v>96</v>
      </c>
      <c r="U459" s="14" t="s">
        <v>82</v>
      </c>
      <c r="V459" s="12" t="s">
        <v>83</v>
      </c>
      <c r="W459" s="15" t="s">
        <v>84</v>
      </c>
      <c r="X459" s="10" t="s">
        <v>85</v>
      </c>
      <c r="Y459" s="13" t="s">
        <v>99</v>
      </c>
      <c r="Z459">
        <f t="shared" si="43"/>
        <v>356</v>
      </c>
      <c r="AA459" s="39">
        <f t="shared" si="44"/>
        <v>63.625</v>
      </c>
      <c r="AB459" s="39">
        <f t="shared" si="45"/>
        <v>2497.7223353417103</v>
      </c>
      <c r="AC459">
        <f t="shared" si="42"/>
        <v>0.99979069951211164</v>
      </c>
      <c r="AD459">
        <f t="shared" si="46"/>
        <v>0.99970212010915194</v>
      </c>
      <c r="AE459">
        <f t="shared" si="47"/>
        <v>22948</v>
      </c>
    </row>
    <row r="460" spans="1:31">
      <c r="A460" s="9">
        <v>459</v>
      </c>
      <c r="B460" s="30">
        <v>40564</v>
      </c>
      <c r="C460" s="9">
        <v>1</v>
      </c>
      <c r="D460" s="9">
        <v>0</v>
      </c>
      <c r="E460" s="9">
        <v>1</v>
      </c>
      <c r="F460" s="9">
        <v>3</v>
      </c>
      <c r="G460" s="9" t="b">
        <v>0</v>
      </c>
      <c r="H460" s="9">
        <v>5</v>
      </c>
      <c r="I460" s="9">
        <v>3</v>
      </c>
      <c r="J460" s="9">
        <v>0.22</v>
      </c>
      <c r="K460" s="9">
        <v>0.21210000000000001</v>
      </c>
      <c r="L460" s="9">
        <v>0.8</v>
      </c>
      <c r="M460" s="9">
        <v>0.29849999999999999</v>
      </c>
      <c r="N460" s="9">
        <v>0</v>
      </c>
      <c r="O460" s="9">
        <v>1</v>
      </c>
      <c r="P460" s="9">
        <v>1</v>
      </c>
      <c r="Q460" s="13" t="s">
        <v>98</v>
      </c>
      <c r="R460" s="13" t="s">
        <v>79</v>
      </c>
      <c r="S460" s="9" t="s">
        <v>80</v>
      </c>
      <c r="T460" s="12" t="s">
        <v>96</v>
      </c>
      <c r="U460" s="14" t="s">
        <v>82</v>
      </c>
      <c r="V460" s="12" t="s">
        <v>83</v>
      </c>
      <c r="W460" s="15" t="s">
        <v>84</v>
      </c>
      <c r="X460" s="9" t="s">
        <v>85</v>
      </c>
      <c r="Y460" s="13" t="s">
        <v>99</v>
      </c>
      <c r="Z460">
        <f t="shared" si="43"/>
        <v>355</v>
      </c>
      <c r="AA460" s="39">
        <f t="shared" si="44"/>
        <v>63.625</v>
      </c>
      <c r="AB460" s="39">
        <f t="shared" si="45"/>
        <v>2500.0153238213907</v>
      </c>
      <c r="AC460">
        <f t="shared" si="42"/>
        <v>0.99979141933673554</v>
      </c>
      <c r="AD460">
        <f t="shared" si="46"/>
        <v>0.99970291648927434</v>
      </c>
      <c r="AE460">
        <f t="shared" si="47"/>
        <v>22946</v>
      </c>
    </row>
    <row r="461" spans="1:31">
      <c r="A461" s="10">
        <v>460</v>
      </c>
      <c r="B461" s="31">
        <v>40564</v>
      </c>
      <c r="C461" s="10">
        <v>1</v>
      </c>
      <c r="D461" s="10">
        <v>0</v>
      </c>
      <c r="E461" s="10">
        <v>1</v>
      </c>
      <c r="F461" s="10">
        <v>4</v>
      </c>
      <c r="G461" s="10" t="b">
        <v>0</v>
      </c>
      <c r="H461" s="10">
        <v>5</v>
      </c>
      <c r="I461" s="10">
        <v>2</v>
      </c>
      <c r="J461" s="10">
        <v>0.22</v>
      </c>
      <c r="K461" s="10">
        <v>0.2576</v>
      </c>
      <c r="L461" s="10">
        <v>0.87</v>
      </c>
      <c r="M461" s="10">
        <v>8.9599999999999999E-2</v>
      </c>
      <c r="N461" s="10">
        <v>0</v>
      </c>
      <c r="O461" s="10">
        <v>1</v>
      </c>
      <c r="P461" s="10">
        <v>1</v>
      </c>
      <c r="Q461" s="13" t="s">
        <v>98</v>
      </c>
      <c r="R461" s="13" t="s">
        <v>79</v>
      </c>
      <c r="S461" s="10" t="s">
        <v>80</v>
      </c>
      <c r="T461" s="11" t="s">
        <v>88</v>
      </c>
      <c r="U461" s="14" t="s">
        <v>82</v>
      </c>
      <c r="V461" s="12" t="s">
        <v>83</v>
      </c>
      <c r="W461" s="15" t="s">
        <v>84</v>
      </c>
      <c r="X461" s="10" t="s">
        <v>85</v>
      </c>
      <c r="Y461" s="13" t="s">
        <v>99</v>
      </c>
      <c r="Z461">
        <f t="shared" si="43"/>
        <v>354</v>
      </c>
      <c r="AA461" s="39">
        <f t="shared" si="44"/>
        <v>63.625</v>
      </c>
      <c r="AB461" s="39">
        <f t="shared" si="45"/>
        <v>2502.3145158818274</v>
      </c>
      <c r="AC461">
        <f t="shared" si="42"/>
        <v>0.99979204851398706</v>
      </c>
      <c r="AD461">
        <f t="shared" si="46"/>
        <v>0.99970385189947175</v>
      </c>
      <c r="AE461">
        <f t="shared" si="47"/>
        <v>22945</v>
      </c>
    </row>
    <row r="462" spans="1:31">
      <c r="A462" s="9">
        <v>461</v>
      </c>
      <c r="B462" s="30">
        <v>40564</v>
      </c>
      <c r="C462" s="9">
        <v>1</v>
      </c>
      <c r="D462" s="9">
        <v>0</v>
      </c>
      <c r="E462" s="9">
        <v>1</v>
      </c>
      <c r="F462" s="9">
        <v>5</v>
      </c>
      <c r="G462" s="9" t="b">
        <v>0</v>
      </c>
      <c r="H462" s="9">
        <v>5</v>
      </c>
      <c r="I462" s="9">
        <v>1</v>
      </c>
      <c r="J462" s="9">
        <v>0.24</v>
      </c>
      <c r="K462" s="9">
        <v>0.19700000000000001</v>
      </c>
      <c r="L462" s="9">
        <v>0.6</v>
      </c>
      <c r="M462" s="9">
        <v>0.41789999999999999</v>
      </c>
      <c r="N462" s="9">
        <v>1</v>
      </c>
      <c r="O462" s="9">
        <v>4</v>
      </c>
      <c r="P462" s="9">
        <v>5</v>
      </c>
      <c r="Q462" s="13" t="s">
        <v>98</v>
      </c>
      <c r="R462" s="13" t="s">
        <v>79</v>
      </c>
      <c r="S462" s="9" t="s">
        <v>80</v>
      </c>
      <c r="T462" s="13" t="s">
        <v>81</v>
      </c>
      <c r="U462" s="15" t="s">
        <v>89</v>
      </c>
      <c r="V462" s="12" t="s">
        <v>83</v>
      </c>
      <c r="W462" s="15" t="s">
        <v>84</v>
      </c>
      <c r="X462" s="9" t="s">
        <v>85</v>
      </c>
      <c r="Y462" s="13" t="s">
        <v>99</v>
      </c>
      <c r="Z462">
        <f t="shared" si="43"/>
        <v>353</v>
      </c>
      <c r="AA462" s="39">
        <f t="shared" si="44"/>
        <v>63.625</v>
      </c>
      <c r="AB462" s="39">
        <f t="shared" si="45"/>
        <v>2504.6200630347289</v>
      </c>
      <c r="AC462">
        <f t="shared" si="42"/>
        <v>0.99979268003109167</v>
      </c>
      <c r="AD462">
        <f t="shared" si="46"/>
        <v>0.99970496338549186</v>
      </c>
      <c r="AE462">
        <f t="shared" si="47"/>
        <v>22944</v>
      </c>
    </row>
    <row r="463" spans="1:31">
      <c r="A463" s="10">
        <v>462</v>
      </c>
      <c r="B463" s="31">
        <v>40564</v>
      </c>
      <c r="C463" s="10">
        <v>1</v>
      </c>
      <c r="D463" s="10">
        <v>0</v>
      </c>
      <c r="E463" s="10">
        <v>1</v>
      </c>
      <c r="F463" s="10">
        <v>6</v>
      </c>
      <c r="G463" s="10" t="b">
        <v>0</v>
      </c>
      <c r="H463" s="10">
        <v>5</v>
      </c>
      <c r="I463" s="10">
        <v>1</v>
      </c>
      <c r="J463" s="10">
        <v>0.22</v>
      </c>
      <c r="K463" s="10">
        <v>0.21210000000000001</v>
      </c>
      <c r="L463" s="10">
        <v>0.55000000000000004</v>
      </c>
      <c r="M463" s="10">
        <v>0.25369999999999998</v>
      </c>
      <c r="N463" s="10">
        <v>0</v>
      </c>
      <c r="O463" s="10">
        <v>27</v>
      </c>
      <c r="P463" s="10">
        <v>27</v>
      </c>
      <c r="Q463" s="13" t="s">
        <v>98</v>
      </c>
      <c r="R463" s="13" t="s">
        <v>79</v>
      </c>
      <c r="S463" s="10" t="s">
        <v>80</v>
      </c>
      <c r="T463" s="13" t="s">
        <v>81</v>
      </c>
      <c r="U463" s="15" t="s">
        <v>89</v>
      </c>
      <c r="V463" s="12" t="s">
        <v>83</v>
      </c>
      <c r="W463" s="15" t="s">
        <v>84</v>
      </c>
      <c r="X463" s="10" t="s">
        <v>85</v>
      </c>
      <c r="Y463" s="13" t="s">
        <v>99</v>
      </c>
      <c r="Z463">
        <f t="shared" si="43"/>
        <v>352</v>
      </c>
      <c r="AA463" s="39">
        <f t="shared" si="44"/>
        <v>63.804281345565748</v>
      </c>
      <c r="AB463" s="39">
        <f t="shared" si="45"/>
        <v>2506.9324851073029</v>
      </c>
      <c r="AC463">
        <f t="shared" si="42"/>
        <v>0.99979334663393282</v>
      </c>
      <c r="AD463">
        <f t="shared" si="46"/>
        <v>0.9997054235694588</v>
      </c>
      <c r="AE463">
        <f t="shared" si="47"/>
        <v>22939</v>
      </c>
    </row>
    <row r="464" spans="1:31">
      <c r="A464" s="9">
        <v>463</v>
      </c>
      <c r="B464" s="30">
        <v>40564</v>
      </c>
      <c r="C464" s="9">
        <v>1</v>
      </c>
      <c r="D464" s="9">
        <v>0</v>
      </c>
      <c r="E464" s="9">
        <v>1</v>
      </c>
      <c r="F464" s="9">
        <v>7</v>
      </c>
      <c r="G464" s="9" t="b">
        <v>0</v>
      </c>
      <c r="H464" s="9">
        <v>5</v>
      </c>
      <c r="I464" s="9">
        <v>1</v>
      </c>
      <c r="J464" s="9">
        <v>0.2</v>
      </c>
      <c r="K464" s="9">
        <v>0.18179999999999999</v>
      </c>
      <c r="L464" s="9">
        <v>0.51</v>
      </c>
      <c r="M464" s="9">
        <v>0.28360000000000002</v>
      </c>
      <c r="N464" s="9">
        <v>2</v>
      </c>
      <c r="O464" s="9">
        <v>66</v>
      </c>
      <c r="P464" s="9">
        <v>68</v>
      </c>
      <c r="Q464" s="13" t="s">
        <v>98</v>
      </c>
      <c r="R464" s="13" t="s">
        <v>79</v>
      </c>
      <c r="S464" s="9" t="s">
        <v>80</v>
      </c>
      <c r="T464" s="13" t="s">
        <v>81</v>
      </c>
      <c r="U464" s="15" t="s">
        <v>89</v>
      </c>
      <c r="V464" s="11" t="s">
        <v>87</v>
      </c>
      <c r="W464" s="15" t="s">
        <v>84</v>
      </c>
      <c r="X464" s="9" t="s">
        <v>85</v>
      </c>
      <c r="Y464" s="13" t="s">
        <v>99</v>
      </c>
      <c r="Z464">
        <f t="shared" si="43"/>
        <v>351</v>
      </c>
      <c r="AA464" s="39">
        <f t="shared" si="44"/>
        <v>63.917177914110432</v>
      </c>
      <c r="AB464" s="39">
        <f t="shared" si="45"/>
        <v>2509.2538168099991</v>
      </c>
      <c r="AC464">
        <f t="shared" ref="AC464:AC527" si="48">CORREL(J464:J1463,P464:P1463)</f>
        <v>0.99979357826229132</v>
      </c>
      <c r="AD464">
        <f t="shared" si="46"/>
        <v>0.99970554636912645</v>
      </c>
      <c r="AE464">
        <f t="shared" si="47"/>
        <v>22912</v>
      </c>
    </row>
    <row r="465" spans="1:31">
      <c r="A465" s="10">
        <v>464</v>
      </c>
      <c r="B465" s="31">
        <v>40564</v>
      </c>
      <c r="C465" s="10">
        <v>1</v>
      </c>
      <c r="D465" s="10">
        <v>0</v>
      </c>
      <c r="E465" s="10">
        <v>1</v>
      </c>
      <c r="F465" s="10">
        <v>8</v>
      </c>
      <c r="G465" s="10" t="b">
        <v>0</v>
      </c>
      <c r="H465" s="10">
        <v>5</v>
      </c>
      <c r="I465" s="10">
        <v>1</v>
      </c>
      <c r="J465" s="10">
        <v>0.2</v>
      </c>
      <c r="K465" s="10">
        <v>0.18179999999999999</v>
      </c>
      <c r="L465" s="10">
        <v>0.47</v>
      </c>
      <c r="M465" s="10">
        <v>0.32840000000000003</v>
      </c>
      <c r="N465" s="10">
        <v>7</v>
      </c>
      <c r="O465" s="10">
        <v>210</v>
      </c>
      <c r="P465" s="10">
        <v>217</v>
      </c>
      <c r="Q465" s="13" t="s">
        <v>98</v>
      </c>
      <c r="R465" s="13" t="s">
        <v>79</v>
      </c>
      <c r="S465" s="10" t="s">
        <v>80</v>
      </c>
      <c r="T465" s="13" t="s">
        <v>81</v>
      </c>
      <c r="U465" s="15" t="s">
        <v>89</v>
      </c>
      <c r="V465" s="13" t="s">
        <v>93</v>
      </c>
      <c r="W465" s="15" t="s">
        <v>84</v>
      </c>
      <c r="X465" s="10" t="s">
        <v>85</v>
      </c>
      <c r="Y465" s="13" t="s">
        <v>99</v>
      </c>
      <c r="Z465">
        <f t="shared" si="43"/>
        <v>350</v>
      </c>
      <c r="AA465" s="39">
        <f t="shared" si="44"/>
        <v>63.904615384615383</v>
      </c>
      <c r="AB465" s="39">
        <f t="shared" si="45"/>
        <v>2511.5853078097603</v>
      </c>
      <c r="AC465">
        <f t="shared" si="48"/>
        <v>0.99979358470517266</v>
      </c>
      <c r="AD465">
        <f t="shared" si="46"/>
        <v>0.99970558303005641</v>
      </c>
      <c r="AE465">
        <f t="shared" si="47"/>
        <v>22844</v>
      </c>
    </row>
    <row r="466" spans="1:31">
      <c r="A466" s="9">
        <v>465</v>
      </c>
      <c r="B466" s="30">
        <v>40564</v>
      </c>
      <c r="C466" s="9">
        <v>1</v>
      </c>
      <c r="D466" s="9">
        <v>0</v>
      </c>
      <c r="E466" s="9">
        <v>1</v>
      </c>
      <c r="F466" s="9">
        <v>9</v>
      </c>
      <c r="G466" s="9" t="b">
        <v>0</v>
      </c>
      <c r="H466" s="9">
        <v>5</v>
      </c>
      <c r="I466" s="9">
        <v>1</v>
      </c>
      <c r="J466" s="9">
        <v>0.2</v>
      </c>
      <c r="K466" s="9">
        <v>0.18179999999999999</v>
      </c>
      <c r="L466" s="9">
        <v>0.51</v>
      </c>
      <c r="M466" s="9">
        <v>0.35820000000000002</v>
      </c>
      <c r="N466" s="9">
        <v>7</v>
      </c>
      <c r="O466" s="9">
        <v>159</v>
      </c>
      <c r="P466" s="9">
        <v>166</v>
      </c>
      <c r="Q466" s="13" t="s">
        <v>98</v>
      </c>
      <c r="R466" s="13" t="s">
        <v>79</v>
      </c>
      <c r="S466" s="9" t="s">
        <v>80</v>
      </c>
      <c r="T466" s="13" t="s">
        <v>81</v>
      </c>
      <c r="U466" s="15" t="s">
        <v>89</v>
      </c>
      <c r="V466" s="13" t="s">
        <v>93</v>
      </c>
      <c r="W466" s="15" t="s">
        <v>84</v>
      </c>
      <c r="X466" s="9" t="s">
        <v>85</v>
      </c>
      <c r="Y466" s="13" t="s">
        <v>99</v>
      </c>
      <c r="Z466">
        <f t="shared" si="43"/>
        <v>349</v>
      </c>
      <c r="AA466" s="39">
        <f t="shared" si="44"/>
        <v>63.432098765432102</v>
      </c>
      <c r="AB466" s="39">
        <f t="shared" si="45"/>
        <v>2513.9262613044539</v>
      </c>
      <c r="AC466">
        <f t="shared" si="48"/>
        <v>0.99979718061428702</v>
      </c>
      <c r="AD466">
        <f t="shared" si="46"/>
        <v>0.99970980593892278</v>
      </c>
      <c r="AE466">
        <f t="shared" si="47"/>
        <v>22627</v>
      </c>
    </row>
    <row r="467" spans="1:31">
      <c r="A467" s="10">
        <v>466</v>
      </c>
      <c r="B467" s="31">
        <v>40564</v>
      </c>
      <c r="C467" s="10">
        <v>1</v>
      </c>
      <c r="D467" s="10">
        <v>0</v>
      </c>
      <c r="E467" s="10">
        <v>1</v>
      </c>
      <c r="F467" s="10">
        <v>10</v>
      </c>
      <c r="G467" s="10" t="b">
        <v>0</v>
      </c>
      <c r="H467" s="10">
        <v>5</v>
      </c>
      <c r="I467" s="10">
        <v>1</v>
      </c>
      <c r="J467" s="10">
        <v>0.2</v>
      </c>
      <c r="K467" s="10">
        <v>0.16669999999999999</v>
      </c>
      <c r="L467" s="10">
        <v>0.47</v>
      </c>
      <c r="M467" s="10">
        <v>0.4627</v>
      </c>
      <c r="N467" s="10">
        <v>6</v>
      </c>
      <c r="O467" s="10">
        <v>57</v>
      </c>
      <c r="P467" s="10">
        <v>63</v>
      </c>
      <c r="Q467" s="13" t="s">
        <v>98</v>
      </c>
      <c r="R467" s="13" t="s">
        <v>79</v>
      </c>
      <c r="S467" s="10" t="s">
        <v>80</v>
      </c>
      <c r="T467" s="13" t="s">
        <v>81</v>
      </c>
      <c r="U467" s="13" t="s">
        <v>91</v>
      </c>
      <c r="V467" s="11" t="s">
        <v>87</v>
      </c>
      <c r="W467" s="15" t="s">
        <v>84</v>
      </c>
      <c r="X467" s="10" t="s">
        <v>85</v>
      </c>
      <c r="Y467" s="13" t="s">
        <v>99</v>
      </c>
      <c r="Z467">
        <f t="shared" si="43"/>
        <v>348</v>
      </c>
      <c r="AA467" s="39">
        <f t="shared" si="44"/>
        <v>63.11455108359133</v>
      </c>
      <c r="AB467" s="39">
        <f t="shared" si="45"/>
        <v>2516.2746247782597</v>
      </c>
      <c r="AC467">
        <f t="shared" si="48"/>
        <v>0.99979881801490378</v>
      </c>
      <c r="AD467">
        <f t="shared" si="46"/>
        <v>0.99971173771693445</v>
      </c>
      <c r="AE467">
        <f t="shared" si="47"/>
        <v>22461</v>
      </c>
    </row>
    <row r="468" spans="1:31">
      <c r="A468" s="9">
        <v>467</v>
      </c>
      <c r="B468" s="30">
        <v>40564</v>
      </c>
      <c r="C468" s="9">
        <v>1</v>
      </c>
      <c r="D468" s="9">
        <v>0</v>
      </c>
      <c r="E468" s="9">
        <v>1</v>
      </c>
      <c r="F468" s="9">
        <v>11</v>
      </c>
      <c r="G468" s="9" t="b">
        <v>0</v>
      </c>
      <c r="H468" s="9">
        <v>5</v>
      </c>
      <c r="I468" s="9">
        <v>1</v>
      </c>
      <c r="J468" s="9">
        <v>0.22</v>
      </c>
      <c r="K468" s="9">
        <v>0.18179999999999999</v>
      </c>
      <c r="L468" s="9">
        <v>0.41</v>
      </c>
      <c r="M468" s="9">
        <v>0.4627</v>
      </c>
      <c r="N468" s="9">
        <v>6</v>
      </c>
      <c r="O468" s="9">
        <v>53</v>
      </c>
      <c r="P468" s="9">
        <v>59</v>
      </c>
      <c r="Q468" s="13" t="s">
        <v>98</v>
      </c>
      <c r="R468" s="13" t="s">
        <v>79</v>
      </c>
      <c r="S468" s="9" t="s">
        <v>80</v>
      </c>
      <c r="T468" s="13" t="s">
        <v>81</v>
      </c>
      <c r="U468" s="13" t="s">
        <v>91</v>
      </c>
      <c r="V468" s="11" t="s">
        <v>87</v>
      </c>
      <c r="W468" s="15" t="s">
        <v>84</v>
      </c>
      <c r="X468" s="9" t="s">
        <v>85</v>
      </c>
      <c r="Y468" s="13" t="s">
        <v>99</v>
      </c>
      <c r="Z468">
        <f t="shared" si="43"/>
        <v>347</v>
      </c>
      <c r="AA468" s="39">
        <f t="shared" si="44"/>
        <v>63.114906832298139</v>
      </c>
      <c r="AB468" s="39">
        <f t="shared" si="45"/>
        <v>2518.6253956754103</v>
      </c>
      <c r="AC468">
        <f t="shared" si="48"/>
        <v>0.99979881820588901</v>
      </c>
      <c r="AD468">
        <f t="shared" si="46"/>
        <v>0.99971177227097685</v>
      </c>
      <c r="AE468">
        <f t="shared" si="47"/>
        <v>22398</v>
      </c>
    </row>
    <row r="469" spans="1:31">
      <c r="A469" s="10">
        <v>468</v>
      </c>
      <c r="B469" s="31">
        <v>40564</v>
      </c>
      <c r="C469" s="10">
        <v>1</v>
      </c>
      <c r="D469" s="10">
        <v>0</v>
      </c>
      <c r="E469" s="10">
        <v>1</v>
      </c>
      <c r="F469" s="10">
        <v>12</v>
      </c>
      <c r="G469" s="10" t="b">
        <v>0</v>
      </c>
      <c r="H469" s="10">
        <v>5</v>
      </c>
      <c r="I469" s="10">
        <v>1</v>
      </c>
      <c r="J469" s="10">
        <v>0.22</v>
      </c>
      <c r="K469" s="10">
        <v>0.18179999999999999</v>
      </c>
      <c r="L469" s="10">
        <v>0.27</v>
      </c>
      <c r="M469" s="10">
        <v>0.58209999999999995</v>
      </c>
      <c r="N469" s="10">
        <v>11</v>
      </c>
      <c r="O469" s="10">
        <v>67</v>
      </c>
      <c r="P469" s="10">
        <v>78</v>
      </c>
      <c r="Q469" s="13" t="s">
        <v>98</v>
      </c>
      <c r="R469" s="13" t="s">
        <v>79</v>
      </c>
      <c r="S469" s="10" t="s">
        <v>80</v>
      </c>
      <c r="T469" s="13" t="s">
        <v>81</v>
      </c>
      <c r="U469" s="11" t="s">
        <v>92</v>
      </c>
      <c r="V469" s="13" t="s">
        <v>93</v>
      </c>
      <c r="W469" s="15" t="s">
        <v>84</v>
      </c>
      <c r="X469" s="10" t="s">
        <v>85</v>
      </c>
      <c r="Y469" s="13" t="s">
        <v>99</v>
      </c>
      <c r="Z469">
        <f t="shared" si="43"/>
        <v>346</v>
      </c>
      <c r="AA469" s="39">
        <f t="shared" si="44"/>
        <v>63.127725856697822</v>
      </c>
      <c r="AB469" s="39">
        <f t="shared" si="45"/>
        <v>2520.9824444968708</v>
      </c>
      <c r="AC469">
        <f t="shared" si="48"/>
        <v>0.99979882524959363</v>
      </c>
      <c r="AD469">
        <f t="shared" si="46"/>
        <v>0.99971181668441278</v>
      </c>
      <c r="AE469">
        <f t="shared" si="47"/>
        <v>22339</v>
      </c>
    </row>
    <row r="470" spans="1:31">
      <c r="A470" s="9">
        <v>469</v>
      </c>
      <c r="B470" s="30">
        <v>40564</v>
      </c>
      <c r="C470" s="9">
        <v>1</v>
      </c>
      <c r="D470" s="9">
        <v>0</v>
      </c>
      <c r="E470" s="9">
        <v>1</v>
      </c>
      <c r="F470" s="9">
        <v>13</v>
      </c>
      <c r="G470" s="9" t="b">
        <v>0</v>
      </c>
      <c r="H470" s="9">
        <v>5</v>
      </c>
      <c r="I470" s="9">
        <v>1</v>
      </c>
      <c r="J470" s="9">
        <v>0.2</v>
      </c>
      <c r="K470" s="9">
        <v>0.1515</v>
      </c>
      <c r="L470" s="9">
        <v>0.21</v>
      </c>
      <c r="M470" s="9">
        <v>0.58209999999999995</v>
      </c>
      <c r="N470" s="9">
        <v>8</v>
      </c>
      <c r="O470" s="9">
        <v>65</v>
      </c>
      <c r="P470" s="9">
        <v>73</v>
      </c>
      <c r="Q470" s="13" t="s">
        <v>98</v>
      </c>
      <c r="R470" s="13" t="s">
        <v>79</v>
      </c>
      <c r="S470" s="9" t="s">
        <v>80</v>
      </c>
      <c r="T470" s="13" t="s">
        <v>81</v>
      </c>
      <c r="U470" s="11" t="s">
        <v>92</v>
      </c>
      <c r="V470" s="13" t="s">
        <v>93</v>
      </c>
      <c r="W470" s="15" t="s">
        <v>84</v>
      </c>
      <c r="X470" s="9" t="s">
        <v>85</v>
      </c>
      <c r="Y470" s="13" t="s">
        <v>99</v>
      </c>
      <c r="Z470">
        <f t="shared" si="43"/>
        <v>345</v>
      </c>
      <c r="AA470" s="39">
        <f t="shared" si="44"/>
        <v>63.081249999999997</v>
      </c>
      <c r="AB470" s="39">
        <f t="shared" si="45"/>
        <v>2523.3475548994033</v>
      </c>
      <c r="AC470">
        <f t="shared" si="48"/>
        <v>0.99979884513804029</v>
      </c>
      <c r="AD470">
        <f t="shared" si="46"/>
        <v>0.99971219431620517</v>
      </c>
      <c r="AE470">
        <f t="shared" si="47"/>
        <v>22261</v>
      </c>
    </row>
    <row r="471" spans="1:31">
      <c r="A471" s="10">
        <v>470</v>
      </c>
      <c r="B471" s="31">
        <v>40564</v>
      </c>
      <c r="C471" s="10">
        <v>1</v>
      </c>
      <c r="D471" s="10">
        <v>0</v>
      </c>
      <c r="E471" s="10">
        <v>1</v>
      </c>
      <c r="F471" s="10">
        <v>14</v>
      </c>
      <c r="G471" s="10" t="b">
        <v>0</v>
      </c>
      <c r="H471" s="10">
        <v>5</v>
      </c>
      <c r="I471" s="10">
        <v>1</v>
      </c>
      <c r="J471" s="10">
        <v>0.2</v>
      </c>
      <c r="K471" s="10">
        <v>0.1515</v>
      </c>
      <c r="L471" s="10">
        <v>0.25</v>
      </c>
      <c r="M471" s="10">
        <v>0.52239999999999998</v>
      </c>
      <c r="N471" s="10">
        <v>6</v>
      </c>
      <c r="O471" s="10">
        <v>56</v>
      </c>
      <c r="P471" s="10">
        <v>62</v>
      </c>
      <c r="Q471" s="13" t="s">
        <v>98</v>
      </c>
      <c r="R471" s="13" t="s">
        <v>79</v>
      </c>
      <c r="S471" s="10" t="s">
        <v>80</v>
      </c>
      <c r="T471" s="13" t="s">
        <v>81</v>
      </c>
      <c r="U471" s="13" t="s">
        <v>94</v>
      </c>
      <c r="V471" s="11" t="s">
        <v>87</v>
      </c>
      <c r="W471" s="15" t="s">
        <v>84</v>
      </c>
      <c r="X471" s="10" t="s">
        <v>85</v>
      </c>
      <c r="Y471" s="13" t="s">
        <v>99</v>
      </c>
      <c r="Z471">
        <f t="shared" si="43"/>
        <v>344</v>
      </c>
      <c r="AA471" s="39">
        <f t="shared" si="44"/>
        <v>63.050156739811911</v>
      </c>
      <c r="AB471" s="39">
        <f t="shared" si="45"/>
        <v>2525.7189828472992</v>
      </c>
      <c r="AC471">
        <f t="shared" si="48"/>
        <v>0.99979886741660817</v>
      </c>
      <c r="AD471">
        <f t="shared" si="46"/>
        <v>0.99971258851034239</v>
      </c>
      <c r="AE471">
        <f t="shared" si="47"/>
        <v>22188</v>
      </c>
    </row>
    <row r="472" spans="1:31">
      <c r="A472" s="9">
        <v>471</v>
      </c>
      <c r="B472" s="30">
        <v>40564</v>
      </c>
      <c r="C472" s="9">
        <v>1</v>
      </c>
      <c r="D472" s="9">
        <v>0</v>
      </c>
      <c r="E472" s="9">
        <v>1</v>
      </c>
      <c r="F472" s="9">
        <v>15</v>
      </c>
      <c r="G472" s="9" t="b">
        <v>0</v>
      </c>
      <c r="H472" s="9">
        <v>5</v>
      </c>
      <c r="I472" s="9">
        <v>1</v>
      </c>
      <c r="J472" s="9">
        <v>0.16</v>
      </c>
      <c r="K472" s="9">
        <v>0.1212</v>
      </c>
      <c r="L472" s="9">
        <v>0.26</v>
      </c>
      <c r="M472" s="9">
        <v>0.44779999999999998</v>
      </c>
      <c r="N472" s="9">
        <v>4</v>
      </c>
      <c r="O472" s="9">
        <v>61</v>
      </c>
      <c r="P472" s="9">
        <v>65</v>
      </c>
      <c r="Q472" s="13" t="s">
        <v>98</v>
      </c>
      <c r="R472" s="13" t="s">
        <v>79</v>
      </c>
      <c r="S472" s="9" t="s">
        <v>80</v>
      </c>
      <c r="T472" s="13" t="s">
        <v>81</v>
      </c>
      <c r="U472" s="13" t="s">
        <v>94</v>
      </c>
      <c r="V472" s="11" t="s">
        <v>87</v>
      </c>
      <c r="W472" s="15" t="s">
        <v>84</v>
      </c>
      <c r="X472" s="9" t="s">
        <v>85</v>
      </c>
      <c r="Y472" s="13" t="s">
        <v>99</v>
      </c>
      <c r="Z472">
        <f t="shared" si="43"/>
        <v>343</v>
      </c>
      <c r="AA472" s="39">
        <f t="shared" si="44"/>
        <v>63.053459119496857</v>
      </c>
      <c r="AB472" s="39">
        <f t="shared" si="45"/>
        <v>2528.0962678005981</v>
      </c>
      <c r="AC472">
        <f t="shared" si="48"/>
        <v>0.99979886703522569</v>
      </c>
      <c r="AD472">
        <f t="shared" si="46"/>
        <v>0.99971278750003345</v>
      </c>
      <c r="AE472">
        <f t="shared" si="47"/>
        <v>22126</v>
      </c>
    </row>
    <row r="473" spans="1:31">
      <c r="A473" s="10">
        <v>472</v>
      </c>
      <c r="B473" s="31">
        <v>40564</v>
      </c>
      <c r="C473" s="10">
        <v>1</v>
      </c>
      <c r="D473" s="10">
        <v>0</v>
      </c>
      <c r="E473" s="10">
        <v>1</v>
      </c>
      <c r="F473" s="10">
        <v>16</v>
      </c>
      <c r="G473" s="10" t="b">
        <v>0</v>
      </c>
      <c r="H473" s="10">
        <v>5</v>
      </c>
      <c r="I473" s="10">
        <v>1</v>
      </c>
      <c r="J473" s="10">
        <v>0.16</v>
      </c>
      <c r="K473" s="10">
        <v>0.13639999999999999</v>
      </c>
      <c r="L473" s="10">
        <v>0.26</v>
      </c>
      <c r="M473" s="10">
        <v>0.35820000000000002</v>
      </c>
      <c r="N473" s="10">
        <v>0</v>
      </c>
      <c r="O473" s="10">
        <v>97</v>
      </c>
      <c r="P473" s="10">
        <v>97</v>
      </c>
      <c r="Q473" s="13" t="s">
        <v>98</v>
      </c>
      <c r="R473" s="13" t="s">
        <v>79</v>
      </c>
      <c r="S473" s="10" t="s">
        <v>80</v>
      </c>
      <c r="T473" s="13" t="s">
        <v>81</v>
      </c>
      <c r="U473" s="13" t="s">
        <v>94</v>
      </c>
      <c r="V473" s="13" t="s">
        <v>93</v>
      </c>
      <c r="W473" s="15" t="s">
        <v>84</v>
      </c>
      <c r="X473" s="10" t="s">
        <v>85</v>
      </c>
      <c r="Y473" s="13" t="s">
        <v>99</v>
      </c>
      <c r="Z473">
        <f t="shared" si="43"/>
        <v>342</v>
      </c>
      <c r="AA473" s="39">
        <f t="shared" si="44"/>
        <v>63.047318611987379</v>
      </c>
      <c r="AB473" s="39">
        <f t="shared" si="45"/>
        <v>2530.4805173093832</v>
      </c>
      <c r="AC473">
        <f t="shared" si="48"/>
        <v>0.99979890319488107</v>
      </c>
      <c r="AD473">
        <f t="shared" si="46"/>
        <v>0.99971300967776122</v>
      </c>
      <c r="AE473">
        <f t="shared" si="47"/>
        <v>22061</v>
      </c>
    </row>
    <row r="474" spans="1:31">
      <c r="A474" s="9">
        <v>473</v>
      </c>
      <c r="B474" s="30">
        <v>40564</v>
      </c>
      <c r="C474" s="9">
        <v>1</v>
      </c>
      <c r="D474" s="9">
        <v>0</v>
      </c>
      <c r="E474" s="9">
        <v>1</v>
      </c>
      <c r="F474" s="9">
        <v>17</v>
      </c>
      <c r="G474" s="9" t="b">
        <v>0</v>
      </c>
      <c r="H474" s="9">
        <v>5</v>
      </c>
      <c r="I474" s="9">
        <v>1</v>
      </c>
      <c r="J474" s="9">
        <v>0.14000000000000001</v>
      </c>
      <c r="K474" s="9">
        <v>0.1212</v>
      </c>
      <c r="L474" s="9">
        <v>0.28000000000000003</v>
      </c>
      <c r="M474" s="9">
        <v>0.35820000000000002</v>
      </c>
      <c r="N474" s="9">
        <v>10</v>
      </c>
      <c r="O474" s="9">
        <v>151</v>
      </c>
      <c r="P474" s="9">
        <v>161</v>
      </c>
      <c r="Q474" s="13" t="s">
        <v>98</v>
      </c>
      <c r="R474" s="13" t="s">
        <v>79</v>
      </c>
      <c r="S474" s="9" t="s">
        <v>80</v>
      </c>
      <c r="T474" s="13" t="s">
        <v>81</v>
      </c>
      <c r="U474" s="15" t="s">
        <v>95</v>
      </c>
      <c r="V474" s="13" t="s">
        <v>93</v>
      </c>
      <c r="W474" s="15" t="s">
        <v>84</v>
      </c>
      <c r="X474" s="9" t="s">
        <v>85</v>
      </c>
      <c r="Y474" s="13" t="s">
        <v>99</v>
      </c>
      <c r="Z474">
        <f t="shared" si="43"/>
        <v>341</v>
      </c>
      <c r="AA474" s="39">
        <f t="shared" si="44"/>
        <v>62.939873417721522</v>
      </c>
      <c r="AB474" s="39">
        <f t="shared" si="45"/>
        <v>2532.8736641333899</v>
      </c>
      <c r="AC474">
        <f t="shared" si="48"/>
        <v>0.9997992409317269</v>
      </c>
      <c r="AD474">
        <f t="shared" si="46"/>
        <v>0.99971375304313559</v>
      </c>
      <c r="AE474">
        <f t="shared" si="47"/>
        <v>21964</v>
      </c>
    </row>
    <row r="475" spans="1:31">
      <c r="A475" s="10">
        <v>474</v>
      </c>
      <c r="B475" s="31">
        <v>40564</v>
      </c>
      <c r="C475" s="10">
        <v>1</v>
      </c>
      <c r="D475" s="10">
        <v>0</v>
      </c>
      <c r="E475" s="10">
        <v>1</v>
      </c>
      <c r="F475" s="10">
        <v>18</v>
      </c>
      <c r="G475" s="10" t="b">
        <v>0</v>
      </c>
      <c r="H475" s="10">
        <v>5</v>
      </c>
      <c r="I475" s="10">
        <v>1</v>
      </c>
      <c r="J475" s="10">
        <v>0.12</v>
      </c>
      <c r="K475" s="10">
        <v>0.1212</v>
      </c>
      <c r="L475" s="10">
        <v>0.3</v>
      </c>
      <c r="M475" s="10">
        <v>0.25369999999999998</v>
      </c>
      <c r="N475" s="10">
        <v>1</v>
      </c>
      <c r="O475" s="10">
        <v>119</v>
      </c>
      <c r="P475" s="10">
        <v>120</v>
      </c>
      <c r="Q475" s="13" t="s">
        <v>98</v>
      </c>
      <c r="R475" s="13" t="s">
        <v>79</v>
      </c>
      <c r="S475" s="10" t="s">
        <v>80</v>
      </c>
      <c r="T475" s="13" t="s">
        <v>81</v>
      </c>
      <c r="U475" s="15" t="s">
        <v>95</v>
      </c>
      <c r="V475" s="13" t="s">
        <v>93</v>
      </c>
      <c r="W475" s="15" t="s">
        <v>84</v>
      </c>
      <c r="X475" s="10" t="s">
        <v>85</v>
      </c>
      <c r="Y475" s="13" t="s">
        <v>99</v>
      </c>
      <c r="Z475">
        <f t="shared" si="43"/>
        <v>340</v>
      </c>
      <c r="AA475" s="39">
        <f t="shared" si="44"/>
        <v>62.628571428571426</v>
      </c>
      <c r="AB475" s="39">
        <f t="shared" si="45"/>
        <v>2535.2755983480274</v>
      </c>
      <c r="AC475">
        <f t="shared" si="48"/>
        <v>0.99980128518679734</v>
      </c>
      <c r="AD475">
        <f t="shared" si="46"/>
        <v>0.99971637144771586</v>
      </c>
      <c r="AE475">
        <f t="shared" si="47"/>
        <v>21803</v>
      </c>
    </row>
    <row r="476" spans="1:31">
      <c r="A476" s="9">
        <v>475</v>
      </c>
      <c r="B476" s="30">
        <v>40564</v>
      </c>
      <c r="C476" s="9">
        <v>1</v>
      </c>
      <c r="D476" s="9">
        <v>0</v>
      </c>
      <c r="E476" s="9">
        <v>1</v>
      </c>
      <c r="F476" s="9">
        <v>19</v>
      </c>
      <c r="G476" s="9" t="b">
        <v>0</v>
      </c>
      <c r="H476" s="9">
        <v>5</v>
      </c>
      <c r="I476" s="9">
        <v>1</v>
      </c>
      <c r="J476" s="9">
        <v>0.12</v>
      </c>
      <c r="K476" s="9">
        <v>0.1061</v>
      </c>
      <c r="L476" s="9">
        <v>0.3</v>
      </c>
      <c r="M476" s="9">
        <v>0.32840000000000003</v>
      </c>
      <c r="N476" s="9">
        <v>3</v>
      </c>
      <c r="O476" s="9">
        <v>93</v>
      </c>
      <c r="P476" s="9">
        <v>96</v>
      </c>
      <c r="Q476" s="13" t="s">
        <v>98</v>
      </c>
      <c r="R476" s="13" t="s">
        <v>79</v>
      </c>
      <c r="S476" s="9" t="s">
        <v>80</v>
      </c>
      <c r="T476" s="13" t="s">
        <v>81</v>
      </c>
      <c r="U476" s="15" t="s">
        <v>95</v>
      </c>
      <c r="V476" s="13" t="s">
        <v>93</v>
      </c>
      <c r="W476" s="15" t="s">
        <v>84</v>
      </c>
      <c r="X476" s="9" t="s">
        <v>85</v>
      </c>
      <c r="Y476" s="13" t="s">
        <v>99</v>
      </c>
      <c r="Z476">
        <f t="shared" si="43"/>
        <v>339</v>
      </c>
      <c r="AA476" s="39">
        <f t="shared" si="44"/>
        <v>62.445859872611464</v>
      </c>
      <c r="AB476" s="39">
        <f t="shared" si="45"/>
        <v>2537.6834595252226</v>
      </c>
      <c r="AC476">
        <f t="shared" si="48"/>
        <v>0.99980229047921276</v>
      </c>
      <c r="AD476">
        <f t="shared" si="46"/>
        <v>0.99971757730239796</v>
      </c>
      <c r="AE476">
        <f t="shared" si="47"/>
        <v>21683</v>
      </c>
    </row>
    <row r="477" spans="1:31">
      <c r="A477" s="10">
        <v>476</v>
      </c>
      <c r="B477" s="31">
        <v>40564</v>
      </c>
      <c r="C477" s="10">
        <v>1</v>
      </c>
      <c r="D477" s="10">
        <v>0</v>
      </c>
      <c r="E477" s="10">
        <v>1</v>
      </c>
      <c r="F477" s="10">
        <v>20</v>
      </c>
      <c r="G477" s="10" t="b">
        <v>0</v>
      </c>
      <c r="H477" s="10">
        <v>5</v>
      </c>
      <c r="I477" s="10">
        <v>1</v>
      </c>
      <c r="J477" s="10">
        <v>0.1</v>
      </c>
      <c r="K477" s="10">
        <v>7.5800000000000006E-2</v>
      </c>
      <c r="L477" s="10">
        <v>0.33</v>
      </c>
      <c r="M477" s="10">
        <v>0.41789999999999999</v>
      </c>
      <c r="N477" s="10">
        <v>1</v>
      </c>
      <c r="O477" s="10">
        <v>52</v>
      </c>
      <c r="P477" s="10">
        <v>53</v>
      </c>
      <c r="Q477" s="13" t="s">
        <v>98</v>
      </c>
      <c r="R477" s="13" t="s">
        <v>79</v>
      </c>
      <c r="S477" s="10" t="s">
        <v>80</v>
      </c>
      <c r="T477" s="13" t="s">
        <v>81</v>
      </c>
      <c r="U477" s="16" t="s">
        <v>97</v>
      </c>
      <c r="V477" s="11" t="s">
        <v>87</v>
      </c>
      <c r="W477" s="15" t="s">
        <v>84</v>
      </c>
      <c r="X477" s="10" t="s">
        <v>85</v>
      </c>
      <c r="Y477" s="13" t="s">
        <v>99</v>
      </c>
      <c r="Z477">
        <f t="shared" si="43"/>
        <v>338</v>
      </c>
      <c r="AA477" s="39">
        <f t="shared" si="44"/>
        <v>62.338658146964853</v>
      </c>
      <c r="AB477" s="39">
        <f t="shared" si="45"/>
        <v>2540.097067925728</v>
      </c>
      <c r="AC477">
        <f t="shared" si="48"/>
        <v>0.99980279814595863</v>
      </c>
      <c r="AD477">
        <f t="shared" si="46"/>
        <v>0.99971823034801011</v>
      </c>
      <c r="AE477">
        <f t="shared" si="47"/>
        <v>21587</v>
      </c>
    </row>
    <row r="478" spans="1:31">
      <c r="A478" s="9">
        <v>477</v>
      </c>
      <c r="B478" s="30">
        <v>40564</v>
      </c>
      <c r="C478" s="9">
        <v>1</v>
      </c>
      <c r="D478" s="9">
        <v>0</v>
      </c>
      <c r="E478" s="9">
        <v>1</v>
      </c>
      <c r="F478" s="9">
        <v>21</v>
      </c>
      <c r="G478" s="9" t="b">
        <v>0</v>
      </c>
      <c r="H478" s="9">
        <v>5</v>
      </c>
      <c r="I478" s="9">
        <v>1</v>
      </c>
      <c r="J478" s="9">
        <v>0.08</v>
      </c>
      <c r="K478" s="9">
        <v>7.5800000000000006E-2</v>
      </c>
      <c r="L478" s="9">
        <v>0.38</v>
      </c>
      <c r="M478" s="9">
        <v>0.28360000000000002</v>
      </c>
      <c r="N478" s="9">
        <v>0</v>
      </c>
      <c r="O478" s="9">
        <v>41</v>
      </c>
      <c r="P478" s="9">
        <v>41</v>
      </c>
      <c r="Q478" s="13" t="s">
        <v>98</v>
      </c>
      <c r="R478" s="13" t="s">
        <v>79</v>
      </c>
      <c r="S478" s="9" t="s">
        <v>80</v>
      </c>
      <c r="T478" s="13" t="s">
        <v>81</v>
      </c>
      <c r="U478" s="16" t="s">
        <v>97</v>
      </c>
      <c r="V478" s="11" t="s">
        <v>87</v>
      </c>
      <c r="W478" s="15" t="s">
        <v>84</v>
      </c>
      <c r="X478" s="9" t="s">
        <v>85</v>
      </c>
      <c r="Y478" s="13" t="s">
        <v>99</v>
      </c>
      <c r="Z478">
        <f t="shared" si="43"/>
        <v>337</v>
      </c>
      <c r="AA478" s="39">
        <f t="shared" si="44"/>
        <v>62.368589743589745</v>
      </c>
      <c r="AB478" s="39">
        <f t="shared" si="45"/>
        <v>2542.5144683409394</v>
      </c>
      <c r="AC478">
        <f t="shared" si="48"/>
        <v>0.99980286493567627</v>
      </c>
      <c r="AD478">
        <f t="shared" si="46"/>
        <v>0.99971829190802675</v>
      </c>
      <c r="AE478">
        <f t="shared" si="47"/>
        <v>21534</v>
      </c>
    </row>
    <row r="479" spans="1:31">
      <c r="A479" s="10">
        <v>478</v>
      </c>
      <c r="B479" s="31">
        <v>40564</v>
      </c>
      <c r="C479" s="10">
        <v>1</v>
      </c>
      <c r="D479" s="10">
        <v>0</v>
      </c>
      <c r="E479" s="10">
        <v>1</v>
      </c>
      <c r="F479" s="10">
        <v>22</v>
      </c>
      <c r="G479" s="10" t="b">
        <v>0</v>
      </c>
      <c r="H479" s="10">
        <v>5</v>
      </c>
      <c r="I479" s="10">
        <v>1</v>
      </c>
      <c r="J479" s="10">
        <v>0.06</v>
      </c>
      <c r="K479" s="10">
        <v>3.0300000000000001E-2</v>
      </c>
      <c r="L479" s="10">
        <v>0.41</v>
      </c>
      <c r="M479" s="10">
        <v>0.3881</v>
      </c>
      <c r="N479" s="10">
        <v>1</v>
      </c>
      <c r="O479" s="10">
        <v>33</v>
      </c>
      <c r="P479" s="10">
        <v>34</v>
      </c>
      <c r="Q479" s="13" t="s">
        <v>98</v>
      </c>
      <c r="R479" s="13" t="s">
        <v>79</v>
      </c>
      <c r="S479" s="10" t="s">
        <v>80</v>
      </c>
      <c r="T479" s="13" t="s">
        <v>81</v>
      </c>
      <c r="U479" s="16" t="s">
        <v>97</v>
      </c>
      <c r="V479" s="11" t="s">
        <v>87</v>
      </c>
      <c r="W479" s="15" t="s">
        <v>84</v>
      </c>
      <c r="X479" s="10" t="s">
        <v>85</v>
      </c>
      <c r="Y479" s="13" t="s">
        <v>99</v>
      </c>
      <c r="Z479">
        <f t="shared" si="43"/>
        <v>336</v>
      </c>
      <c r="AA479" s="39">
        <f t="shared" si="44"/>
        <v>62.437299035369776</v>
      </c>
      <c r="AB479" s="39">
        <f t="shared" si="45"/>
        <v>2544.9376652151113</v>
      </c>
      <c r="AC479">
        <f t="shared" si="48"/>
        <v>0.99980289759452678</v>
      </c>
      <c r="AD479">
        <f t="shared" si="46"/>
        <v>0.99971829244669319</v>
      </c>
      <c r="AE479">
        <f t="shared" si="47"/>
        <v>21493</v>
      </c>
    </row>
    <row r="480" spans="1:31">
      <c r="A480" s="9">
        <v>479</v>
      </c>
      <c r="B480" s="30">
        <v>40564</v>
      </c>
      <c r="C480" s="9">
        <v>1</v>
      </c>
      <c r="D480" s="9">
        <v>0</v>
      </c>
      <c r="E480" s="9">
        <v>1</v>
      </c>
      <c r="F480" s="9">
        <v>23</v>
      </c>
      <c r="G480" s="9" t="b">
        <v>0</v>
      </c>
      <c r="H480" s="9">
        <v>5</v>
      </c>
      <c r="I480" s="9">
        <v>1</v>
      </c>
      <c r="J480" s="9">
        <v>0.06</v>
      </c>
      <c r="K480" s="9">
        <v>4.5499999999999999E-2</v>
      </c>
      <c r="L480" s="9">
        <v>0.38</v>
      </c>
      <c r="M480" s="9">
        <v>0.32840000000000003</v>
      </c>
      <c r="N480" s="9">
        <v>0</v>
      </c>
      <c r="O480" s="9">
        <v>27</v>
      </c>
      <c r="P480" s="9">
        <v>27</v>
      </c>
      <c r="Q480" s="13" t="s">
        <v>98</v>
      </c>
      <c r="R480" s="13" t="s">
        <v>79</v>
      </c>
      <c r="S480" s="9" t="s">
        <v>80</v>
      </c>
      <c r="T480" s="13" t="s">
        <v>81</v>
      </c>
      <c r="U480" s="16" t="s">
        <v>97</v>
      </c>
      <c r="V480" s="12" t="s">
        <v>83</v>
      </c>
      <c r="W480" s="15" t="s">
        <v>84</v>
      </c>
      <c r="X480" s="9" t="s">
        <v>85</v>
      </c>
      <c r="Y480" s="13" t="s">
        <v>99</v>
      </c>
      <c r="Z480">
        <f t="shared" si="43"/>
        <v>335</v>
      </c>
      <c r="AA480" s="39">
        <f t="shared" si="44"/>
        <v>62.529032258064518</v>
      </c>
      <c r="AB480" s="39">
        <f t="shared" si="45"/>
        <v>2547.367099188154</v>
      </c>
      <c r="AC480">
        <f t="shared" si="48"/>
        <v>0.99980292455728448</v>
      </c>
      <c r="AD480">
        <f t="shared" si="46"/>
        <v>0.99971829688553149</v>
      </c>
      <c r="AE480">
        <f t="shared" si="47"/>
        <v>21459</v>
      </c>
    </row>
    <row r="481" spans="1:31">
      <c r="A481" s="10">
        <v>480</v>
      </c>
      <c r="B481" s="31">
        <v>40565</v>
      </c>
      <c r="C481" s="10">
        <v>1</v>
      </c>
      <c r="D481" s="10">
        <v>0</v>
      </c>
      <c r="E481" s="10">
        <v>1</v>
      </c>
      <c r="F481" s="10">
        <v>0</v>
      </c>
      <c r="G481" s="10" t="b">
        <v>0</v>
      </c>
      <c r="H481" s="10">
        <v>6</v>
      </c>
      <c r="I481" s="10">
        <v>1</v>
      </c>
      <c r="J481" s="10">
        <v>0.04</v>
      </c>
      <c r="K481" s="10">
        <v>3.0300000000000001E-2</v>
      </c>
      <c r="L481" s="10">
        <v>0.45</v>
      </c>
      <c r="M481" s="10">
        <v>0.25369999999999998</v>
      </c>
      <c r="N481" s="10">
        <v>0</v>
      </c>
      <c r="O481" s="10">
        <v>13</v>
      </c>
      <c r="P481" s="10">
        <v>13</v>
      </c>
      <c r="Q481" s="12" t="s">
        <v>78</v>
      </c>
      <c r="R481" s="13" t="s">
        <v>79</v>
      </c>
      <c r="S481" s="10" t="s">
        <v>80</v>
      </c>
      <c r="T481" s="13" t="s">
        <v>81</v>
      </c>
      <c r="U481" s="14" t="s">
        <v>82</v>
      </c>
      <c r="V481" s="12" t="s">
        <v>83</v>
      </c>
      <c r="W481" s="15" t="s">
        <v>84</v>
      </c>
      <c r="X481" s="10" t="s">
        <v>85</v>
      </c>
      <c r="Y481" s="12" t="s">
        <v>86</v>
      </c>
      <c r="Z481">
        <f t="shared" si="43"/>
        <v>334</v>
      </c>
      <c r="AA481" s="39">
        <f t="shared" si="44"/>
        <v>62.644012944983821</v>
      </c>
      <c r="AB481" s="39">
        <f t="shared" si="45"/>
        <v>2549.8027603883356</v>
      </c>
      <c r="AC481">
        <f t="shared" si="48"/>
        <v>0.99980293018056832</v>
      </c>
      <c r="AD481">
        <f t="shared" si="46"/>
        <v>0.9997183110907587</v>
      </c>
      <c r="AE481">
        <f t="shared" si="47"/>
        <v>21432</v>
      </c>
    </row>
    <row r="482" spans="1:31">
      <c r="A482" s="9">
        <v>481</v>
      </c>
      <c r="B482" s="30">
        <v>40565</v>
      </c>
      <c r="C482" s="9">
        <v>1</v>
      </c>
      <c r="D482" s="9">
        <v>0</v>
      </c>
      <c r="E482" s="9">
        <v>1</v>
      </c>
      <c r="F482" s="9">
        <v>1</v>
      </c>
      <c r="G482" s="9" t="b">
        <v>0</v>
      </c>
      <c r="H482" s="9">
        <v>6</v>
      </c>
      <c r="I482" s="9">
        <v>2</v>
      </c>
      <c r="J482" s="9">
        <v>0.04</v>
      </c>
      <c r="K482" s="9">
        <v>0</v>
      </c>
      <c r="L482" s="9">
        <v>0.41</v>
      </c>
      <c r="M482" s="9">
        <v>0.3881</v>
      </c>
      <c r="N482" s="9">
        <v>3</v>
      </c>
      <c r="O482" s="9">
        <v>9</v>
      </c>
      <c r="P482" s="9">
        <v>12</v>
      </c>
      <c r="Q482" s="12" t="s">
        <v>78</v>
      </c>
      <c r="R482" s="13" t="s">
        <v>79</v>
      </c>
      <c r="S482" s="9" t="s">
        <v>80</v>
      </c>
      <c r="T482" s="11" t="s">
        <v>88</v>
      </c>
      <c r="U482" s="14" t="s">
        <v>82</v>
      </c>
      <c r="V482" s="12" t="s">
        <v>83</v>
      </c>
      <c r="W482" s="15" t="s">
        <v>84</v>
      </c>
      <c r="X482" s="9" t="s">
        <v>85</v>
      </c>
      <c r="Y482" s="12" t="s">
        <v>86</v>
      </c>
      <c r="Z482">
        <f t="shared" si="43"/>
        <v>334</v>
      </c>
      <c r="AA482" s="39">
        <f t="shared" si="44"/>
        <v>62.805194805194802</v>
      </c>
      <c r="AB482" s="39">
        <f t="shared" si="45"/>
        <v>2552.2438190136713</v>
      </c>
      <c r="AC482">
        <f t="shared" si="48"/>
        <v>0.99980292905784163</v>
      </c>
      <c r="AD482">
        <f t="shared" si="46"/>
        <v>0.99971845491770617</v>
      </c>
      <c r="AE482">
        <f t="shared" si="47"/>
        <v>21432</v>
      </c>
    </row>
    <row r="483" spans="1:31">
      <c r="A483" s="10">
        <v>482</v>
      </c>
      <c r="B483" s="31">
        <v>40565</v>
      </c>
      <c r="C483" s="10">
        <v>1</v>
      </c>
      <c r="D483" s="10">
        <v>0</v>
      </c>
      <c r="E483" s="10">
        <v>1</v>
      </c>
      <c r="F483" s="10">
        <v>2</v>
      </c>
      <c r="G483" s="10" t="b">
        <v>0</v>
      </c>
      <c r="H483" s="10">
        <v>6</v>
      </c>
      <c r="I483" s="10">
        <v>2</v>
      </c>
      <c r="J483" s="10">
        <v>0.04</v>
      </c>
      <c r="K483" s="10">
        <v>3.0300000000000001E-2</v>
      </c>
      <c r="L483" s="10">
        <v>0.41</v>
      </c>
      <c r="M483" s="10">
        <v>0.25369999999999998</v>
      </c>
      <c r="N483" s="10">
        <v>0</v>
      </c>
      <c r="O483" s="10">
        <v>11</v>
      </c>
      <c r="P483" s="10">
        <v>11</v>
      </c>
      <c r="Q483" s="12" t="s">
        <v>78</v>
      </c>
      <c r="R483" s="13" t="s">
        <v>79</v>
      </c>
      <c r="S483" s="10" t="s">
        <v>80</v>
      </c>
      <c r="T483" s="11" t="s">
        <v>88</v>
      </c>
      <c r="U483" s="14" t="s">
        <v>82</v>
      </c>
      <c r="V483" s="12" t="s">
        <v>83</v>
      </c>
      <c r="W483" s="15" t="s">
        <v>84</v>
      </c>
      <c r="X483" s="10" t="s">
        <v>85</v>
      </c>
      <c r="Y483" s="12" t="s">
        <v>86</v>
      </c>
      <c r="Z483">
        <f t="shared" si="43"/>
        <v>334</v>
      </c>
      <c r="AA483" s="39">
        <f t="shared" si="44"/>
        <v>62.805194805194802</v>
      </c>
      <c r="AB483" s="39">
        <f t="shared" si="45"/>
        <v>2554.6917814025555</v>
      </c>
      <c r="AC483">
        <f t="shared" si="48"/>
        <v>0.99980292851220021</v>
      </c>
      <c r="AD483">
        <f t="shared" si="46"/>
        <v>0.9997185726456248</v>
      </c>
      <c r="AE483">
        <f t="shared" si="47"/>
        <v>21432</v>
      </c>
    </row>
    <row r="484" spans="1:31">
      <c r="A484" s="9">
        <v>483</v>
      </c>
      <c r="B484" s="30">
        <v>40565</v>
      </c>
      <c r="C484" s="9">
        <v>1</v>
      </c>
      <c r="D484" s="9">
        <v>0</v>
      </c>
      <c r="E484" s="9">
        <v>1</v>
      </c>
      <c r="F484" s="9">
        <v>3</v>
      </c>
      <c r="G484" s="9" t="b">
        <v>0</v>
      </c>
      <c r="H484" s="9">
        <v>6</v>
      </c>
      <c r="I484" s="9">
        <v>2</v>
      </c>
      <c r="J484" s="9">
        <v>0.04</v>
      </c>
      <c r="K484" s="9">
        <v>3.0300000000000001E-2</v>
      </c>
      <c r="L484" s="9">
        <v>0.41</v>
      </c>
      <c r="M484" s="9">
        <v>0.28360000000000002</v>
      </c>
      <c r="N484" s="9">
        <v>1</v>
      </c>
      <c r="O484" s="9">
        <v>6</v>
      </c>
      <c r="P484" s="9">
        <v>7</v>
      </c>
      <c r="Q484" s="12" t="s">
        <v>78</v>
      </c>
      <c r="R484" s="13" t="s">
        <v>79</v>
      </c>
      <c r="S484" s="9" t="s">
        <v>80</v>
      </c>
      <c r="T484" s="11" t="s">
        <v>88</v>
      </c>
      <c r="U484" s="14" t="s">
        <v>82</v>
      </c>
      <c r="V484" s="12" t="s">
        <v>83</v>
      </c>
      <c r="W484" s="15" t="s">
        <v>84</v>
      </c>
      <c r="X484" s="9" t="s">
        <v>85</v>
      </c>
      <c r="Y484" s="12" t="s">
        <v>86</v>
      </c>
      <c r="Z484">
        <f t="shared" si="43"/>
        <v>334</v>
      </c>
      <c r="AA484" s="39">
        <f t="shared" si="44"/>
        <v>62.805194805194802</v>
      </c>
      <c r="AB484" s="39">
        <f t="shared" si="45"/>
        <v>2557.1466795026527</v>
      </c>
      <c r="AC484">
        <f t="shared" si="48"/>
        <v>0.99980292884303312</v>
      </c>
      <c r="AD484">
        <f t="shared" si="46"/>
        <v>0.99971869938957081</v>
      </c>
      <c r="AE484">
        <f t="shared" si="47"/>
        <v>21432</v>
      </c>
    </row>
    <row r="485" spans="1:31">
      <c r="A485" s="10">
        <v>484</v>
      </c>
      <c r="B485" s="31">
        <v>40565</v>
      </c>
      <c r="C485" s="10">
        <v>1</v>
      </c>
      <c r="D485" s="10">
        <v>0</v>
      </c>
      <c r="E485" s="10">
        <v>1</v>
      </c>
      <c r="F485" s="10">
        <v>4</v>
      </c>
      <c r="G485" s="10" t="b">
        <v>0</v>
      </c>
      <c r="H485" s="10">
        <v>6</v>
      </c>
      <c r="I485" s="10">
        <v>2</v>
      </c>
      <c r="J485" s="10">
        <v>0.02</v>
      </c>
      <c r="K485" s="10">
        <v>1.52E-2</v>
      </c>
      <c r="L485" s="10">
        <v>0.48</v>
      </c>
      <c r="M485" s="10">
        <v>0.29849999999999999</v>
      </c>
      <c r="N485" s="10">
        <v>0</v>
      </c>
      <c r="O485" s="10">
        <v>3</v>
      </c>
      <c r="P485" s="10">
        <v>3</v>
      </c>
      <c r="Q485" s="12" t="s">
        <v>78</v>
      </c>
      <c r="R485" s="13" t="s">
        <v>79</v>
      </c>
      <c r="S485" s="10" t="s">
        <v>80</v>
      </c>
      <c r="T485" s="11" t="s">
        <v>88</v>
      </c>
      <c r="U485" s="14" t="s">
        <v>82</v>
      </c>
      <c r="V485" s="12" t="s">
        <v>83</v>
      </c>
      <c r="W485" s="15" t="s">
        <v>84</v>
      </c>
      <c r="X485" s="10" t="s">
        <v>85</v>
      </c>
      <c r="Y485" s="12" t="s">
        <v>86</v>
      </c>
      <c r="Z485">
        <f t="shared" si="43"/>
        <v>334</v>
      </c>
      <c r="AA485" s="39">
        <f t="shared" si="44"/>
        <v>62.805194805194802</v>
      </c>
      <c r="AB485" s="39">
        <f t="shared" si="45"/>
        <v>2559.6081728625568</v>
      </c>
      <c r="AC485">
        <f t="shared" si="48"/>
        <v>0.99980293565489675</v>
      </c>
      <c r="AD485">
        <f t="shared" si="46"/>
        <v>0.9997188638884652</v>
      </c>
      <c r="AE485">
        <f t="shared" si="47"/>
        <v>21432</v>
      </c>
    </row>
    <row r="486" spans="1:31">
      <c r="A486" s="9">
        <v>485</v>
      </c>
      <c r="B486" s="30">
        <v>40565</v>
      </c>
      <c r="C486" s="9">
        <v>1</v>
      </c>
      <c r="D486" s="9">
        <v>0</v>
      </c>
      <c r="E486" s="9">
        <v>1</v>
      </c>
      <c r="F486" s="9">
        <v>6</v>
      </c>
      <c r="G486" s="9" t="b">
        <v>0</v>
      </c>
      <c r="H486" s="9">
        <v>6</v>
      </c>
      <c r="I486" s="9">
        <v>2</v>
      </c>
      <c r="J486" s="9">
        <v>0.02</v>
      </c>
      <c r="K486" s="9">
        <v>3.0300000000000001E-2</v>
      </c>
      <c r="L486" s="9">
        <v>0.44</v>
      </c>
      <c r="M486" s="9">
        <v>0.22389999999999999</v>
      </c>
      <c r="N486" s="9">
        <v>0</v>
      </c>
      <c r="O486" s="9">
        <v>2</v>
      </c>
      <c r="P486" s="9">
        <v>2</v>
      </c>
      <c r="Q486" s="12" t="s">
        <v>78</v>
      </c>
      <c r="R486" s="13" t="s">
        <v>79</v>
      </c>
      <c r="S486" s="9" t="s">
        <v>80</v>
      </c>
      <c r="T486" s="11" t="s">
        <v>88</v>
      </c>
      <c r="U486" s="15" t="s">
        <v>89</v>
      </c>
      <c r="V486" s="12" t="s">
        <v>83</v>
      </c>
      <c r="W486" s="15" t="s">
        <v>84</v>
      </c>
      <c r="X486" s="9" t="s">
        <v>85</v>
      </c>
      <c r="Y486" s="12" t="s">
        <v>86</v>
      </c>
      <c r="Z486">
        <f t="shared" si="43"/>
        <v>334</v>
      </c>
      <c r="AA486" s="39">
        <f t="shared" si="44"/>
        <v>62.805194805194802</v>
      </c>
      <c r="AB486" s="39">
        <f t="shared" si="45"/>
        <v>2562.076279221129</v>
      </c>
      <c r="AC486">
        <f t="shared" si="48"/>
        <v>0.99980293910750395</v>
      </c>
      <c r="AD486">
        <f t="shared" si="46"/>
        <v>0.99971915639056641</v>
      </c>
      <c r="AE486">
        <f t="shared" si="47"/>
        <v>21432</v>
      </c>
    </row>
    <row r="487" spans="1:31">
      <c r="A487" s="10">
        <v>486</v>
      </c>
      <c r="B487" s="31">
        <v>40565</v>
      </c>
      <c r="C487" s="10">
        <v>1</v>
      </c>
      <c r="D487" s="10">
        <v>0</v>
      </c>
      <c r="E487" s="10">
        <v>1</v>
      </c>
      <c r="F487" s="10">
        <v>7</v>
      </c>
      <c r="G487" s="10" t="b">
        <v>0</v>
      </c>
      <c r="H487" s="10">
        <v>6</v>
      </c>
      <c r="I487" s="10">
        <v>1</v>
      </c>
      <c r="J487" s="10">
        <v>0.02</v>
      </c>
      <c r="K487" s="10">
        <v>1.52E-2</v>
      </c>
      <c r="L487" s="10">
        <v>0.44</v>
      </c>
      <c r="M487" s="10">
        <v>0.28360000000000002</v>
      </c>
      <c r="N487" s="10">
        <v>0</v>
      </c>
      <c r="O487" s="10">
        <v>8</v>
      </c>
      <c r="P487" s="10">
        <v>8</v>
      </c>
      <c r="Q487" s="12" t="s">
        <v>78</v>
      </c>
      <c r="R487" s="13" t="s">
        <v>79</v>
      </c>
      <c r="S487" s="10" t="s">
        <v>80</v>
      </c>
      <c r="T487" s="13" t="s">
        <v>81</v>
      </c>
      <c r="U487" s="15" t="s">
        <v>89</v>
      </c>
      <c r="V487" s="12" t="s">
        <v>83</v>
      </c>
      <c r="W487" s="15" t="s">
        <v>84</v>
      </c>
      <c r="X487" s="10" t="s">
        <v>85</v>
      </c>
      <c r="Y487" s="12" t="s">
        <v>86</v>
      </c>
      <c r="Z487">
        <f t="shared" si="43"/>
        <v>334</v>
      </c>
      <c r="AA487" s="39">
        <f t="shared" si="44"/>
        <v>62.805194805194802</v>
      </c>
      <c r="AB487" s="39">
        <f t="shared" si="45"/>
        <v>2564.5514094080763</v>
      </c>
      <c r="AC487">
        <f t="shared" si="48"/>
        <v>0.99980294444816675</v>
      </c>
      <c r="AD487">
        <f t="shared" si="46"/>
        <v>0.99971941158597666</v>
      </c>
      <c r="AE487">
        <f t="shared" si="47"/>
        <v>21432</v>
      </c>
    </row>
    <row r="488" spans="1:31">
      <c r="A488" s="9">
        <v>487</v>
      </c>
      <c r="B488" s="30">
        <v>40565</v>
      </c>
      <c r="C488" s="9">
        <v>1</v>
      </c>
      <c r="D488" s="9">
        <v>0</v>
      </c>
      <c r="E488" s="9">
        <v>1</v>
      </c>
      <c r="F488" s="9">
        <v>8</v>
      </c>
      <c r="G488" s="9" t="b">
        <v>0</v>
      </c>
      <c r="H488" s="9">
        <v>6</v>
      </c>
      <c r="I488" s="9">
        <v>1</v>
      </c>
      <c r="J488" s="9">
        <v>0.02</v>
      </c>
      <c r="K488" s="9">
        <v>0</v>
      </c>
      <c r="L488" s="9">
        <v>0.44</v>
      </c>
      <c r="M488" s="9">
        <v>0.32840000000000003</v>
      </c>
      <c r="N488" s="9">
        <v>1</v>
      </c>
      <c r="O488" s="9">
        <v>26</v>
      </c>
      <c r="P488" s="9">
        <v>27</v>
      </c>
      <c r="Q488" s="12" t="s">
        <v>78</v>
      </c>
      <c r="R488" s="13" t="s">
        <v>79</v>
      </c>
      <c r="S488" s="9" t="s">
        <v>80</v>
      </c>
      <c r="T488" s="13" t="s">
        <v>81</v>
      </c>
      <c r="U488" s="15" t="s">
        <v>89</v>
      </c>
      <c r="V488" s="12" t="s">
        <v>83</v>
      </c>
      <c r="W488" s="15" t="s">
        <v>84</v>
      </c>
      <c r="X488" s="9" t="s">
        <v>85</v>
      </c>
      <c r="Y488" s="12" t="s">
        <v>86</v>
      </c>
      <c r="Z488">
        <f t="shared" si="43"/>
        <v>334</v>
      </c>
      <c r="AA488" s="39">
        <f t="shared" si="44"/>
        <v>62.983713355048863</v>
      </c>
      <c r="AB488" s="39">
        <f t="shared" si="45"/>
        <v>2567.0344945958882</v>
      </c>
      <c r="AC488">
        <f t="shared" si="48"/>
        <v>0.99980294297517291</v>
      </c>
      <c r="AD488">
        <f t="shared" si="46"/>
        <v>0.99971959904311614</v>
      </c>
      <c r="AE488">
        <f t="shared" si="47"/>
        <v>21432</v>
      </c>
    </row>
    <row r="489" spans="1:31">
      <c r="A489" s="10">
        <v>488</v>
      </c>
      <c r="B489" s="31">
        <v>40565</v>
      </c>
      <c r="C489" s="10">
        <v>1</v>
      </c>
      <c r="D489" s="10">
        <v>0</v>
      </c>
      <c r="E489" s="10">
        <v>1</v>
      </c>
      <c r="F489" s="10">
        <v>9</v>
      </c>
      <c r="G489" s="10" t="b">
        <v>0</v>
      </c>
      <c r="H489" s="10">
        <v>6</v>
      </c>
      <c r="I489" s="10">
        <v>1</v>
      </c>
      <c r="J489" s="10">
        <v>0.04</v>
      </c>
      <c r="K489" s="10">
        <v>3.0300000000000001E-2</v>
      </c>
      <c r="L489" s="10">
        <v>0.41</v>
      </c>
      <c r="M489" s="10">
        <v>0.25369999999999998</v>
      </c>
      <c r="N489" s="10">
        <v>3</v>
      </c>
      <c r="O489" s="10">
        <v>37</v>
      </c>
      <c r="P489" s="10">
        <v>40</v>
      </c>
      <c r="Q489" s="12" t="s">
        <v>78</v>
      </c>
      <c r="R489" s="13" t="s">
        <v>79</v>
      </c>
      <c r="S489" s="10" t="s">
        <v>80</v>
      </c>
      <c r="T489" s="13" t="s">
        <v>81</v>
      </c>
      <c r="U489" s="15" t="s">
        <v>89</v>
      </c>
      <c r="V489" s="11" t="s">
        <v>87</v>
      </c>
      <c r="W489" s="15" t="s">
        <v>84</v>
      </c>
      <c r="X489" s="10" t="s">
        <v>85</v>
      </c>
      <c r="Y489" s="12" t="s">
        <v>86</v>
      </c>
      <c r="Z489">
        <f t="shared" si="43"/>
        <v>334</v>
      </c>
      <c r="AA489" s="39">
        <f t="shared" si="44"/>
        <v>63.101307189542482</v>
      </c>
      <c r="AB489" s="39">
        <f t="shared" si="45"/>
        <v>2569.5270642382616</v>
      </c>
      <c r="AC489">
        <f t="shared" si="48"/>
        <v>0.99980299008678519</v>
      </c>
      <c r="AD489">
        <f t="shared" si="46"/>
        <v>0.99971963941311481</v>
      </c>
      <c r="AE489">
        <f t="shared" si="47"/>
        <v>21432</v>
      </c>
    </row>
    <row r="490" spans="1:31">
      <c r="A490" s="9">
        <v>489</v>
      </c>
      <c r="B490" s="30">
        <v>40565</v>
      </c>
      <c r="C490" s="9">
        <v>1</v>
      </c>
      <c r="D490" s="9">
        <v>0</v>
      </c>
      <c r="E490" s="9">
        <v>1</v>
      </c>
      <c r="F490" s="9">
        <v>10</v>
      </c>
      <c r="G490" s="9" t="b">
        <v>0</v>
      </c>
      <c r="H490" s="9">
        <v>6</v>
      </c>
      <c r="I490" s="9">
        <v>2</v>
      </c>
      <c r="J490" s="9">
        <v>0.04</v>
      </c>
      <c r="K490" s="9">
        <v>6.0600000000000001E-2</v>
      </c>
      <c r="L490" s="9">
        <v>0.41</v>
      </c>
      <c r="M490" s="9">
        <v>0.16420000000000001</v>
      </c>
      <c r="N490" s="9">
        <v>3</v>
      </c>
      <c r="O490" s="9">
        <v>50</v>
      </c>
      <c r="P490" s="9">
        <v>53</v>
      </c>
      <c r="Q490" s="12" t="s">
        <v>78</v>
      </c>
      <c r="R490" s="13" t="s">
        <v>79</v>
      </c>
      <c r="S490" s="9" t="s">
        <v>80</v>
      </c>
      <c r="T490" s="11" t="s">
        <v>88</v>
      </c>
      <c r="U490" s="13" t="s">
        <v>91</v>
      </c>
      <c r="V490" s="11" t="s">
        <v>87</v>
      </c>
      <c r="W490" s="15" t="s">
        <v>84</v>
      </c>
      <c r="X490" s="9" t="s">
        <v>85</v>
      </c>
      <c r="Y490" s="12" t="s">
        <v>86</v>
      </c>
      <c r="Z490">
        <f t="shared" si="43"/>
        <v>334</v>
      </c>
      <c r="AA490" s="39">
        <f t="shared" si="44"/>
        <v>63.17704918032787</v>
      </c>
      <c r="AB490" s="39">
        <f t="shared" si="45"/>
        <v>2572.0282997468098</v>
      </c>
      <c r="AC490">
        <f t="shared" si="48"/>
        <v>0.99980308489115322</v>
      </c>
      <c r="AD490">
        <f t="shared" si="46"/>
        <v>0.99971963804358188</v>
      </c>
      <c r="AE490">
        <f t="shared" si="47"/>
        <v>21432</v>
      </c>
    </row>
    <row r="491" spans="1:31">
      <c r="A491" s="10">
        <v>490</v>
      </c>
      <c r="B491" s="31">
        <v>40565</v>
      </c>
      <c r="C491" s="10">
        <v>1</v>
      </c>
      <c r="D491" s="10">
        <v>0</v>
      </c>
      <c r="E491" s="10">
        <v>1</v>
      </c>
      <c r="F491" s="10">
        <v>11</v>
      </c>
      <c r="G491" s="10" t="b">
        <v>0</v>
      </c>
      <c r="H491" s="10">
        <v>6</v>
      </c>
      <c r="I491" s="10">
        <v>2</v>
      </c>
      <c r="J491" s="10">
        <v>0.06</v>
      </c>
      <c r="K491" s="10">
        <v>7.5800000000000006E-2</v>
      </c>
      <c r="L491" s="10">
        <v>0.38</v>
      </c>
      <c r="M491" s="10">
        <v>0.1343</v>
      </c>
      <c r="N491" s="10">
        <v>4</v>
      </c>
      <c r="O491" s="10">
        <v>59</v>
      </c>
      <c r="P491" s="10">
        <v>63</v>
      </c>
      <c r="Q491" s="12" t="s">
        <v>78</v>
      </c>
      <c r="R491" s="13" t="s">
        <v>79</v>
      </c>
      <c r="S491" s="10" t="s">
        <v>80</v>
      </c>
      <c r="T491" s="11" t="s">
        <v>88</v>
      </c>
      <c r="U491" s="13" t="s">
        <v>91</v>
      </c>
      <c r="V491" s="11" t="s">
        <v>87</v>
      </c>
      <c r="W491" s="15" t="s">
        <v>84</v>
      </c>
      <c r="X491" s="10" t="s">
        <v>85</v>
      </c>
      <c r="Y491" s="12" t="s">
        <v>86</v>
      </c>
      <c r="Z491">
        <f t="shared" si="43"/>
        <v>334</v>
      </c>
      <c r="AA491" s="39">
        <f t="shared" si="44"/>
        <v>63.17704918032787</v>
      </c>
      <c r="AB491" s="39">
        <f t="shared" si="45"/>
        <v>2574.5381199927619</v>
      </c>
      <c r="AC491">
        <f t="shared" si="48"/>
        <v>0.99980330336411694</v>
      </c>
      <c r="AD491">
        <f t="shared" si="46"/>
        <v>0.99971965843749522</v>
      </c>
      <c r="AE491">
        <f t="shared" si="47"/>
        <v>21432</v>
      </c>
    </row>
    <row r="492" spans="1:31">
      <c r="A492" s="9">
        <v>491</v>
      </c>
      <c r="B492" s="30">
        <v>40565</v>
      </c>
      <c r="C492" s="9">
        <v>1</v>
      </c>
      <c r="D492" s="9">
        <v>0</v>
      </c>
      <c r="E492" s="9">
        <v>1</v>
      </c>
      <c r="F492" s="9">
        <v>12</v>
      </c>
      <c r="G492" s="9" t="b">
        <v>0</v>
      </c>
      <c r="H492" s="9">
        <v>6</v>
      </c>
      <c r="I492" s="9">
        <v>2</v>
      </c>
      <c r="J492" s="9">
        <v>0.06</v>
      </c>
      <c r="K492" s="9">
        <v>0.1061</v>
      </c>
      <c r="L492" s="9">
        <v>0.38</v>
      </c>
      <c r="M492" s="9">
        <v>0.1045</v>
      </c>
      <c r="N492" s="9">
        <v>10</v>
      </c>
      <c r="O492" s="9">
        <v>60</v>
      </c>
      <c r="P492" s="9">
        <v>70</v>
      </c>
      <c r="Q492" s="12" t="s">
        <v>78</v>
      </c>
      <c r="R492" s="13" t="s">
        <v>79</v>
      </c>
      <c r="S492" s="9" t="s">
        <v>80</v>
      </c>
      <c r="T492" s="11" t="s">
        <v>88</v>
      </c>
      <c r="U492" s="11" t="s">
        <v>92</v>
      </c>
      <c r="V492" s="13" t="s">
        <v>93</v>
      </c>
      <c r="W492" s="15" t="s">
        <v>84</v>
      </c>
      <c r="X492" s="9" t="s">
        <v>85</v>
      </c>
      <c r="Y492" s="12" t="s">
        <v>86</v>
      </c>
      <c r="Z492">
        <f t="shared" si="43"/>
        <v>334</v>
      </c>
      <c r="AA492" s="39">
        <f t="shared" si="44"/>
        <v>63.17704918032787</v>
      </c>
      <c r="AB492" s="39">
        <f t="shared" si="45"/>
        <v>2577.0561910732349</v>
      </c>
      <c r="AC492">
        <f t="shared" si="48"/>
        <v>0.9998035751241412</v>
      </c>
      <c r="AD492">
        <f t="shared" si="46"/>
        <v>0.99971975071676211</v>
      </c>
      <c r="AE492">
        <f t="shared" si="47"/>
        <v>21432</v>
      </c>
    </row>
    <row r="493" spans="1:31">
      <c r="A493" s="10">
        <v>492</v>
      </c>
      <c r="B493" s="31">
        <v>40565</v>
      </c>
      <c r="C493" s="10">
        <v>1</v>
      </c>
      <c r="D493" s="10">
        <v>0</v>
      </c>
      <c r="E493" s="10">
        <v>1</v>
      </c>
      <c r="F493" s="10">
        <v>13</v>
      </c>
      <c r="G493" s="10" t="b">
        <v>0</v>
      </c>
      <c r="H493" s="10">
        <v>6</v>
      </c>
      <c r="I493" s="10">
        <v>1</v>
      </c>
      <c r="J493" s="10">
        <v>0.08</v>
      </c>
      <c r="K493" s="10">
        <v>0.16669999999999999</v>
      </c>
      <c r="L493" s="10">
        <v>0.35</v>
      </c>
      <c r="M493" s="10">
        <v>0</v>
      </c>
      <c r="N493" s="10">
        <v>12</v>
      </c>
      <c r="O493" s="10">
        <v>72</v>
      </c>
      <c r="P493" s="10">
        <v>84</v>
      </c>
      <c r="Q493" s="12" t="s">
        <v>78</v>
      </c>
      <c r="R493" s="13" t="s">
        <v>79</v>
      </c>
      <c r="S493" s="10" t="s">
        <v>80</v>
      </c>
      <c r="T493" s="13" t="s">
        <v>81</v>
      </c>
      <c r="U493" s="11" t="s">
        <v>92</v>
      </c>
      <c r="V493" s="13" t="s">
        <v>93</v>
      </c>
      <c r="W493" s="15" t="s">
        <v>84</v>
      </c>
      <c r="X493" s="10" t="s">
        <v>85</v>
      </c>
      <c r="Y493" s="12" t="s">
        <v>86</v>
      </c>
      <c r="Z493">
        <f t="shared" si="43"/>
        <v>334</v>
      </c>
      <c r="AA493" s="39">
        <f t="shared" si="44"/>
        <v>63.17704918032787</v>
      </c>
      <c r="AB493" s="39">
        <f t="shared" si="45"/>
        <v>2579.5822439270796</v>
      </c>
      <c r="AC493">
        <f t="shared" si="48"/>
        <v>0.99980394435630737</v>
      </c>
      <c r="AD493">
        <f t="shared" si="46"/>
        <v>0.9997199028564937</v>
      </c>
      <c r="AE493">
        <f t="shared" si="47"/>
        <v>21432</v>
      </c>
    </row>
    <row r="494" spans="1:31">
      <c r="A494" s="9">
        <v>493</v>
      </c>
      <c r="B494" s="30">
        <v>40565</v>
      </c>
      <c r="C494" s="9">
        <v>1</v>
      </c>
      <c r="D494" s="9">
        <v>0</v>
      </c>
      <c r="E494" s="9">
        <v>1</v>
      </c>
      <c r="F494" s="9">
        <v>14</v>
      </c>
      <c r="G494" s="9" t="b">
        <v>0</v>
      </c>
      <c r="H494" s="9">
        <v>6</v>
      </c>
      <c r="I494" s="9">
        <v>1</v>
      </c>
      <c r="J494" s="9">
        <v>0.1</v>
      </c>
      <c r="K494" s="9">
        <v>0.13639999999999999</v>
      </c>
      <c r="L494" s="9">
        <v>0.33</v>
      </c>
      <c r="M494" s="9">
        <v>0.1045</v>
      </c>
      <c r="N494" s="9">
        <v>11</v>
      </c>
      <c r="O494" s="9">
        <v>64</v>
      </c>
      <c r="P494" s="9">
        <v>75</v>
      </c>
      <c r="Q494" s="12" t="s">
        <v>78</v>
      </c>
      <c r="R494" s="13" t="s">
        <v>79</v>
      </c>
      <c r="S494" s="9" t="s">
        <v>80</v>
      </c>
      <c r="T494" s="13" t="s">
        <v>81</v>
      </c>
      <c r="U494" s="13" t="s">
        <v>94</v>
      </c>
      <c r="V494" s="13" t="s">
        <v>93</v>
      </c>
      <c r="W494" s="15" t="s">
        <v>84</v>
      </c>
      <c r="X494" s="9" t="s">
        <v>85</v>
      </c>
      <c r="Y494" s="12" t="s">
        <v>86</v>
      </c>
      <c r="Z494">
        <f t="shared" si="43"/>
        <v>334</v>
      </c>
      <c r="AA494" s="39">
        <f t="shared" si="44"/>
        <v>63.108552631578945</v>
      </c>
      <c r="AB494" s="39">
        <f t="shared" si="45"/>
        <v>2582.1167881348274</v>
      </c>
      <c r="AC494">
        <f t="shared" si="48"/>
        <v>0.99980444907562505</v>
      </c>
      <c r="AD494">
        <f t="shared" si="46"/>
        <v>0.99972026073374554</v>
      </c>
      <c r="AE494">
        <f t="shared" si="47"/>
        <v>21432</v>
      </c>
    </row>
    <row r="495" spans="1:31">
      <c r="A495" s="10">
        <v>494</v>
      </c>
      <c r="B495" s="31">
        <v>40565</v>
      </c>
      <c r="C495" s="10">
        <v>1</v>
      </c>
      <c r="D495" s="10">
        <v>0</v>
      </c>
      <c r="E495" s="10">
        <v>1</v>
      </c>
      <c r="F495" s="10">
        <v>15</v>
      </c>
      <c r="G495" s="10" t="b">
        <v>0</v>
      </c>
      <c r="H495" s="10">
        <v>6</v>
      </c>
      <c r="I495" s="10">
        <v>1</v>
      </c>
      <c r="J495" s="10">
        <v>0.12</v>
      </c>
      <c r="K495" s="10">
        <v>0.1515</v>
      </c>
      <c r="L495" s="10">
        <v>0.28000000000000003</v>
      </c>
      <c r="M495" s="10">
        <v>0</v>
      </c>
      <c r="N495" s="10">
        <v>10</v>
      </c>
      <c r="O495" s="10">
        <v>93</v>
      </c>
      <c r="P495" s="10">
        <v>103</v>
      </c>
      <c r="Q495" s="12" t="s">
        <v>78</v>
      </c>
      <c r="R495" s="13" t="s">
        <v>79</v>
      </c>
      <c r="S495" s="10" t="s">
        <v>80</v>
      </c>
      <c r="T495" s="13" t="s">
        <v>81</v>
      </c>
      <c r="U495" s="13" t="s">
        <v>94</v>
      </c>
      <c r="V495" s="13" t="s">
        <v>93</v>
      </c>
      <c r="W495" s="15" t="s">
        <v>84</v>
      </c>
      <c r="X495" s="10" t="s">
        <v>85</v>
      </c>
      <c r="Y495" s="12" t="s">
        <v>86</v>
      </c>
      <c r="Z495">
        <f t="shared" si="43"/>
        <v>334</v>
      </c>
      <c r="AA495" s="39">
        <f t="shared" si="44"/>
        <v>63.069306930693067</v>
      </c>
      <c r="AB495" s="39">
        <f t="shared" si="45"/>
        <v>2584.6581591579593</v>
      </c>
      <c r="AC495">
        <f t="shared" si="48"/>
        <v>0.99980473346810961</v>
      </c>
      <c r="AD495">
        <f t="shared" si="46"/>
        <v>0.99972052498224018</v>
      </c>
      <c r="AE495">
        <f t="shared" si="47"/>
        <v>21432</v>
      </c>
    </row>
    <row r="496" spans="1:31">
      <c r="A496" s="9">
        <v>495</v>
      </c>
      <c r="B496" s="30">
        <v>40565</v>
      </c>
      <c r="C496" s="9">
        <v>1</v>
      </c>
      <c r="D496" s="9">
        <v>0</v>
      </c>
      <c r="E496" s="9">
        <v>1</v>
      </c>
      <c r="F496" s="9">
        <v>16</v>
      </c>
      <c r="G496" s="9" t="b">
        <v>0</v>
      </c>
      <c r="H496" s="9">
        <v>6</v>
      </c>
      <c r="I496" s="9">
        <v>1</v>
      </c>
      <c r="J496" s="9">
        <v>0.12</v>
      </c>
      <c r="K496" s="9">
        <v>0.13639999999999999</v>
      </c>
      <c r="L496" s="9">
        <v>0.28000000000000003</v>
      </c>
      <c r="M496" s="9">
        <v>0.19400000000000001</v>
      </c>
      <c r="N496" s="9">
        <v>11</v>
      </c>
      <c r="O496" s="9">
        <v>72</v>
      </c>
      <c r="P496" s="9">
        <v>83</v>
      </c>
      <c r="Q496" s="12" t="s">
        <v>78</v>
      </c>
      <c r="R496" s="13" t="s">
        <v>79</v>
      </c>
      <c r="S496" s="9" t="s">
        <v>80</v>
      </c>
      <c r="T496" s="13" t="s">
        <v>81</v>
      </c>
      <c r="U496" s="13" t="s">
        <v>94</v>
      </c>
      <c r="V496" s="13" t="s">
        <v>93</v>
      </c>
      <c r="W496" s="15" t="s">
        <v>84</v>
      </c>
      <c r="X496" s="9" t="s">
        <v>85</v>
      </c>
      <c r="Y496" s="12" t="s">
        <v>86</v>
      </c>
      <c r="Z496">
        <f t="shared" si="43"/>
        <v>334</v>
      </c>
      <c r="AA496" s="39">
        <f t="shared" si="44"/>
        <v>62.937086092715234</v>
      </c>
      <c r="AB496" s="39">
        <f t="shared" si="45"/>
        <v>2587.208901011837</v>
      </c>
      <c r="AC496">
        <f t="shared" si="48"/>
        <v>0.99980538373004846</v>
      </c>
      <c r="AD496">
        <f t="shared" si="46"/>
        <v>0.9997213660504749</v>
      </c>
      <c r="AE496">
        <f t="shared" si="47"/>
        <v>21432</v>
      </c>
    </row>
    <row r="497" spans="1:31">
      <c r="A497" s="10">
        <v>496</v>
      </c>
      <c r="B497" s="31">
        <v>40565</v>
      </c>
      <c r="C497" s="10">
        <v>1</v>
      </c>
      <c r="D497" s="10">
        <v>0</v>
      </c>
      <c r="E497" s="10">
        <v>1</v>
      </c>
      <c r="F497" s="10">
        <v>17</v>
      </c>
      <c r="G497" s="10" t="b">
        <v>0</v>
      </c>
      <c r="H497" s="10">
        <v>6</v>
      </c>
      <c r="I497" s="10">
        <v>1</v>
      </c>
      <c r="J497" s="10">
        <v>0.12</v>
      </c>
      <c r="K497" s="10">
        <v>0.19700000000000001</v>
      </c>
      <c r="L497" s="10">
        <v>0.28000000000000003</v>
      </c>
      <c r="M497" s="10">
        <v>0</v>
      </c>
      <c r="N497" s="10">
        <v>8</v>
      </c>
      <c r="O497" s="10">
        <v>59</v>
      </c>
      <c r="P497" s="10">
        <v>67</v>
      </c>
      <c r="Q497" s="12" t="s">
        <v>78</v>
      </c>
      <c r="R497" s="13" t="s">
        <v>79</v>
      </c>
      <c r="S497" s="10" t="s">
        <v>80</v>
      </c>
      <c r="T497" s="13" t="s">
        <v>81</v>
      </c>
      <c r="U497" s="15" t="s">
        <v>95</v>
      </c>
      <c r="V497" s="11" t="s">
        <v>87</v>
      </c>
      <c r="W497" s="15" t="s">
        <v>84</v>
      </c>
      <c r="X497" s="10" t="s">
        <v>85</v>
      </c>
      <c r="Y497" s="12" t="s">
        <v>86</v>
      </c>
      <c r="Z497">
        <f t="shared" si="43"/>
        <v>334</v>
      </c>
      <c r="AA497" s="39">
        <f t="shared" si="44"/>
        <v>62.870431893687709</v>
      </c>
      <c r="AB497" s="39">
        <f t="shared" si="45"/>
        <v>2589.7659443968519</v>
      </c>
      <c r="AC497">
        <f t="shared" si="48"/>
        <v>0.99980570235793109</v>
      </c>
      <c r="AD497">
        <f t="shared" si="46"/>
        <v>0.99972182215246397</v>
      </c>
      <c r="AE497">
        <f t="shared" si="47"/>
        <v>21432</v>
      </c>
    </row>
    <row r="498" spans="1:31">
      <c r="A498" s="9">
        <v>497</v>
      </c>
      <c r="B498" s="30">
        <v>40565</v>
      </c>
      <c r="C498" s="9">
        <v>1</v>
      </c>
      <c r="D498" s="9">
        <v>0</v>
      </c>
      <c r="E498" s="9">
        <v>1</v>
      </c>
      <c r="F498" s="9">
        <v>18</v>
      </c>
      <c r="G498" s="9" t="b">
        <v>0</v>
      </c>
      <c r="H498" s="9">
        <v>6</v>
      </c>
      <c r="I498" s="9">
        <v>1</v>
      </c>
      <c r="J498" s="9">
        <v>0.08</v>
      </c>
      <c r="K498" s="9">
        <v>9.0899999999999995E-2</v>
      </c>
      <c r="L498" s="9">
        <v>0.35</v>
      </c>
      <c r="M498" s="9">
        <v>0.19400000000000001</v>
      </c>
      <c r="N498" s="9">
        <v>0</v>
      </c>
      <c r="O498" s="9">
        <v>54</v>
      </c>
      <c r="P498" s="9">
        <v>54</v>
      </c>
      <c r="Q498" s="12" t="s">
        <v>78</v>
      </c>
      <c r="R498" s="13" t="s">
        <v>79</v>
      </c>
      <c r="S498" s="9" t="s">
        <v>80</v>
      </c>
      <c r="T498" s="13" t="s">
        <v>81</v>
      </c>
      <c r="U498" s="15" t="s">
        <v>95</v>
      </c>
      <c r="V498" s="11" t="s">
        <v>87</v>
      </c>
      <c r="W498" s="15" t="s">
        <v>84</v>
      </c>
      <c r="X498" s="9" t="s">
        <v>85</v>
      </c>
      <c r="Y498" s="12" t="s">
        <v>86</v>
      </c>
      <c r="Z498">
        <f t="shared" si="43"/>
        <v>334</v>
      </c>
      <c r="AA498" s="39">
        <f t="shared" si="44"/>
        <v>62.856666666666669</v>
      </c>
      <c r="AB498" s="39">
        <f t="shared" si="45"/>
        <v>2592.3293481949408</v>
      </c>
      <c r="AC498">
        <f t="shared" si="48"/>
        <v>0.99980583962831937</v>
      </c>
      <c r="AD498">
        <f t="shared" si="46"/>
        <v>0.99972205407889292</v>
      </c>
      <c r="AE498">
        <f t="shared" si="47"/>
        <v>21432</v>
      </c>
    </row>
    <row r="499" spans="1:31">
      <c r="A499" s="10">
        <v>498</v>
      </c>
      <c r="B499" s="31">
        <v>40565</v>
      </c>
      <c r="C499" s="10">
        <v>1</v>
      </c>
      <c r="D499" s="10">
        <v>0</v>
      </c>
      <c r="E499" s="10">
        <v>1</v>
      </c>
      <c r="F499" s="10">
        <v>19</v>
      </c>
      <c r="G499" s="10" t="b">
        <v>0</v>
      </c>
      <c r="H499" s="10">
        <v>6</v>
      </c>
      <c r="I499" s="10">
        <v>1</v>
      </c>
      <c r="J499" s="10">
        <v>0.08</v>
      </c>
      <c r="K499" s="10">
        <v>0.1061</v>
      </c>
      <c r="L499" s="10">
        <v>0.35</v>
      </c>
      <c r="M499" s="10">
        <v>0.1343</v>
      </c>
      <c r="N499" s="10">
        <v>6</v>
      </c>
      <c r="O499" s="10">
        <v>53</v>
      </c>
      <c r="P499" s="10">
        <v>59</v>
      </c>
      <c r="Q499" s="12" t="s">
        <v>78</v>
      </c>
      <c r="R499" s="13" t="s">
        <v>79</v>
      </c>
      <c r="S499" s="10" t="s">
        <v>80</v>
      </c>
      <c r="T499" s="13" t="s">
        <v>81</v>
      </c>
      <c r="U499" s="15" t="s">
        <v>95</v>
      </c>
      <c r="V499" s="11" t="s">
        <v>87</v>
      </c>
      <c r="W499" s="15" t="s">
        <v>84</v>
      </c>
      <c r="X499" s="10" t="s">
        <v>85</v>
      </c>
      <c r="Y499" s="12" t="s">
        <v>86</v>
      </c>
      <c r="Z499">
        <f t="shared" si="43"/>
        <v>334</v>
      </c>
      <c r="AA499" s="39">
        <f t="shared" si="44"/>
        <v>62.886287625418063</v>
      </c>
      <c r="AB499" s="39">
        <f t="shared" si="45"/>
        <v>2594.899226672961</v>
      </c>
      <c r="AC499">
        <f t="shared" si="48"/>
        <v>0.99980596253233733</v>
      </c>
      <c r="AD499">
        <f t="shared" si="46"/>
        <v>0.99972211055412452</v>
      </c>
      <c r="AE499">
        <f t="shared" si="47"/>
        <v>21432</v>
      </c>
    </row>
    <row r="500" spans="1:31">
      <c r="A500" s="9">
        <v>499</v>
      </c>
      <c r="B500" s="30">
        <v>40565</v>
      </c>
      <c r="C500" s="9">
        <v>1</v>
      </c>
      <c r="D500" s="9">
        <v>0</v>
      </c>
      <c r="E500" s="9">
        <v>1</v>
      </c>
      <c r="F500" s="9">
        <v>20</v>
      </c>
      <c r="G500" s="9" t="b">
        <v>0</v>
      </c>
      <c r="H500" s="9">
        <v>6</v>
      </c>
      <c r="I500" s="9">
        <v>1</v>
      </c>
      <c r="J500" s="9">
        <v>0.06</v>
      </c>
      <c r="K500" s="9">
        <v>7.5800000000000006E-2</v>
      </c>
      <c r="L500" s="9">
        <v>0.45</v>
      </c>
      <c r="M500" s="9">
        <v>0.16420000000000001</v>
      </c>
      <c r="N500" s="9">
        <v>1</v>
      </c>
      <c r="O500" s="9">
        <v>44</v>
      </c>
      <c r="P500" s="9">
        <v>45</v>
      </c>
      <c r="Q500" s="12" t="s">
        <v>78</v>
      </c>
      <c r="R500" s="13" t="s">
        <v>79</v>
      </c>
      <c r="S500" s="9" t="s">
        <v>80</v>
      </c>
      <c r="T500" s="13" t="s">
        <v>81</v>
      </c>
      <c r="U500" s="16" t="s">
        <v>97</v>
      </c>
      <c r="V500" s="11" t="s">
        <v>87</v>
      </c>
      <c r="W500" s="15" t="s">
        <v>84</v>
      </c>
      <c r="X500" s="9" t="s">
        <v>85</v>
      </c>
      <c r="Y500" s="12" t="s">
        <v>86</v>
      </c>
      <c r="Z500">
        <f t="shared" si="43"/>
        <v>334</v>
      </c>
      <c r="AA500" s="39">
        <f t="shared" si="44"/>
        <v>62.899328859060404</v>
      </c>
      <c r="AB500" s="39">
        <f t="shared" si="45"/>
        <v>2597.4772231520851</v>
      </c>
      <c r="AC500">
        <f t="shared" si="48"/>
        <v>0.99980613257072526</v>
      </c>
      <c r="AD500">
        <f t="shared" si="46"/>
        <v>0.99972220032925674</v>
      </c>
      <c r="AE500">
        <f t="shared" si="47"/>
        <v>21432</v>
      </c>
    </row>
    <row r="501" spans="1:31">
      <c r="A501" s="10">
        <v>500</v>
      </c>
      <c r="B501" s="31">
        <v>40565</v>
      </c>
      <c r="C501" s="10">
        <v>1</v>
      </c>
      <c r="D501" s="10">
        <v>0</v>
      </c>
      <c r="E501" s="10">
        <v>1</v>
      </c>
      <c r="F501" s="10">
        <v>21</v>
      </c>
      <c r="G501" s="10" t="b">
        <v>0</v>
      </c>
      <c r="H501" s="10">
        <v>6</v>
      </c>
      <c r="I501" s="10">
        <v>1</v>
      </c>
      <c r="J501" s="10">
        <v>0.06</v>
      </c>
      <c r="K501" s="10">
        <v>0.1061</v>
      </c>
      <c r="L501" s="10">
        <v>0.41</v>
      </c>
      <c r="M501" s="10">
        <v>8.9599999999999999E-2</v>
      </c>
      <c r="N501" s="10">
        <v>0</v>
      </c>
      <c r="O501" s="10">
        <v>39</v>
      </c>
      <c r="P501" s="10">
        <v>39</v>
      </c>
      <c r="Q501" s="12" t="s">
        <v>78</v>
      </c>
      <c r="R501" s="13" t="s">
        <v>79</v>
      </c>
      <c r="S501" s="10" t="s">
        <v>80</v>
      </c>
      <c r="T501" s="13" t="s">
        <v>81</v>
      </c>
      <c r="U501" s="16" t="s">
        <v>97</v>
      </c>
      <c r="V501" s="11" t="s">
        <v>87</v>
      </c>
      <c r="W501" s="15" t="s">
        <v>84</v>
      </c>
      <c r="X501" s="10" t="s">
        <v>85</v>
      </c>
      <c r="Y501" s="12" t="s">
        <v>86</v>
      </c>
      <c r="Z501">
        <f t="shared" si="43"/>
        <v>334</v>
      </c>
      <c r="AA501" s="39">
        <f t="shared" si="44"/>
        <v>62.959595959595958</v>
      </c>
      <c r="AB501" s="39">
        <f t="shared" si="45"/>
        <v>2600.0615784025954</v>
      </c>
      <c r="AC501">
        <f t="shared" si="48"/>
        <v>0.99980622938065378</v>
      </c>
      <c r="AD501">
        <f t="shared" si="46"/>
        <v>0.99972219901037396</v>
      </c>
      <c r="AE501">
        <f t="shared" si="47"/>
        <v>21432</v>
      </c>
    </row>
    <row r="502" spans="1:31">
      <c r="A502" s="9">
        <v>501</v>
      </c>
      <c r="B502" s="30">
        <v>40565</v>
      </c>
      <c r="C502" s="9">
        <v>1</v>
      </c>
      <c r="D502" s="9">
        <v>0</v>
      </c>
      <c r="E502" s="9">
        <v>1</v>
      </c>
      <c r="F502" s="9">
        <v>22</v>
      </c>
      <c r="G502" s="9" t="b">
        <v>0</v>
      </c>
      <c r="H502" s="9">
        <v>6</v>
      </c>
      <c r="I502" s="9">
        <v>1</v>
      </c>
      <c r="J502" s="9">
        <v>0.06</v>
      </c>
      <c r="K502" s="9">
        <v>0.1515</v>
      </c>
      <c r="L502" s="9">
        <v>0.49</v>
      </c>
      <c r="M502" s="9">
        <v>0</v>
      </c>
      <c r="N502" s="9">
        <v>7</v>
      </c>
      <c r="O502" s="9">
        <v>23</v>
      </c>
      <c r="P502" s="9">
        <v>30</v>
      </c>
      <c r="Q502" s="12" t="s">
        <v>78</v>
      </c>
      <c r="R502" s="13" t="s">
        <v>79</v>
      </c>
      <c r="S502" s="9" t="s">
        <v>80</v>
      </c>
      <c r="T502" s="13" t="s">
        <v>81</v>
      </c>
      <c r="U502" s="16" t="s">
        <v>97</v>
      </c>
      <c r="V502" s="11" t="s">
        <v>87</v>
      </c>
      <c r="W502" s="15" t="s">
        <v>84</v>
      </c>
      <c r="X502" s="9" t="s">
        <v>85</v>
      </c>
      <c r="Y502" s="12" t="s">
        <v>86</v>
      </c>
      <c r="Z502">
        <f t="shared" si="43"/>
        <v>334</v>
      </c>
      <c r="AA502" s="39">
        <f t="shared" si="44"/>
        <v>63.04054054054054</v>
      </c>
      <c r="AB502" s="39">
        <f t="shared" si="45"/>
        <v>2602.6530405869789</v>
      </c>
      <c r="AC502">
        <f t="shared" si="48"/>
        <v>0.99980628607452982</v>
      </c>
      <c r="AD502">
        <f t="shared" si="46"/>
        <v>0.99972219765331294</v>
      </c>
      <c r="AE502">
        <f t="shared" si="47"/>
        <v>21432</v>
      </c>
    </row>
    <row r="503" spans="1:31">
      <c r="A503" s="10">
        <v>502</v>
      </c>
      <c r="B503" s="31">
        <v>40565</v>
      </c>
      <c r="C503" s="10">
        <v>1</v>
      </c>
      <c r="D503" s="10">
        <v>0</v>
      </c>
      <c r="E503" s="10">
        <v>1</v>
      </c>
      <c r="F503" s="10">
        <v>23</v>
      </c>
      <c r="G503" s="10" t="b">
        <v>0</v>
      </c>
      <c r="H503" s="10">
        <v>6</v>
      </c>
      <c r="I503" s="10">
        <v>1</v>
      </c>
      <c r="J503" s="10">
        <v>0.04</v>
      </c>
      <c r="K503" s="10">
        <v>7.5800000000000006E-2</v>
      </c>
      <c r="L503" s="10">
        <v>0.56999999999999995</v>
      </c>
      <c r="M503" s="10">
        <v>0.1045</v>
      </c>
      <c r="N503" s="10">
        <v>2</v>
      </c>
      <c r="O503" s="10">
        <v>31</v>
      </c>
      <c r="P503" s="10">
        <v>33</v>
      </c>
      <c r="Q503" s="12" t="s">
        <v>78</v>
      </c>
      <c r="R503" s="13" t="s">
        <v>79</v>
      </c>
      <c r="S503" s="10" t="s">
        <v>80</v>
      </c>
      <c r="T503" s="13" t="s">
        <v>81</v>
      </c>
      <c r="U503" s="16" t="s">
        <v>97</v>
      </c>
      <c r="V503" s="11" t="s">
        <v>87</v>
      </c>
      <c r="W503" s="15" t="s">
        <v>84</v>
      </c>
      <c r="X503" s="10" t="s">
        <v>85</v>
      </c>
      <c r="Y503" s="12" t="s">
        <v>86</v>
      </c>
      <c r="Z503">
        <f t="shared" si="43"/>
        <v>334</v>
      </c>
      <c r="AA503" s="39">
        <f t="shared" si="44"/>
        <v>63.152542372881356</v>
      </c>
      <c r="AB503" s="39">
        <f t="shared" si="45"/>
        <v>2605.2512785281469</v>
      </c>
      <c r="AC503">
        <f t="shared" si="48"/>
        <v>0.99980630209890531</v>
      </c>
      <c r="AD503">
        <f t="shared" si="46"/>
        <v>0.99972224476473515</v>
      </c>
      <c r="AE503">
        <f t="shared" si="47"/>
        <v>21432</v>
      </c>
    </row>
    <row r="504" spans="1:31">
      <c r="A504" s="9">
        <v>503</v>
      </c>
      <c r="B504" s="30">
        <v>40566</v>
      </c>
      <c r="C504" s="9">
        <v>1</v>
      </c>
      <c r="D504" s="9">
        <v>0</v>
      </c>
      <c r="E504" s="9">
        <v>1</v>
      </c>
      <c r="F504" s="9">
        <v>0</v>
      </c>
      <c r="G504" s="9" t="b">
        <v>0</v>
      </c>
      <c r="H504" s="9">
        <v>0</v>
      </c>
      <c r="I504" s="9">
        <v>1</v>
      </c>
      <c r="J504" s="9">
        <v>0.04</v>
      </c>
      <c r="K504" s="9">
        <v>7.5800000000000006E-2</v>
      </c>
      <c r="L504" s="9">
        <v>0.56999999999999995</v>
      </c>
      <c r="M504" s="9">
        <v>0.1045</v>
      </c>
      <c r="N504" s="9">
        <v>2</v>
      </c>
      <c r="O504" s="9">
        <v>20</v>
      </c>
      <c r="P504" s="9">
        <v>22</v>
      </c>
      <c r="Q504" s="12" t="s">
        <v>78</v>
      </c>
      <c r="R504" s="13" t="s">
        <v>79</v>
      </c>
      <c r="S504" s="9" t="s">
        <v>80</v>
      </c>
      <c r="T504" s="13" t="s">
        <v>81</v>
      </c>
      <c r="U504" s="14" t="s">
        <v>82</v>
      </c>
      <c r="V504" s="12" t="s">
        <v>83</v>
      </c>
      <c r="W504" s="15" t="s">
        <v>84</v>
      </c>
      <c r="X504" s="9" t="s">
        <v>85</v>
      </c>
      <c r="Y504" s="12" t="s">
        <v>86</v>
      </c>
      <c r="Z504">
        <f t="shared" si="43"/>
        <v>334</v>
      </c>
      <c r="AA504" s="39">
        <f t="shared" si="44"/>
        <v>63.255102040816325</v>
      </c>
      <c r="AB504" s="39">
        <f t="shared" si="45"/>
        <v>2607.8576509035224</v>
      </c>
      <c r="AC504">
        <f t="shared" si="48"/>
        <v>0.99980635708702248</v>
      </c>
      <c r="AD504">
        <f t="shared" si="46"/>
        <v>0.99972232283473006</v>
      </c>
      <c r="AE504">
        <f t="shared" si="47"/>
        <v>21432</v>
      </c>
    </row>
    <row r="505" spans="1:31">
      <c r="A505" s="10">
        <v>504</v>
      </c>
      <c r="B505" s="31">
        <v>40566</v>
      </c>
      <c r="C505" s="10">
        <v>1</v>
      </c>
      <c r="D505" s="10">
        <v>0</v>
      </c>
      <c r="E505" s="10">
        <v>1</v>
      </c>
      <c r="F505" s="10">
        <v>1</v>
      </c>
      <c r="G505" s="10" t="b">
        <v>0</v>
      </c>
      <c r="H505" s="10">
        <v>0</v>
      </c>
      <c r="I505" s="10">
        <v>1</v>
      </c>
      <c r="J505" s="10">
        <v>0.04</v>
      </c>
      <c r="K505" s="10">
        <v>7.5800000000000006E-2</v>
      </c>
      <c r="L505" s="10">
        <v>0.56999999999999995</v>
      </c>
      <c r="M505" s="10">
        <v>0.1045</v>
      </c>
      <c r="N505" s="10">
        <v>1</v>
      </c>
      <c r="O505" s="10">
        <v>12</v>
      </c>
      <c r="P505" s="10">
        <v>13</v>
      </c>
      <c r="Q505" s="12" t="s">
        <v>78</v>
      </c>
      <c r="R505" s="13" t="s">
        <v>79</v>
      </c>
      <c r="S505" s="10" t="s">
        <v>80</v>
      </c>
      <c r="T505" s="13" t="s">
        <v>81</v>
      </c>
      <c r="U505" s="14" t="s">
        <v>82</v>
      </c>
      <c r="V505" s="12" t="s">
        <v>83</v>
      </c>
      <c r="W505" s="15" t="s">
        <v>84</v>
      </c>
      <c r="X505" s="10" t="s">
        <v>85</v>
      </c>
      <c r="Y505" s="12" t="s">
        <v>86</v>
      </c>
      <c r="Z505">
        <f t="shared" si="43"/>
        <v>334</v>
      </c>
      <c r="AA505" s="39">
        <f t="shared" si="44"/>
        <v>63.395904436860071</v>
      </c>
      <c r="AB505" s="39">
        <f t="shared" si="45"/>
        <v>2610.4705865332321</v>
      </c>
      <c r="AC505">
        <f t="shared" si="48"/>
        <v>0.99980636645464549</v>
      </c>
      <c r="AD505">
        <f t="shared" si="46"/>
        <v>0.99972249459380502</v>
      </c>
      <c r="AE505">
        <f t="shared" si="47"/>
        <v>21432</v>
      </c>
    </row>
    <row r="506" spans="1:31">
      <c r="A506" s="9">
        <v>505</v>
      </c>
      <c r="B506" s="30">
        <v>40566</v>
      </c>
      <c r="C506" s="9">
        <v>1</v>
      </c>
      <c r="D506" s="9">
        <v>0</v>
      </c>
      <c r="E506" s="9">
        <v>1</v>
      </c>
      <c r="F506" s="9">
        <v>2</v>
      </c>
      <c r="G506" s="9" t="b">
        <v>0</v>
      </c>
      <c r="H506" s="9">
        <v>0</v>
      </c>
      <c r="I506" s="9">
        <v>1</v>
      </c>
      <c r="J506" s="9">
        <v>0.02</v>
      </c>
      <c r="K506" s="9">
        <v>6.0600000000000001E-2</v>
      </c>
      <c r="L506" s="9">
        <v>0.62</v>
      </c>
      <c r="M506" s="9">
        <v>0.1343</v>
      </c>
      <c r="N506" s="9">
        <v>3</v>
      </c>
      <c r="O506" s="9">
        <v>15</v>
      </c>
      <c r="P506" s="9">
        <v>18</v>
      </c>
      <c r="Q506" s="12" t="s">
        <v>78</v>
      </c>
      <c r="R506" s="13" t="s">
        <v>79</v>
      </c>
      <c r="S506" s="9" t="s">
        <v>80</v>
      </c>
      <c r="T506" s="13" t="s">
        <v>81</v>
      </c>
      <c r="U506" s="14" t="s">
        <v>82</v>
      </c>
      <c r="V506" s="12" t="s">
        <v>83</v>
      </c>
      <c r="W506" s="15" t="s">
        <v>84</v>
      </c>
      <c r="X506" s="9" t="s">
        <v>85</v>
      </c>
      <c r="Y506" s="12" t="s">
        <v>86</v>
      </c>
      <c r="Z506">
        <f t="shared" si="43"/>
        <v>334</v>
      </c>
      <c r="AA506" s="39">
        <f t="shared" si="44"/>
        <v>63.56849315068493</v>
      </c>
      <c r="AB506" s="39">
        <f t="shared" si="45"/>
        <v>2613.090276052716</v>
      </c>
      <c r="AC506">
        <f t="shared" si="48"/>
        <v>0.99980636492808428</v>
      </c>
      <c r="AD506">
        <f t="shared" si="46"/>
        <v>0.99972277024906886</v>
      </c>
      <c r="AE506">
        <f t="shared" si="47"/>
        <v>21432</v>
      </c>
    </row>
    <row r="507" spans="1:31">
      <c r="A507" s="10">
        <v>506</v>
      </c>
      <c r="B507" s="31">
        <v>40566</v>
      </c>
      <c r="C507" s="10">
        <v>1</v>
      </c>
      <c r="D507" s="10">
        <v>0</v>
      </c>
      <c r="E507" s="10">
        <v>1</v>
      </c>
      <c r="F507" s="10">
        <v>3</v>
      </c>
      <c r="G507" s="10" t="b">
        <v>0</v>
      </c>
      <c r="H507" s="10">
        <v>0</v>
      </c>
      <c r="I507" s="10">
        <v>1</v>
      </c>
      <c r="J507" s="10">
        <v>0.02</v>
      </c>
      <c r="K507" s="10">
        <v>6.0600000000000001E-2</v>
      </c>
      <c r="L507" s="10">
        <v>0.62</v>
      </c>
      <c r="M507" s="10">
        <v>0.1343</v>
      </c>
      <c r="N507" s="10">
        <v>1</v>
      </c>
      <c r="O507" s="10">
        <v>4</v>
      </c>
      <c r="P507" s="10">
        <v>5</v>
      </c>
      <c r="Q507" s="12" t="s">
        <v>78</v>
      </c>
      <c r="R507" s="13" t="s">
        <v>79</v>
      </c>
      <c r="S507" s="10" t="s">
        <v>80</v>
      </c>
      <c r="T507" s="13" t="s">
        <v>81</v>
      </c>
      <c r="U507" s="14" t="s">
        <v>82</v>
      </c>
      <c r="V507" s="12" t="s">
        <v>83</v>
      </c>
      <c r="W507" s="15" t="s">
        <v>84</v>
      </c>
      <c r="X507" s="10" t="s">
        <v>85</v>
      </c>
      <c r="Y507" s="12" t="s">
        <v>86</v>
      </c>
      <c r="Z507">
        <f t="shared" si="43"/>
        <v>334</v>
      </c>
      <c r="AA507" s="39">
        <f t="shared" si="44"/>
        <v>63.725085910652922</v>
      </c>
      <c r="AB507" s="39">
        <f t="shared" si="45"/>
        <v>2615.7184977675588</v>
      </c>
      <c r="AC507">
        <f t="shared" si="48"/>
        <v>0.99980637886578483</v>
      </c>
      <c r="AD507">
        <f t="shared" si="46"/>
        <v>0.99972304721187655</v>
      </c>
      <c r="AE507">
        <f t="shared" si="47"/>
        <v>21432</v>
      </c>
    </row>
    <row r="508" spans="1:31">
      <c r="A508" s="9">
        <v>507</v>
      </c>
      <c r="B508" s="30">
        <v>40566</v>
      </c>
      <c r="C508" s="9">
        <v>1</v>
      </c>
      <c r="D508" s="9">
        <v>0</v>
      </c>
      <c r="E508" s="9">
        <v>1</v>
      </c>
      <c r="F508" s="9">
        <v>5</v>
      </c>
      <c r="G508" s="9" t="b">
        <v>0</v>
      </c>
      <c r="H508" s="9">
        <v>0</v>
      </c>
      <c r="I508" s="9">
        <v>2</v>
      </c>
      <c r="J508" s="9">
        <v>0.04</v>
      </c>
      <c r="K508" s="9">
        <v>7.5800000000000006E-2</v>
      </c>
      <c r="L508" s="9">
        <v>0.56999999999999995</v>
      </c>
      <c r="M508" s="9">
        <v>0.1045</v>
      </c>
      <c r="N508" s="9">
        <v>0</v>
      </c>
      <c r="O508" s="9">
        <v>3</v>
      </c>
      <c r="P508" s="9">
        <v>3</v>
      </c>
      <c r="Q508" s="12" t="s">
        <v>78</v>
      </c>
      <c r="R508" s="13" t="s">
        <v>79</v>
      </c>
      <c r="S508" s="9" t="s">
        <v>80</v>
      </c>
      <c r="T508" s="11" t="s">
        <v>88</v>
      </c>
      <c r="U508" s="15" t="s">
        <v>89</v>
      </c>
      <c r="V508" s="12" t="s">
        <v>83</v>
      </c>
      <c r="W508" s="15" t="s">
        <v>84</v>
      </c>
      <c r="X508" s="9" t="s">
        <v>85</v>
      </c>
      <c r="Y508" s="12" t="s">
        <v>86</v>
      </c>
      <c r="Z508">
        <f t="shared" si="43"/>
        <v>334</v>
      </c>
      <c r="AA508" s="39">
        <f t="shared" si="44"/>
        <v>63.927586206896549</v>
      </c>
      <c r="AB508" s="39">
        <f t="shared" si="45"/>
        <v>2618.3529835694203</v>
      </c>
      <c r="AC508">
        <f t="shared" si="48"/>
        <v>0.9998063782795733</v>
      </c>
      <c r="AD508">
        <f t="shared" si="46"/>
        <v>0.99972351736948439</v>
      </c>
      <c r="AE508">
        <f t="shared" si="47"/>
        <v>21432</v>
      </c>
    </row>
    <row r="509" spans="1:31">
      <c r="A509" s="10">
        <v>508</v>
      </c>
      <c r="B509" s="31">
        <v>40566</v>
      </c>
      <c r="C509" s="10">
        <v>1</v>
      </c>
      <c r="D509" s="10">
        <v>0</v>
      </c>
      <c r="E509" s="10">
        <v>1</v>
      </c>
      <c r="F509" s="10">
        <v>6</v>
      </c>
      <c r="G509" s="10" t="b">
        <v>0</v>
      </c>
      <c r="H509" s="10">
        <v>0</v>
      </c>
      <c r="I509" s="10">
        <v>2</v>
      </c>
      <c r="J509" s="10">
        <v>0.04</v>
      </c>
      <c r="K509" s="10">
        <v>7.5800000000000006E-2</v>
      </c>
      <c r="L509" s="10">
        <v>0.56999999999999995</v>
      </c>
      <c r="M509" s="10">
        <v>0.1045</v>
      </c>
      <c r="N509" s="10">
        <v>0</v>
      </c>
      <c r="O509" s="10">
        <v>1</v>
      </c>
      <c r="P509" s="10">
        <v>1</v>
      </c>
      <c r="Q509" s="12" t="s">
        <v>78</v>
      </c>
      <c r="R509" s="13" t="s">
        <v>79</v>
      </c>
      <c r="S509" s="10" t="s">
        <v>80</v>
      </c>
      <c r="T509" s="11" t="s">
        <v>88</v>
      </c>
      <c r="U509" s="15" t="s">
        <v>89</v>
      </c>
      <c r="V509" s="12" t="s">
        <v>83</v>
      </c>
      <c r="W509" s="15" t="s">
        <v>84</v>
      </c>
      <c r="X509" s="10" t="s">
        <v>85</v>
      </c>
      <c r="Y509" s="12" t="s">
        <v>86</v>
      </c>
      <c r="Z509">
        <f t="shared" si="43"/>
        <v>334</v>
      </c>
      <c r="AA509" s="39">
        <f t="shared" si="44"/>
        <v>63.927586206896549</v>
      </c>
      <c r="AB509" s="39">
        <f t="shared" si="45"/>
        <v>2620.995174256564</v>
      </c>
      <c r="AC509">
        <f t="shared" si="48"/>
        <v>0.99980639264418891</v>
      </c>
      <c r="AD509">
        <f t="shared" si="46"/>
        <v>0.99972394036966017</v>
      </c>
      <c r="AE509">
        <f t="shared" si="47"/>
        <v>21432</v>
      </c>
    </row>
    <row r="510" spans="1:31">
      <c r="A510" s="9">
        <v>509</v>
      </c>
      <c r="B510" s="30">
        <v>40566</v>
      </c>
      <c r="C510" s="9">
        <v>1</v>
      </c>
      <c r="D510" s="9">
        <v>0</v>
      </c>
      <c r="E510" s="9">
        <v>1</v>
      </c>
      <c r="F510" s="9">
        <v>7</v>
      </c>
      <c r="G510" s="9" t="b">
        <v>0</v>
      </c>
      <c r="H510" s="9">
        <v>0</v>
      </c>
      <c r="I510" s="9">
        <v>1</v>
      </c>
      <c r="J510" s="9">
        <v>0.08</v>
      </c>
      <c r="K510" s="9">
        <v>0.1061</v>
      </c>
      <c r="L510" s="9">
        <v>0.57999999999999996</v>
      </c>
      <c r="M510" s="9">
        <v>0.16420000000000001</v>
      </c>
      <c r="N510" s="9">
        <v>1</v>
      </c>
      <c r="O510" s="9">
        <v>1</v>
      </c>
      <c r="P510" s="9">
        <v>2</v>
      </c>
      <c r="Q510" s="12" t="s">
        <v>78</v>
      </c>
      <c r="R510" s="13" t="s">
        <v>79</v>
      </c>
      <c r="S510" s="9" t="s">
        <v>80</v>
      </c>
      <c r="T510" s="13" t="s">
        <v>81</v>
      </c>
      <c r="U510" s="15" t="s">
        <v>89</v>
      </c>
      <c r="V510" s="12" t="s">
        <v>83</v>
      </c>
      <c r="W510" s="15" t="s">
        <v>84</v>
      </c>
      <c r="X510" s="9" t="s">
        <v>85</v>
      </c>
      <c r="Y510" s="12" t="s">
        <v>86</v>
      </c>
      <c r="Z510">
        <f t="shared" si="43"/>
        <v>334</v>
      </c>
      <c r="AA510" s="39">
        <f t="shared" si="44"/>
        <v>63.927586206896549</v>
      </c>
      <c r="AB510" s="39">
        <f t="shared" si="45"/>
        <v>2623.6451045664085</v>
      </c>
      <c r="AC510">
        <f t="shared" si="48"/>
        <v>0.9998064138123619</v>
      </c>
      <c r="AD510">
        <f t="shared" si="46"/>
        <v>0.99972439743717967</v>
      </c>
      <c r="AE510">
        <f t="shared" si="47"/>
        <v>21432</v>
      </c>
    </row>
    <row r="511" spans="1:31">
      <c r="A511" s="10">
        <v>510</v>
      </c>
      <c r="B511" s="31">
        <v>40566</v>
      </c>
      <c r="C511" s="10">
        <v>1</v>
      </c>
      <c r="D511" s="10">
        <v>0</v>
      </c>
      <c r="E511" s="10">
        <v>1</v>
      </c>
      <c r="F511" s="10">
        <v>8</v>
      </c>
      <c r="G511" s="10" t="b">
        <v>0</v>
      </c>
      <c r="H511" s="10">
        <v>0</v>
      </c>
      <c r="I511" s="10">
        <v>1</v>
      </c>
      <c r="J511" s="10">
        <v>0.06</v>
      </c>
      <c r="K511" s="10">
        <v>7.5800000000000006E-2</v>
      </c>
      <c r="L511" s="10">
        <v>0.62</v>
      </c>
      <c r="M511" s="10">
        <v>0.16420000000000001</v>
      </c>
      <c r="N511" s="10">
        <v>2</v>
      </c>
      <c r="O511" s="10">
        <v>17</v>
      </c>
      <c r="P511" s="10">
        <v>19</v>
      </c>
      <c r="Q511" s="12" t="s">
        <v>78</v>
      </c>
      <c r="R511" s="13" t="s">
        <v>79</v>
      </c>
      <c r="S511" s="10" t="s">
        <v>80</v>
      </c>
      <c r="T511" s="13" t="s">
        <v>81</v>
      </c>
      <c r="U511" s="15" t="s">
        <v>89</v>
      </c>
      <c r="V511" s="12" t="s">
        <v>83</v>
      </c>
      <c r="W511" s="15" t="s">
        <v>84</v>
      </c>
      <c r="X511" s="10" t="s">
        <v>85</v>
      </c>
      <c r="Y511" s="12" t="s">
        <v>86</v>
      </c>
      <c r="Z511">
        <f t="shared" si="43"/>
        <v>334</v>
      </c>
      <c r="AA511" s="39">
        <f t="shared" si="44"/>
        <v>64.141868512110733</v>
      </c>
      <c r="AB511" s="39">
        <f t="shared" si="45"/>
        <v>2626.303226981508</v>
      </c>
      <c r="AC511">
        <f t="shared" si="48"/>
        <v>0.99980648903160929</v>
      </c>
      <c r="AD511">
        <f t="shared" si="46"/>
        <v>0.99972485641848075</v>
      </c>
      <c r="AE511">
        <f t="shared" si="47"/>
        <v>21432</v>
      </c>
    </row>
    <row r="512" spans="1:31">
      <c r="A512" s="9">
        <v>511</v>
      </c>
      <c r="B512" s="30">
        <v>40566</v>
      </c>
      <c r="C512" s="9">
        <v>1</v>
      </c>
      <c r="D512" s="9">
        <v>0</v>
      </c>
      <c r="E512" s="9">
        <v>1</v>
      </c>
      <c r="F512" s="9">
        <v>9</v>
      </c>
      <c r="G512" s="9" t="b">
        <v>0</v>
      </c>
      <c r="H512" s="9">
        <v>0</v>
      </c>
      <c r="I512" s="9">
        <v>1</v>
      </c>
      <c r="J512" s="9">
        <v>0.1</v>
      </c>
      <c r="K512" s="9">
        <v>7.5800000000000006E-2</v>
      </c>
      <c r="L512" s="9">
        <v>0.54</v>
      </c>
      <c r="M512" s="9">
        <v>0.35820000000000002</v>
      </c>
      <c r="N512" s="9">
        <v>3</v>
      </c>
      <c r="O512" s="9">
        <v>25</v>
      </c>
      <c r="P512" s="9">
        <v>28</v>
      </c>
      <c r="Q512" s="12" t="s">
        <v>78</v>
      </c>
      <c r="R512" s="13" t="s">
        <v>79</v>
      </c>
      <c r="S512" s="9" t="s">
        <v>80</v>
      </c>
      <c r="T512" s="13" t="s">
        <v>81</v>
      </c>
      <c r="U512" s="15" t="s">
        <v>89</v>
      </c>
      <c r="V512" s="12" t="s">
        <v>83</v>
      </c>
      <c r="W512" s="15" t="s">
        <v>84</v>
      </c>
      <c r="X512" s="9" t="s">
        <v>85</v>
      </c>
      <c r="Y512" s="12" t="s">
        <v>86</v>
      </c>
      <c r="Z512">
        <f t="shared" si="43"/>
        <v>334</v>
      </c>
      <c r="AA512" s="39">
        <f t="shared" si="44"/>
        <v>64.298611111111114</v>
      </c>
      <c r="AB512" s="39">
        <f t="shared" si="45"/>
        <v>2628.9716857266899</v>
      </c>
      <c r="AC512">
        <f t="shared" si="48"/>
        <v>0.99980648755392176</v>
      </c>
      <c r="AD512">
        <f t="shared" si="46"/>
        <v>0.99972512748784104</v>
      </c>
      <c r="AE512">
        <f t="shared" si="47"/>
        <v>21432</v>
      </c>
    </row>
    <row r="513" spans="1:31">
      <c r="A513" s="10">
        <v>512</v>
      </c>
      <c r="B513" s="31">
        <v>40566</v>
      </c>
      <c r="C513" s="10">
        <v>1</v>
      </c>
      <c r="D513" s="10">
        <v>0</v>
      </c>
      <c r="E513" s="10">
        <v>1</v>
      </c>
      <c r="F513" s="10">
        <v>10</v>
      </c>
      <c r="G513" s="10" t="b">
        <v>0</v>
      </c>
      <c r="H513" s="10">
        <v>0</v>
      </c>
      <c r="I513" s="10">
        <v>1</v>
      </c>
      <c r="J513" s="10">
        <v>0.14000000000000001</v>
      </c>
      <c r="K513" s="10">
        <v>0.1061</v>
      </c>
      <c r="L513" s="10">
        <v>0.46</v>
      </c>
      <c r="M513" s="10">
        <v>0.3881</v>
      </c>
      <c r="N513" s="10">
        <v>7</v>
      </c>
      <c r="O513" s="10">
        <v>51</v>
      </c>
      <c r="P513" s="10">
        <v>58</v>
      </c>
      <c r="Q513" s="12" t="s">
        <v>78</v>
      </c>
      <c r="R513" s="13" t="s">
        <v>79</v>
      </c>
      <c r="S513" s="10" t="s">
        <v>80</v>
      </c>
      <c r="T513" s="13" t="s">
        <v>81</v>
      </c>
      <c r="U513" s="13" t="s">
        <v>91</v>
      </c>
      <c r="V513" s="11" t="s">
        <v>87</v>
      </c>
      <c r="W513" s="15" t="s">
        <v>84</v>
      </c>
      <c r="X513" s="10" t="s">
        <v>85</v>
      </c>
      <c r="Y513" s="12" t="s">
        <v>86</v>
      </c>
      <c r="Z513">
        <f t="shared" si="43"/>
        <v>334</v>
      </c>
      <c r="AA513" s="39">
        <f t="shared" si="44"/>
        <v>64.42508710801394</v>
      </c>
      <c r="AB513" s="39">
        <f t="shared" si="45"/>
        <v>2631.6493936083784</v>
      </c>
      <c r="AC513">
        <f t="shared" si="48"/>
        <v>0.99980648716981357</v>
      </c>
      <c r="AD513">
        <f t="shared" si="46"/>
        <v>0.99972522599468094</v>
      </c>
      <c r="AE513">
        <f t="shared" si="47"/>
        <v>21432</v>
      </c>
    </row>
    <row r="514" spans="1:31">
      <c r="A514" s="9">
        <v>513</v>
      </c>
      <c r="B514" s="30">
        <v>40566</v>
      </c>
      <c r="C514" s="9">
        <v>1</v>
      </c>
      <c r="D514" s="9">
        <v>0</v>
      </c>
      <c r="E514" s="9">
        <v>1</v>
      </c>
      <c r="F514" s="9">
        <v>11</v>
      </c>
      <c r="G514" s="9" t="b">
        <v>0</v>
      </c>
      <c r="H514" s="9">
        <v>0</v>
      </c>
      <c r="I514" s="9">
        <v>1</v>
      </c>
      <c r="J514" s="9">
        <v>0.14000000000000001</v>
      </c>
      <c r="K514" s="9">
        <v>0.13639999999999999</v>
      </c>
      <c r="L514" s="9">
        <v>0.43</v>
      </c>
      <c r="M514" s="9">
        <v>0.22389999999999999</v>
      </c>
      <c r="N514" s="9">
        <v>22</v>
      </c>
      <c r="O514" s="9">
        <v>77</v>
      </c>
      <c r="P514" s="9">
        <v>99</v>
      </c>
      <c r="Q514" s="12" t="s">
        <v>78</v>
      </c>
      <c r="R514" s="13" t="s">
        <v>79</v>
      </c>
      <c r="S514" s="9" t="s">
        <v>80</v>
      </c>
      <c r="T514" s="13" t="s">
        <v>81</v>
      </c>
      <c r="U514" s="13" t="s">
        <v>91</v>
      </c>
      <c r="V514" s="13" t="s">
        <v>93</v>
      </c>
      <c r="W514" s="15" t="s">
        <v>84</v>
      </c>
      <c r="X514" s="9" t="s">
        <v>85</v>
      </c>
      <c r="Y514" s="12" t="s">
        <v>86</v>
      </c>
      <c r="Z514">
        <f t="shared" ref="Z514:Z577" si="49">COUNTIF(Q514:Q1513,"Weekday")</f>
        <v>334</v>
      </c>
      <c r="AA514" s="39">
        <f t="shared" ref="AA514:AA577" si="50">AVERAGEIF(T514:T1513,"Clear",P514:P1513)</f>
        <v>64.447552447552454</v>
      </c>
      <c r="AB514" s="39">
        <f t="shared" ref="AB514:AB577" si="51">STDEV(P514:P1513)</f>
        <v>2634.3385178141089</v>
      </c>
      <c r="AC514">
        <f t="shared" si="48"/>
        <v>0.99980652487096977</v>
      </c>
      <c r="AD514">
        <f t="shared" ref="AD514:AD577" si="52">CORREL(L514:L1513,P514:P1513)</f>
        <v>0.9997252457541661</v>
      </c>
      <c r="AE514">
        <f t="shared" ref="AE514:AE577" si="53">SUMIF(Q514:Q1513,"Weekday",P514:P1513)</f>
        <v>21432</v>
      </c>
    </row>
    <row r="515" spans="1:31">
      <c r="A515" s="10">
        <v>514</v>
      </c>
      <c r="B515" s="31">
        <v>40566</v>
      </c>
      <c r="C515" s="10">
        <v>1</v>
      </c>
      <c r="D515" s="10">
        <v>0</v>
      </c>
      <c r="E515" s="10">
        <v>1</v>
      </c>
      <c r="F515" s="10">
        <v>12</v>
      </c>
      <c r="G515" s="10" t="b">
        <v>0</v>
      </c>
      <c r="H515" s="10">
        <v>0</v>
      </c>
      <c r="I515" s="10">
        <v>1</v>
      </c>
      <c r="J515" s="10">
        <v>0.16</v>
      </c>
      <c r="K515" s="10">
        <v>0.1212</v>
      </c>
      <c r="L515" s="10">
        <v>0.37</v>
      </c>
      <c r="M515" s="10">
        <v>0.4627</v>
      </c>
      <c r="N515" s="10">
        <v>24</v>
      </c>
      <c r="O515" s="10">
        <v>92</v>
      </c>
      <c r="P515" s="10">
        <v>116</v>
      </c>
      <c r="Q515" s="12" t="s">
        <v>78</v>
      </c>
      <c r="R515" s="13" t="s">
        <v>79</v>
      </c>
      <c r="S515" s="10" t="s">
        <v>80</v>
      </c>
      <c r="T515" s="13" t="s">
        <v>81</v>
      </c>
      <c r="U515" s="11" t="s">
        <v>92</v>
      </c>
      <c r="V515" s="13" t="s">
        <v>93</v>
      </c>
      <c r="W515" s="15" t="s">
        <v>84</v>
      </c>
      <c r="X515" s="10" t="s">
        <v>85</v>
      </c>
      <c r="Y515" s="12" t="s">
        <v>86</v>
      </c>
      <c r="Z515">
        <f t="shared" si="49"/>
        <v>334</v>
      </c>
      <c r="AA515" s="39">
        <f t="shared" si="50"/>
        <v>64.326315789473682</v>
      </c>
      <c r="AB515" s="39">
        <f t="shared" si="51"/>
        <v>2637.0391767629039</v>
      </c>
      <c r="AC515">
        <f t="shared" si="48"/>
        <v>0.9998070082306818</v>
      </c>
      <c r="AD515">
        <f t="shared" si="52"/>
        <v>0.99972570820243445</v>
      </c>
      <c r="AE515">
        <f t="shared" si="53"/>
        <v>21432</v>
      </c>
    </row>
    <row r="516" spans="1:31">
      <c r="A516" s="9">
        <v>515</v>
      </c>
      <c r="B516" s="30">
        <v>40566</v>
      </c>
      <c r="C516" s="9">
        <v>1</v>
      </c>
      <c r="D516" s="9">
        <v>0</v>
      </c>
      <c r="E516" s="9">
        <v>1</v>
      </c>
      <c r="F516" s="9">
        <v>13</v>
      </c>
      <c r="G516" s="9" t="b">
        <v>0</v>
      </c>
      <c r="H516" s="9">
        <v>0</v>
      </c>
      <c r="I516" s="9">
        <v>1</v>
      </c>
      <c r="J516" s="9">
        <v>0.14000000000000001</v>
      </c>
      <c r="K516" s="9">
        <v>0.1061</v>
      </c>
      <c r="L516" s="9">
        <v>0.33</v>
      </c>
      <c r="M516" s="9">
        <v>0.3881</v>
      </c>
      <c r="N516" s="9">
        <v>12</v>
      </c>
      <c r="O516" s="9">
        <v>75</v>
      </c>
      <c r="P516" s="9">
        <v>87</v>
      </c>
      <c r="Q516" s="12" t="s">
        <v>78</v>
      </c>
      <c r="R516" s="13" t="s">
        <v>79</v>
      </c>
      <c r="S516" s="9" t="s">
        <v>80</v>
      </c>
      <c r="T516" s="13" t="s">
        <v>81</v>
      </c>
      <c r="U516" s="11" t="s">
        <v>92</v>
      </c>
      <c r="V516" s="13" t="s">
        <v>93</v>
      </c>
      <c r="W516" s="15" t="s">
        <v>84</v>
      </c>
      <c r="X516" s="9" t="s">
        <v>85</v>
      </c>
      <c r="Y516" s="12" t="s">
        <v>86</v>
      </c>
      <c r="Z516">
        <f t="shared" si="49"/>
        <v>334</v>
      </c>
      <c r="AA516" s="39">
        <f t="shared" si="50"/>
        <v>64.144366197183103</v>
      </c>
      <c r="AB516" s="39">
        <f t="shared" si="51"/>
        <v>2639.7491349334673</v>
      </c>
      <c r="AC516">
        <f t="shared" si="48"/>
        <v>0.99980770497329396</v>
      </c>
      <c r="AD516">
        <f t="shared" si="52"/>
        <v>0.99972663271208695</v>
      </c>
      <c r="AE516">
        <f t="shared" si="53"/>
        <v>21432</v>
      </c>
    </row>
    <row r="517" spans="1:31">
      <c r="A517" s="10">
        <v>516</v>
      </c>
      <c r="B517" s="31">
        <v>40566</v>
      </c>
      <c r="C517" s="10">
        <v>1</v>
      </c>
      <c r="D517" s="10">
        <v>0</v>
      </c>
      <c r="E517" s="10">
        <v>1</v>
      </c>
      <c r="F517" s="10">
        <v>14</v>
      </c>
      <c r="G517" s="10" t="b">
        <v>0</v>
      </c>
      <c r="H517" s="10">
        <v>0</v>
      </c>
      <c r="I517" s="10">
        <v>1</v>
      </c>
      <c r="J517" s="10">
        <v>0.16</v>
      </c>
      <c r="K517" s="10">
        <v>0.13639999999999999</v>
      </c>
      <c r="L517" s="10">
        <v>0.28000000000000003</v>
      </c>
      <c r="M517" s="10">
        <v>0.35820000000000002</v>
      </c>
      <c r="N517" s="10">
        <v>17</v>
      </c>
      <c r="O517" s="10">
        <v>93</v>
      </c>
      <c r="P517" s="10">
        <v>110</v>
      </c>
      <c r="Q517" s="12" t="s">
        <v>78</v>
      </c>
      <c r="R517" s="13" t="s">
        <v>79</v>
      </c>
      <c r="S517" s="10" t="s">
        <v>80</v>
      </c>
      <c r="T517" s="13" t="s">
        <v>81</v>
      </c>
      <c r="U517" s="13" t="s">
        <v>94</v>
      </c>
      <c r="V517" s="13" t="s">
        <v>93</v>
      </c>
      <c r="W517" s="15" t="s">
        <v>84</v>
      </c>
      <c r="X517" s="10" t="s">
        <v>85</v>
      </c>
      <c r="Y517" s="12" t="s">
        <v>86</v>
      </c>
      <c r="Z517">
        <f t="shared" si="49"/>
        <v>334</v>
      </c>
      <c r="AA517" s="39">
        <f t="shared" si="50"/>
        <v>64.063604240282686</v>
      </c>
      <c r="AB517" s="39">
        <f t="shared" si="51"/>
        <v>2642.4656589273127</v>
      </c>
      <c r="AC517">
        <f t="shared" si="48"/>
        <v>0.99980800994024055</v>
      </c>
      <c r="AD517">
        <f t="shared" si="52"/>
        <v>0.99972706705885728</v>
      </c>
      <c r="AE517">
        <f t="shared" si="53"/>
        <v>21432</v>
      </c>
    </row>
    <row r="518" spans="1:31">
      <c r="A518" s="9">
        <v>517</v>
      </c>
      <c r="B518" s="30">
        <v>40566</v>
      </c>
      <c r="C518" s="9">
        <v>1</v>
      </c>
      <c r="D518" s="9">
        <v>0</v>
      </c>
      <c r="E518" s="9">
        <v>1</v>
      </c>
      <c r="F518" s="9">
        <v>15</v>
      </c>
      <c r="G518" s="9" t="b">
        <v>0</v>
      </c>
      <c r="H518" s="9">
        <v>0</v>
      </c>
      <c r="I518" s="9">
        <v>1</v>
      </c>
      <c r="J518" s="9">
        <v>0.16</v>
      </c>
      <c r="K518" s="9">
        <v>0.13639999999999999</v>
      </c>
      <c r="L518" s="9">
        <v>0.28000000000000003</v>
      </c>
      <c r="M518" s="9">
        <v>0.35820000000000002</v>
      </c>
      <c r="N518" s="9">
        <v>13</v>
      </c>
      <c r="O518" s="9">
        <v>64</v>
      </c>
      <c r="P518" s="9">
        <v>77</v>
      </c>
      <c r="Q518" s="12" t="s">
        <v>78</v>
      </c>
      <c r="R518" s="13" t="s">
        <v>79</v>
      </c>
      <c r="S518" s="9" t="s">
        <v>80</v>
      </c>
      <c r="T518" s="13" t="s">
        <v>81</v>
      </c>
      <c r="U518" s="13" t="s">
        <v>94</v>
      </c>
      <c r="V518" s="13" t="s">
        <v>93</v>
      </c>
      <c r="W518" s="15" t="s">
        <v>84</v>
      </c>
      <c r="X518" s="9" t="s">
        <v>85</v>
      </c>
      <c r="Y518" s="12" t="s">
        <v>86</v>
      </c>
      <c r="Z518">
        <f t="shared" si="49"/>
        <v>334</v>
      </c>
      <c r="AA518" s="39">
        <f t="shared" si="50"/>
        <v>63.900709219858157</v>
      </c>
      <c r="AB518" s="39">
        <f t="shared" si="51"/>
        <v>2645.1920782108873</v>
      </c>
      <c r="AC518">
        <f t="shared" si="48"/>
        <v>0.99980859446674708</v>
      </c>
      <c r="AD518">
        <f t="shared" si="52"/>
        <v>0.99972806991148666</v>
      </c>
      <c r="AE518">
        <f t="shared" si="53"/>
        <v>21432</v>
      </c>
    </row>
    <row r="519" spans="1:31">
      <c r="A519" s="10">
        <v>518</v>
      </c>
      <c r="B519" s="31">
        <v>40566</v>
      </c>
      <c r="C519" s="10">
        <v>1</v>
      </c>
      <c r="D519" s="10">
        <v>0</v>
      </c>
      <c r="E519" s="10">
        <v>1</v>
      </c>
      <c r="F519" s="10">
        <v>16</v>
      </c>
      <c r="G519" s="10" t="b">
        <v>0</v>
      </c>
      <c r="H519" s="10">
        <v>0</v>
      </c>
      <c r="I519" s="10">
        <v>1</v>
      </c>
      <c r="J519" s="10">
        <v>0.16</v>
      </c>
      <c r="K519" s="10">
        <v>0.13639999999999999</v>
      </c>
      <c r="L519" s="10">
        <v>0.26</v>
      </c>
      <c r="M519" s="10">
        <v>0.32840000000000003</v>
      </c>
      <c r="N519" s="10">
        <v>9</v>
      </c>
      <c r="O519" s="10">
        <v>56</v>
      </c>
      <c r="P519" s="10">
        <v>65</v>
      </c>
      <c r="Q519" s="12" t="s">
        <v>78</v>
      </c>
      <c r="R519" s="13" t="s">
        <v>79</v>
      </c>
      <c r="S519" s="10" t="s">
        <v>80</v>
      </c>
      <c r="T519" s="13" t="s">
        <v>81</v>
      </c>
      <c r="U519" s="13" t="s">
        <v>94</v>
      </c>
      <c r="V519" s="11" t="s">
        <v>87</v>
      </c>
      <c r="W519" s="15" t="s">
        <v>84</v>
      </c>
      <c r="X519" s="10" t="s">
        <v>85</v>
      </c>
      <c r="Y519" s="12" t="s">
        <v>86</v>
      </c>
      <c r="Z519">
        <f t="shared" si="49"/>
        <v>334</v>
      </c>
      <c r="AA519" s="39">
        <f t="shared" si="50"/>
        <v>63.854092526690394</v>
      </c>
      <c r="AB519" s="39">
        <f t="shared" si="51"/>
        <v>2647.9246789574263</v>
      </c>
      <c r="AC519">
        <f t="shared" si="48"/>
        <v>0.99980872698955059</v>
      </c>
      <c r="AD519">
        <f t="shared" si="52"/>
        <v>0.99972843174868486</v>
      </c>
      <c r="AE519">
        <f t="shared" si="53"/>
        <v>21432</v>
      </c>
    </row>
    <row r="520" spans="1:31">
      <c r="A520" s="9">
        <v>519</v>
      </c>
      <c r="B520" s="30">
        <v>40566</v>
      </c>
      <c r="C520" s="9">
        <v>1</v>
      </c>
      <c r="D520" s="9">
        <v>0</v>
      </c>
      <c r="E520" s="9">
        <v>1</v>
      </c>
      <c r="F520" s="9">
        <v>17</v>
      </c>
      <c r="G520" s="9" t="b">
        <v>0</v>
      </c>
      <c r="H520" s="9">
        <v>0</v>
      </c>
      <c r="I520" s="9">
        <v>1</v>
      </c>
      <c r="J520" s="9">
        <v>0.14000000000000001</v>
      </c>
      <c r="K520" s="9">
        <v>0.1061</v>
      </c>
      <c r="L520" s="9">
        <v>0.26</v>
      </c>
      <c r="M520" s="9">
        <v>0.3881</v>
      </c>
      <c r="N520" s="9">
        <v>5</v>
      </c>
      <c r="O520" s="9">
        <v>50</v>
      </c>
      <c r="P520" s="9">
        <v>55</v>
      </c>
      <c r="Q520" s="12" t="s">
        <v>78</v>
      </c>
      <c r="R520" s="13" t="s">
        <v>79</v>
      </c>
      <c r="S520" s="9" t="s">
        <v>80</v>
      </c>
      <c r="T520" s="13" t="s">
        <v>81</v>
      </c>
      <c r="U520" s="15" t="s">
        <v>95</v>
      </c>
      <c r="V520" s="11" t="s">
        <v>87</v>
      </c>
      <c r="W520" s="15" t="s">
        <v>84</v>
      </c>
      <c r="X520" s="9" t="s">
        <v>85</v>
      </c>
      <c r="Y520" s="12" t="s">
        <v>86</v>
      </c>
      <c r="Z520">
        <f t="shared" si="49"/>
        <v>334</v>
      </c>
      <c r="AA520" s="39">
        <f t="shared" si="50"/>
        <v>63.85</v>
      </c>
      <c r="AB520" s="39">
        <f t="shared" si="51"/>
        <v>2650.6647239614517</v>
      </c>
      <c r="AC520">
        <f t="shared" si="48"/>
        <v>0.99980877447224814</v>
      </c>
      <c r="AD520">
        <f t="shared" si="52"/>
        <v>0.99972866286243645</v>
      </c>
      <c r="AE520">
        <f t="shared" si="53"/>
        <v>21432</v>
      </c>
    </row>
    <row r="521" spans="1:31">
      <c r="A521" s="10">
        <v>520</v>
      </c>
      <c r="B521" s="31">
        <v>40566</v>
      </c>
      <c r="C521" s="10">
        <v>1</v>
      </c>
      <c r="D521" s="10">
        <v>0</v>
      </c>
      <c r="E521" s="10">
        <v>1</v>
      </c>
      <c r="F521" s="10">
        <v>18</v>
      </c>
      <c r="G521" s="10" t="b">
        <v>0</v>
      </c>
      <c r="H521" s="10">
        <v>0</v>
      </c>
      <c r="I521" s="10">
        <v>1</v>
      </c>
      <c r="J521" s="10">
        <v>0.12</v>
      </c>
      <c r="K521" s="10">
        <v>0.1212</v>
      </c>
      <c r="L521" s="10">
        <v>0.3</v>
      </c>
      <c r="M521" s="10">
        <v>0.25369999999999998</v>
      </c>
      <c r="N521" s="10">
        <v>5</v>
      </c>
      <c r="O521" s="10">
        <v>44</v>
      </c>
      <c r="P521" s="10">
        <v>49</v>
      </c>
      <c r="Q521" s="12" t="s">
        <v>78</v>
      </c>
      <c r="R521" s="13" t="s">
        <v>79</v>
      </c>
      <c r="S521" s="10" t="s">
        <v>80</v>
      </c>
      <c r="T521" s="13" t="s">
        <v>81</v>
      </c>
      <c r="U521" s="15" t="s">
        <v>95</v>
      </c>
      <c r="V521" s="11" t="s">
        <v>87</v>
      </c>
      <c r="W521" s="15" t="s">
        <v>84</v>
      </c>
      <c r="X521" s="10" t="s">
        <v>85</v>
      </c>
      <c r="Y521" s="12" t="s">
        <v>86</v>
      </c>
      <c r="Z521">
        <f t="shared" si="49"/>
        <v>334</v>
      </c>
      <c r="AA521" s="39">
        <f t="shared" si="50"/>
        <v>63.881720430107528</v>
      </c>
      <c r="AB521" s="39">
        <f t="shared" si="51"/>
        <v>2653.4123352333413</v>
      </c>
      <c r="AC521">
        <f t="shared" si="48"/>
        <v>0.99980880157184304</v>
      </c>
      <c r="AD521">
        <f t="shared" si="52"/>
        <v>0.99972879205663856</v>
      </c>
      <c r="AE521">
        <f t="shared" si="53"/>
        <v>21432</v>
      </c>
    </row>
    <row r="522" spans="1:31">
      <c r="A522" s="9">
        <v>521</v>
      </c>
      <c r="B522" s="30">
        <v>40566</v>
      </c>
      <c r="C522" s="9">
        <v>1</v>
      </c>
      <c r="D522" s="9">
        <v>0</v>
      </c>
      <c r="E522" s="9">
        <v>1</v>
      </c>
      <c r="F522" s="9">
        <v>19</v>
      </c>
      <c r="G522" s="9" t="b">
        <v>0</v>
      </c>
      <c r="H522" s="9">
        <v>0</v>
      </c>
      <c r="I522" s="9">
        <v>1</v>
      </c>
      <c r="J522" s="9">
        <v>0.12</v>
      </c>
      <c r="K522" s="9">
        <v>0.1212</v>
      </c>
      <c r="L522" s="9">
        <v>0.3</v>
      </c>
      <c r="M522" s="9">
        <v>0.28360000000000002</v>
      </c>
      <c r="N522" s="9">
        <v>5</v>
      </c>
      <c r="O522" s="9">
        <v>45</v>
      </c>
      <c r="P522" s="9">
        <v>50</v>
      </c>
      <c r="Q522" s="12" t="s">
        <v>78</v>
      </c>
      <c r="R522" s="13" t="s">
        <v>79</v>
      </c>
      <c r="S522" s="9" t="s">
        <v>80</v>
      </c>
      <c r="T522" s="13" t="s">
        <v>81</v>
      </c>
      <c r="U522" s="15" t="s">
        <v>95</v>
      </c>
      <c r="V522" s="11" t="s">
        <v>87</v>
      </c>
      <c r="W522" s="15" t="s">
        <v>84</v>
      </c>
      <c r="X522" s="9" t="s">
        <v>85</v>
      </c>
      <c r="Y522" s="12" t="s">
        <v>86</v>
      </c>
      <c r="Z522">
        <f t="shared" si="49"/>
        <v>334</v>
      </c>
      <c r="AA522" s="39">
        <f t="shared" si="50"/>
        <v>63.935251798561154</v>
      </c>
      <c r="AB522" s="39">
        <f t="shared" si="51"/>
        <v>2656.1678944988507</v>
      </c>
      <c r="AC522">
        <f t="shared" si="48"/>
        <v>0.99980882733824983</v>
      </c>
      <c r="AD522">
        <f t="shared" si="52"/>
        <v>0.9997288483718344</v>
      </c>
      <c r="AE522">
        <f t="shared" si="53"/>
        <v>21432</v>
      </c>
    </row>
    <row r="523" spans="1:31">
      <c r="A523" s="10">
        <v>522</v>
      </c>
      <c r="B523" s="31">
        <v>40566</v>
      </c>
      <c r="C523" s="10">
        <v>1</v>
      </c>
      <c r="D523" s="10">
        <v>0</v>
      </c>
      <c r="E523" s="10">
        <v>1</v>
      </c>
      <c r="F523" s="10">
        <v>20</v>
      </c>
      <c r="G523" s="10" t="b">
        <v>0</v>
      </c>
      <c r="H523" s="10">
        <v>0</v>
      </c>
      <c r="I523" s="10">
        <v>1</v>
      </c>
      <c r="J523" s="10">
        <v>0.1</v>
      </c>
      <c r="K523" s="10">
        <v>0.1061</v>
      </c>
      <c r="L523" s="10">
        <v>0.36</v>
      </c>
      <c r="M523" s="10">
        <v>0.25369999999999998</v>
      </c>
      <c r="N523" s="10">
        <v>4</v>
      </c>
      <c r="O523" s="10">
        <v>31</v>
      </c>
      <c r="P523" s="10">
        <v>35</v>
      </c>
      <c r="Q523" s="12" t="s">
        <v>78</v>
      </c>
      <c r="R523" s="13" t="s">
        <v>79</v>
      </c>
      <c r="S523" s="10" t="s">
        <v>80</v>
      </c>
      <c r="T523" s="13" t="s">
        <v>81</v>
      </c>
      <c r="U523" s="16" t="s">
        <v>97</v>
      </c>
      <c r="V523" s="11" t="s">
        <v>87</v>
      </c>
      <c r="W523" s="15" t="s">
        <v>84</v>
      </c>
      <c r="X523" s="10" t="s">
        <v>85</v>
      </c>
      <c r="Y523" s="12" t="s">
        <v>86</v>
      </c>
      <c r="Z523">
        <f t="shared" si="49"/>
        <v>334</v>
      </c>
      <c r="AA523" s="39">
        <f t="shared" si="50"/>
        <v>63.985559566787003</v>
      </c>
      <c r="AB523" s="39">
        <f t="shared" si="51"/>
        <v>2658.9321611725013</v>
      </c>
      <c r="AC523">
        <f t="shared" si="48"/>
        <v>0.99980885736471259</v>
      </c>
      <c r="AD523">
        <f t="shared" si="52"/>
        <v>0.99972891095103555</v>
      </c>
      <c r="AE523">
        <f t="shared" si="53"/>
        <v>21432</v>
      </c>
    </row>
    <row r="524" spans="1:31">
      <c r="A524" s="9">
        <v>523</v>
      </c>
      <c r="B524" s="30">
        <v>40566</v>
      </c>
      <c r="C524" s="9">
        <v>1</v>
      </c>
      <c r="D524" s="9">
        <v>0</v>
      </c>
      <c r="E524" s="9">
        <v>1</v>
      </c>
      <c r="F524" s="9">
        <v>21</v>
      </c>
      <c r="G524" s="9" t="b">
        <v>0</v>
      </c>
      <c r="H524" s="9">
        <v>0</v>
      </c>
      <c r="I524" s="9">
        <v>1</v>
      </c>
      <c r="J524" s="9">
        <v>0.1</v>
      </c>
      <c r="K524" s="9">
        <v>0.1061</v>
      </c>
      <c r="L524" s="9">
        <v>0.36</v>
      </c>
      <c r="M524" s="9">
        <v>0.19400000000000001</v>
      </c>
      <c r="N524" s="9">
        <v>5</v>
      </c>
      <c r="O524" s="9">
        <v>20</v>
      </c>
      <c r="P524" s="9">
        <v>25</v>
      </c>
      <c r="Q524" s="12" t="s">
        <v>78</v>
      </c>
      <c r="R524" s="13" t="s">
        <v>79</v>
      </c>
      <c r="S524" s="9" t="s">
        <v>80</v>
      </c>
      <c r="T524" s="13" t="s">
        <v>81</v>
      </c>
      <c r="U524" s="16" t="s">
        <v>97</v>
      </c>
      <c r="V524" s="12" t="s">
        <v>83</v>
      </c>
      <c r="W524" s="15" t="s">
        <v>84</v>
      </c>
      <c r="X524" s="9" t="s">
        <v>85</v>
      </c>
      <c r="Y524" s="12" t="s">
        <v>86</v>
      </c>
      <c r="Z524">
        <f t="shared" si="49"/>
        <v>334</v>
      </c>
      <c r="AA524" s="39">
        <f t="shared" si="50"/>
        <v>64.090579710144922</v>
      </c>
      <c r="AB524" s="39">
        <f t="shared" si="51"/>
        <v>2661.7034189732676</v>
      </c>
      <c r="AC524">
        <f t="shared" si="48"/>
        <v>0.99980886008728231</v>
      </c>
      <c r="AD524">
        <f t="shared" si="52"/>
        <v>0.99972890920343938</v>
      </c>
      <c r="AE524">
        <f t="shared" si="53"/>
        <v>21432</v>
      </c>
    </row>
    <row r="525" spans="1:31">
      <c r="A525" s="10">
        <v>524</v>
      </c>
      <c r="B525" s="31">
        <v>40566</v>
      </c>
      <c r="C525" s="10">
        <v>1</v>
      </c>
      <c r="D525" s="10">
        <v>0</v>
      </c>
      <c r="E525" s="10">
        <v>1</v>
      </c>
      <c r="F525" s="10">
        <v>22</v>
      </c>
      <c r="G525" s="10" t="b">
        <v>0</v>
      </c>
      <c r="H525" s="10">
        <v>0</v>
      </c>
      <c r="I525" s="10">
        <v>1</v>
      </c>
      <c r="J525" s="10">
        <v>0.08</v>
      </c>
      <c r="K525" s="10">
        <v>9.0899999999999995E-2</v>
      </c>
      <c r="L525" s="10">
        <v>0.38</v>
      </c>
      <c r="M525" s="10">
        <v>0.19400000000000001</v>
      </c>
      <c r="N525" s="10">
        <v>5</v>
      </c>
      <c r="O525" s="10">
        <v>23</v>
      </c>
      <c r="P525" s="10">
        <v>28</v>
      </c>
      <c r="Q525" s="12" t="s">
        <v>78</v>
      </c>
      <c r="R525" s="13" t="s">
        <v>79</v>
      </c>
      <c r="S525" s="10" t="s">
        <v>80</v>
      </c>
      <c r="T525" s="13" t="s">
        <v>81</v>
      </c>
      <c r="U525" s="16" t="s">
        <v>97</v>
      </c>
      <c r="V525" s="12" t="s">
        <v>83</v>
      </c>
      <c r="W525" s="15" t="s">
        <v>84</v>
      </c>
      <c r="X525" s="10" t="s">
        <v>85</v>
      </c>
      <c r="Y525" s="12" t="s">
        <v>86</v>
      </c>
      <c r="Z525">
        <f t="shared" si="49"/>
        <v>334</v>
      </c>
      <c r="AA525" s="39">
        <f t="shared" si="50"/>
        <v>64.232727272727274</v>
      </c>
      <c r="AB525" s="39">
        <f t="shared" si="51"/>
        <v>2664.4821528976827</v>
      </c>
      <c r="AC525">
        <f t="shared" si="48"/>
        <v>0.99980886210860342</v>
      </c>
      <c r="AD525">
        <f t="shared" si="52"/>
        <v>0.99972892250202039</v>
      </c>
      <c r="AE525">
        <f t="shared" si="53"/>
        <v>21432</v>
      </c>
    </row>
    <row r="526" spans="1:31">
      <c r="A526" s="9">
        <v>525</v>
      </c>
      <c r="B526" s="30">
        <v>40566</v>
      </c>
      <c r="C526" s="9">
        <v>1</v>
      </c>
      <c r="D526" s="9">
        <v>0</v>
      </c>
      <c r="E526" s="9">
        <v>1</v>
      </c>
      <c r="F526" s="9">
        <v>23</v>
      </c>
      <c r="G526" s="9" t="b">
        <v>0</v>
      </c>
      <c r="H526" s="9">
        <v>0</v>
      </c>
      <c r="I526" s="9">
        <v>1</v>
      </c>
      <c r="J526" s="9">
        <v>0.06</v>
      </c>
      <c r="K526" s="9">
        <v>6.0600000000000001E-2</v>
      </c>
      <c r="L526" s="9">
        <v>0.41</v>
      </c>
      <c r="M526" s="9">
        <v>0.22389999999999999</v>
      </c>
      <c r="N526" s="9">
        <v>4</v>
      </c>
      <c r="O526" s="9">
        <v>17</v>
      </c>
      <c r="P526" s="9">
        <v>21</v>
      </c>
      <c r="Q526" s="12" t="s">
        <v>78</v>
      </c>
      <c r="R526" s="13" t="s">
        <v>79</v>
      </c>
      <c r="S526" s="9" t="s">
        <v>80</v>
      </c>
      <c r="T526" s="13" t="s">
        <v>81</v>
      </c>
      <c r="U526" s="16" t="s">
        <v>97</v>
      </c>
      <c r="V526" s="12" t="s">
        <v>83</v>
      </c>
      <c r="W526" s="15" t="s">
        <v>84</v>
      </c>
      <c r="X526" s="9" t="s">
        <v>85</v>
      </c>
      <c r="Y526" s="12" t="s">
        <v>86</v>
      </c>
      <c r="Z526">
        <f t="shared" si="49"/>
        <v>334</v>
      </c>
      <c r="AA526" s="39">
        <f t="shared" si="50"/>
        <v>64.364963503649633</v>
      </c>
      <c r="AB526" s="39">
        <f t="shared" si="51"/>
        <v>2667.2699792345793</v>
      </c>
      <c r="AC526">
        <f t="shared" si="48"/>
        <v>0.9998088629192452</v>
      </c>
      <c r="AD526">
        <f t="shared" si="52"/>
        <v>0.99972893306881738</v>
      </c>
      <c r="AE526">
        <f t="shared" si="53"/>
        <v>21432</v>
      </c>
    </row>
    <row r="527" spans="1:31">
      <c r="A527" s="10">
        <v>526</v>
      </c>
      <c r="B527" s="31">
        <v>40567</v>
      </c>
      <c r="C527" s="10">
        <v>1</v>
      </c>
      <c r="D527" s="10">
        <v>0</v>
      </c>
      <c r="E527" s="10">
        <v>1</v>
      </c>
      <c r="F527" s="10">
        <v>0</v>
      </c>
      <c r="G527" s="10" t="b">
        <v>0</v>
      </c>
      <c r="H527" s="10">
        <v>1</v>
      </c>
      <c r="I527" s="10">
        <v>1</v>
      </c>
      <c r="J527" s="10">
        <v>0.06</v>
      </c>
      <c r="K527" s="10">
        <v>6.0600000000000001E-2</v>
      </c>
      <c r="L527" s="10">
        <v>0.41</v>
      </c>
      <c r="M527" s="10">
        <v>0.19400000000000001</v>
      </c>
      <c r="N527" s="10">
        <v>0</v>
      </c>
      <c r="O527" s="10">
        <v>7</v>
      </c>
      <c r="P527" s="10">
        <v>7</v>
      </c>
      <c r="Q527" s="13" t="s">
        <v>98</v>
      </c>
      <c r="R527" s="13" t="s">
        <v>79</v>
      </c>
      <c r="S527" s="10" t="s">
        <v>80</v>
      </c>
      <c r="T527" s="13" t="s">
        <v>81</v>
      </c>
      <c r="U527" s="14" t="s">
        <v>82</v>
      </c>
      <c r="V527" s="12" t="s">
        <v>83</v>
      </c>
      <c r="W527" s="15" t="s">
        <v>84</v>
      </c>
      <c r="X527" s="10" t="s">
        <v>85</v>
      </c>
      <c r="Y527" s="13" t="s">
        <v>99</v>
      </c>
      <c r="Z527">
        <f t="shared" si="49"/>
        <v>334</v>
      </c>
      <c r="AA527" s="39">
        <f t="shared" si="50"/>
        <v>64.523809523809518</v>
      </c>
      <c r="AB527" s="39">
        <f t="shared" si="51"/>
        <v>2670.0656938208253</v>
      </c>
      <c r="AC527">
        <f t="shared" si="48"/>
        <v>0.99980886235093613</v>
      </c>
      <c r="AD527">
        <f t="shared" si="52"/>
        <v>0.99972898558168943</v>
      </c>
      <c r="AE527">
        <f t="shared" si="53"/>
        <v>21432</v>
      </c>
    </row>
    <row r="528" spans="1:31">
      <c r="A528" s="9">
        <v>527</v>
      </c>
      <c r="B528" s="30">
        <v>40567</v>
      </c>
      <c r="C528" s="9">
        <v>1</v>
      </c>
      <c r="D528" s="9">
        <v>0</v>
      </c>
      <c r="E528" s="9">
        <v>1</v>
      </c>
      <c r="F528" s="9">
        <v>1</v>
      </c>
      <c r="G528" s="9" t="b">
        <v>0</v>
      </c>
      <c r="H528" s="9">
        <v>1</v>
      </c>
      <c r="I528" s="9">
        <v>1</v>
      </c>
      <c r="J528" s="9">
        <v>0.04</v>
      </c>
      <c r="K528" s="9">
        <v>4.5499999999999999E-2</v>
      </c>
      <c r="L528" s="9">
        <v>0.45</v>
      </c>
      <c r="M528" s="9">
        <v>0.19400000000000001</v>
      </c>
      <c r="N528" s="9">
        <v>0</v>
      </c>
      <c r="O528" s="9">
        <v>1</v>
      </c>
      <c r="P528" s="9">
        <v>1</v>
      </c>
      <c r="Q528" s="13" t="s">
        <v>98</v>
      </c>
      <c r="R528" s="13" t="s">
        <v>79</v>
      </c>
      <c r="S528" s="9" t="s">
        <v>80</v>
      </c>
      <c r="T528" s="13" t="s">
        <v>81</v>
      </c>
      <c r="U528" s="14" t="s">
        <v>82</v>
      </c>
      <c r="V528" s="12" t="s">
        <v>83</v>
      </c>
      <c r="W528" s="15" t="s">
        <v>84</v>
      </c>
      <c r="X528" s="9" t="s">
        <v>85</v>
      </c>
      <c r="Y528" s="13" t="s">
        <v>99</v>
      </c>
      <c r="Z528">
        <f t="shared" si="49"/>
        <v>333</v>
      </c>
      <c r="AA528" s="39">
        <f t="shared" si="50"/>
        <v>64.735294117647058</v>
      </c>
      <c r="AB528" s="39">
        <f t="shared" si="51"/>
        <v>2672.8683345266563</v>
      </c>
      <c r="AC528">
        <f t="shared" ref="AC528:AC591" si="54">CORREL(J528:J1527,P528:P1527)</f>
        <v>0.99980888010940594</v>
      </c>
      <c r="AD528">
        <f t="shared" si="52"/>
        <v>0.99972914673503732</v>
      </c>
      <c r="AE528">
        <f t="shared" si="53"/>
        <v>21425</v>
      </c>
    </row>
    <row r="529" spans="1:31">
      <c r="A529" s="10">
        <v>528</v>
      </c>
      <c r="B529" s="31">
        <v>40567</v>
      </c>
      <c r="C529" s="10">
        <v>1</v>
      </c>
      <c r="D529" s="10">
        <v>0</v>
      </c>
      <c r="E529" s="10">
        <v>1</v>
      </c>
      <c r="F529" s="10">
        <v>3</v>
      </c>
      <c r="G529" s="10" t="b">
        <v>0</v>
      </c>
      <c r="H529" s="10">
        <v>1</v>
      </c>
      <c r="I529" s="10">
        <v>1</v>
      </c>
      <c r="J529" s="10">
        <v>0.04</v>
      </c>
      <c r="K529" s="10">
        <v>3.0300000000000001E-2</v>
      </c>
      <c r="L529" s="10">
        <v>0.45</v>
      </c>
      <c r="M529" s="10">
        <v>0.25369999999999998</v>
      </c>
      <c r="N529" s="10">
        <v>0</v>
      </c>
      <c r="O529" s="10">
        <v>1</v>
      </c>
      <c r="P529" s="10">
        <v>1</v>
      </c>
      <c r="Q529" s="13" t="s">
        <v>98</v>
      </c>
      <c r="R529" s="13" t="s">
        <v>79</v>
      </c>
      <c r="S529" s="10" t="s">
        <v>80</v>
      </c>
      <c r="T529" s="13" t="s">
        <v>81</v>
      </c>
      <c r="U529" s="14" t="s">
        <v>82</v>
      </c>
      <c r="V529" s="12" t="s">
        <v>83</v>
      </c>
      <c r="W529" s="15" t="s">
        <v>84</v>
      </c>
      <c r="X529" s="10" t="s">
        <v>85</v>
      </c>
      <c r="Y529" s="13" t="s">
        <v>99</v>
      </c>
      <c r="Z529">
        <f t="shared" si="49"/>
        <v>332</v>
      </c>
      <c r="AA529" s="39">
        <f t="shared" si="50"/>
        <v>64.970479704797043</v>
      </c>
      <c r="AB529" s="39">
        <f t="shared" si="51"/>
        <v>2675.6789618009825</v>
      </c>
      <c r="AC529">
        <f t="shared" si="54"/>
        <v>0.99980889898594172</v>
      </c>
      <c r="AD529">
        <f t="shared" si="52"/>
        <v>0.99972942188894665</v>
      </c>
      <c r="AE529">
        <f t="shared" si="53"/>
        <v>21424</v>
      </c>
    </row>
    <row r="530" spans="1:31">
      <c r="A530" s="9">
        <v>529</v>
      </c>
      <c r="B530" s="30">
        <v>40567</v>
      </c>
      <c r="C530" s="9">
        <v>1</v>
      </c>
      <c r="D530" s="9">
        <v>0</v>
      </c>
      <c r="E530" s="9">
        <v>1</v>
      </c>
      <c r="F530" s="9">
        <v>4</v>
      </c>
      <c r="G530" s="9" t="b">
        <v>0</v>
      </c>
      <c r="H530" s="9">
        <v>1</v>
      </c>
      <c r="I530" s="9">
        <v>1</v>
      </c>
      <c r="J530" s="9">
        <v>0.02</v>
      </c>
      <c r="K530" s="9">
        <v>6.0600000000000001E-2</v>
      </c>
      <c r="L530" s="9">
        <v>0.48</v>
      </c>
      <c r="M530" s="9">
        <v>0.1343</v>
      </c>
      <c r="N530" s="9">
        <v>0</v>
      </c>
      <c r="O530" s="9">
        <v>1</v>
      </c>
      <c r="P530" s="9">
        <v>1</v>
      </c>
      <c r="Q530" s="13" t="s">
        <v>98</v>
      </c>
      <c r="R530" s="13" t="s">
        <v>79</v>
      </c>
      <c r="S530" s="9" t="s">
        <v>80</v>
      </c>
      <c r="T530" s="13" t="s">
        <v>81</v>
      </c>
      <c r="U530" s="14" t="s">
        <v>82</v>
      </c>
      <c r="V530" s="12" t="s">
        <v>83</v>
      </c>
      <c r="W530" s="15" t="s">
        <v>84</v>
      </c>
      <c r="X530" s="9" t="s">
        <v>85</v>
      </c>
      <c r="Y530" s="13" t="s">
        <v>99</v>
      </c>
      <c r="Z530">
        <f t="shared" si="49"/>
        <v>331</v>
      </c>
      <c r="AA530" s="39">
        <f t="shared" si="50"/>
        <v>65.207407407407402</v>
      </c>
      <c r="AB530" s="39">
        <f t="shared" si="51"/>
        <v>2678.4984740740902</v>
      </c>
      <c r="AC530">
        <f t="shared" si="54"/>
        <v>0.99980891794303617</v>
      </c>
      <c r="AD530">
        <f t="shared" si="52"/>
        <v>0.99972969821498681</v>
      </c>
      <c r="AE530">
        <f t="shared" si="53"/>
        <v>21423</v>
      </c>
    </row>
    <row r="531" spans="1:31">
      <c r="A531" s="10">
        <v>530</v>
      </c>
      <c r="B531" s="31">
        <v>40567</v>
      </c>
      <c r="C531" s="10">
        <v>1</v>
      </c>
      <c r="D531" s="10">
        <v>0</v>
      </c>
      <c r="E531" s="10">
        <v>1</v>
      </c>
      <c r="F531" s="10">
        <v>5</v>
      </c>
      <c r="G531" s="10" t="b">
        <v>0</v>
      </c>
      <c r="H531" s="10">
        <v>1</v>
      </c>
      <c r="I531" s="10">
        <v>1</v>
      </c>
      <c r="J531" s="10">
        <v>0.02</v>
      </c>
      <c r="K531" s="10">
        <v>6.0600000000000001E-2</v>
      </c>
      <c r="L531" s="10">
        <v>0.48</v>
      </c>
      <c r="M531" s="10">
        <v>0.1343</v>
      </c>
      <c r="N531" s="10">
        <v>0</v>
      </c>
      <c r="O531" s="10">
        <v>5</v>
      </c>
      <c r="P531" s="10">
        <v>5</v>
      </c>
      <c r="Q531" s="13" t="s">
        <v>98</v>
      </c>
      <c r="R531" s="13" t="s">
        <v>79</v>
      </c>
      <c r="S531" s="10" t="s">
        <v>80</v>
      </c>
      <c r="T531" s="13" t="s">
        <v>81</v>
      </c>
      <c r="U531" s="15" t="s">
        <v>89</v>
      </c>
      <c r="V531" s="12" t="s">
        <v>83</v>
      </c>
      <c r="W531" s="15" t="s">
        <v>84</v>
      </c>
      <c r="X531" s="10" t="s">
        <v>85</v>
      </c>
      <c r="Y531" s="13" t="s">
        <v>99</v>
      </c>
      <c r="Z531">
        <f t="shared" si="49"/>
        <v>330</v>
      </c>
      <c r="AA531" s="39">
        <f t="shared" si="50"/>
        <v>65.446096654275095</v>
      </c>
      <c r="AB531" s="39">
        <f t="shared" si="51"/>
        <v>2681.326918256389</v>
      </c>
      <c r="AC531">
        <f t="shared" si="54"/>
        <v>0.99980892178051073</v>
      </c>
      <c r="AD531">
        <f t="shared" si="52"/>
        <v>0.99973001572943831</v>
      </c>
      <c r="AE531">
        <f t="shared" si="53"/>
        <v>21422</v>
      </c>
    </row>
    <row r="532" spans="1:31">
      <c r="A532" s="9">
        <v>531</v>
      </c>
      <c r="B532" s="30">
        <v>40567</v>
      </c>
      <c r="C532" s="9">
        <v>1</v>
      </c>
      <c r="D532" s="9">
        <v>0</v>
      </c>
      <c r="E532" s="9">
        <v>1</v>
      </c>
      <c r="F532" s="9">
        <v>6</v>
      </c>
      <c r="G532" s="9" t="b">
        <v>0</v>
      </c>
      <c r="H532" s="9">
        <v>1</v>
      </c>
      <c r="I532" s="9">
        <v>1</v>
      </c>
      <c r="J532" s="9">
        <v>0.02</v>
      </c>
      <c r="K532" s="9">
        <v>7.5800000000000006E-2</v>
      </c>
      <c r="L532" s="9">
        <v>0.48</v>
      </c>
      <c r="M532" s="9">
        <v>8.9599999999999999E-2</v>
      </c>
      <c r="N532" s="9">
        <v>0</v>
      </c>
      <c r="O532" s="9">
        <v>15</v>
      </c>
      <c r="P532" s="9">
        <v>15</v>
      </c>
      <c r="Q532" s="13" t="s">
        <v>98</v>
      </c>
      <c r="R532" s="13" t="s">
        <v>79</v>
      </c>
      <c r="S532" s="9" t="s">
        <v>80</v>
      </c>
      <c r="T532" s="13" t="s">
        <v>81</v>
      </c>
      <c r="U532" s="15" t="s">
        <v>89</v>
      </c>
      <c r="V532" s="12" t="s">
        <v>83</v>
      </c>
      <c r="W532" s="15" t="s">
        <v>84</v>
      </c>
      <c r="X532" s="9" t="s">
        <v>85</v>
      </c>
      <c r="Y532" s="13" t="s">
        <v>99</v>
      </c>
      <c r="Z532">
        <f t="shared" si="49"/>
        <v>329</v>
      </c>
      <c r="AA532" s="39">
        <f t="shared" si="50"/>
        <v>65.671641791044777</v>
      </c>
      <c r="AB532" s="39">
        <f t="shared" si="51"/>
        <v>2684.1649218409634</v>
      </c>
      <c r="AC532">
        <f t="shared" si="54"/>
        <v>0.9998089206849966</v>
      </c>
      <c r="AD532">
        <f t="shared" si="52"/>
        <v>0.99973028189278634</v>
      </c>
      <c r="AE532">
        <f t="shared" si="53"/>
        <v>21417</v>
      </c>
    </row>
    <row r="533" spans="1:31">
      <c r="A533" s="10">
        <v>532</v>
      </c>
      <c r="B533" s="31">
        <v>40567</v>
      </c>
      <c r="C533" s="10">
        <v>1</v>
      </c>
      <c r="D533" s="10">
        <v>0</v>
      </c>
      <c r="E533" s="10">
        <v>1</v>
      </c>
      <c r="F533" s="10">
        <v>7</v>
      </c>
      <c r="G533" s="10" t="b">
        <v>0</v>
      </c>
      <c r="H533" s="10">
        <v>1</v>
      </c>
      <c r="I533" s="10">
        <v>1</v>
      </c>
      <c r="J533" s="10">
        <v>0.02</v>
      </c>
      <c r="K533" s="10">
        <v>0.1212</v>
      </c>
      <c r="L533" s="10">
        <v>0.48</v>
      </c>
      <c r="M533" s="10">
        <v>0</v>
      </c>
      <c r="N533" s="10">
        <v>5</v>
      </c>
      <c r="O533" s="10">
        <v>79</v>
      </c>
      <c r="P533" s="10">
        <v>84</v>
      </c>
      <c r="Q533" s="13" t="s">
        <v>98</v>
      </c>
      <c r="R533" s="13" t="s">
        <v>79</v>
      </c>
      <c r="S533" s="10" t="s">
        <v>80</v>
      </c>
      <c r="T533" s="13" t="s">
        <v>81</v>
      </c>
      <c r="U533" s="15" t="s">
        <v>89</v>
      </c>
      <c r="V533" s="13" t="s">
        <v>93</v>
      </c>
      <c r="W533" s="15" t="s">
        <v>84</v>
      </c>
      <c r="X533" s="10" t="s">
        <v>85</v>
      </c>
      <c r="Y533" s="13" t="s">
        <v>99</v>
      </c>
      <c r="Z533">
        <f t="shared" si="49"/>
        <v>328</v>
      </c>
      <c r="AA533" s="39">
        <f t="shared" si="50"/>
        <v>65.861423220973776</v>
      </c>
      <c r="AB533" s="39">
        <f t="shared" si="51"/>
        <v>2687.0133554468052</v>
      </c>
      <c r="AC533">
        <f t="shared" si="54"/>
        <v>0.99980892790957809</v>
      </c>
      <c r="AD533">
        <f t="shared" si="52"/>
        <v>0.99973043786444693</v>
      </c>
      <c r="AE533">
        <f t="shared" si="53"/>
        <v>21402</v>
      </c>
    </row>
    <row r="534" spans="1:31">
      <c r="A534" s="9">
        <v>533</v>
      </c>
      <c r="B534" s="30">
        <v>40567</v>
      </c>
      <c r="C534" s="9">
        <v>1</v>
      </c>
      <c r="D534" s="9">
        <v>0</v>
      </c>
      <c r="E534" s="9">
        <v>1</v>
      </c>
      <c r="F534" s="9">
        <v>8</v>
      </c>
      <c r="G534" s="9" t="b">
        <v>0</v>
      </c>
      <c r="H534" s="9">
        <v>1</v>
      </c>
      <c r="I534" s="9">
        <v>1</v>
      </c>
      <c r="J534" s="9">
        <v>0.04</v>
      </c>
      <c r="K534" s="9">
        <v>0.13639999999999999</v>
      </c>
      <c r="L534" s="9">
        <v>0.49</v>
      </c>
      <c r="M534" s="9">
        <v>0</v>
      </c>
      <c r="N534" s="9">
        <v>6</v>
      </c>
      <c r="O534" s="9">
        <v>171</v>
      </c>
      <c r="P534" s="9">
        <v>177</v>
      </c>
      <c r="Q534" s="13" t="s">
        <v>98</v>
      </c>
      <c r="R534" s="13" t="s">
        <v>79</v>
      </c>
      <c r="S534" s="9" t="s">
        <v>80</v>
      </c>
      <c r="T534" s="13" t="s">
        <v>81</v>
      </c>
      <c r="U534" s="15" t="s">
        <v>89</v>
      </c>
      <c r="V534" s="13" t="s">
        <v>93</v>
      </c>
      <c r="W534" s="15" t="s">
        <v>84</v>
      </c>
      <c r="X534" s="9" t="s">
        <v>85</v>
      </c>
      <c r="Y534" s="13" t="s">
        <v>99</v>
      </c>
      <c r="Z534">
        <f t="shared" si="49"/>
        <v>327</v>
      </c>
      <c r="AA534" s="39">
        <f t="shared" si="50"/>
        <v>65.793233082706763</v>
      </c>
      <c r="AB534" s="39">
        <f t="shared" si="51"/>
        <v>2689.8783939760215</v>
      </c>
      <c r="AC534">
        <f t="shared" si="54"/>
        <v>0.99980979940396741</v>
      </c>
      <c r="AD534">
        <f t="shared" si="52"/>
        <v>0.99973063127532591</v>
      </c>
      <c r="AE534">
        <f t="shared" si="53"/>
        <v>21318</v>
      </c>
    </row>
    <row r="535" spans="1:31">
      <c r="A535" s="10">
        <v>534</v>
      </c>
      <c r="B535" s="31">
        <v>40567</v>
      </c>
      <c r="C535" s="10">
        <v>1</v>
      </c>
      <c r="D535" s="10">
        <v>0</v>
      </c>
      <c r="E535" s="10">
        <v>1</v>
      </c>
      <c r="F535" s="10">
        <v>9</v>
      </c>
      <c r="G535" s="10" t="b">
        <v>0</v>
      </c>
      <c r="H535" s="10">
        <v>1</v>
      </c>
      <c r="I535" s="10">
        <v>1</v>
      </c>
      <c r="J535" s="10">
        <v>0.06</v>
      </c>
      <c r="K535" s="10">
        <v>0.1515</v>
      </c>
      <c r="L535" s="10">
        <v>0.41</v>
      </c>
      <c r="M535" s="10">
        <v>0</v>
      </c>
      <c r="N535" s="10">
        <v>4</v>
      </c>
      <c r="O535" s="10">
        <v>98</v>
      </c>
      <c r="P535" s="10">
        <v>102</v>
      </c>
      <c r="Q535" s="13" t="s">
        <v>98</v>
      </c>
      <c r="R535" s="13" t="s">
        <v>79</v>
      </c>
      <c r="S535" s="10" t="s">
        <v>80</v>
      </c>
      <c r="T535" s="13" t="s">
        <v>81</v>
      </c>
      <c r="U535" s="15" t="s">
        <v>89</v>
      </c>
      <c r="V535" s="13" t="s">
        <v>93</v>
      </c>
      <c r="W535" s="15" t="s">
        <v>84</v>
      </c>
      <c r="X535" s="10" t="s">
        <v>85</v>
      </c>
      <c r="Y535" s="13" t="s">
        <v>99</v>
      </c>
      <c r="Z535">
        <f t="shared" si="49"/>
        <v>326</v>
      </c>
      <c r="AA535" s="39">
        <f t="shared" si="50"/>
        <v>65.37358490566038</v>
      </c>
      <c r="AB535" s="39">
        <f t="shared" si="51"/>
        <v>2692.7567727939108</v>
      </c>
      <c r="AC535">
        <f t="shared" si="54"/>
        <v>0.99981379287423988</v>
      </c>
      <c r="AD535">
        <f t="shared" si="52"/>
        <v>0.99973306783484184</v>
      </c>
      <c r="AE535">
        <f t="shared" si="53"/>
        <v>21141</v>
      </c>
    </row>
    <row r="536" spans="1:31">
      <c r="A536" s="9">
        <v>535</v>
      </c>
      <c r="B536" s="30">
        <v>40567</v>
      </c>
      <c r="C536" s="9">
        <v>1</v>
      </c>
      <c r="D536" s="9">
        <v>0</v>
      </c>
      <c r="E536" s="9">
        <v>1</v>
      </c>
      <c r="F536" s="9">
        <v>10</v>
      </c>
      <c r="G536" s="9" t="b">
        <v>0</v>
      </c>
      <c r="H536" s="9">
        <v>1</v>
      </c>
      <c r="I536" s="9">
        <v>1</v>
      </c>
      <c r="J536" s="9">
        <v>0.1</v>
      </c>
      <c r="K536" s="9">
        <v>0.13639999999999999</v>
      </c>
      <c r="L536" s="9">
        <v>0.42</v>
      </c>
      <c r="M536" s="9">
        <v>0</v>
      </c>
      <c r="N536" s="9">
        <v>6</v>
      </c>
      <c r="O536" s="9">
        <v>34</v>
      </c>
      <c r="P536" s="9">
        <v>40</v>
      </c>
      <c r="Q536" s="13" t="s">
        <v>98</v>
      </c>
      <c r="R536" s="13" t="s">
        <v>79</v>
      </c>
      <c r="S536" s="9" t="s">
        <v>80</v>
      </c>
      <c r="T536" s="13" t="s">
        <v>81</v>
      </c>
      <c r="U536" s="13" t="s">
        <v>91</v>
      </c>
      <c r="V536" s="11" t="s">
        <v>87</v>
      </c>
      <c r="W536" s="15" t="s">
        <v>84</v>
      </c>
      <c r="X536" s="9" t="s">
        <v>85</v>
      </c>
      <c r="Y536" s="13" t="s">
        <v>99</v>
      </c>
      <c r="Z536">
        <f t="shared" si="49"/>
        <v>325</v>
      </c>
      <c r="AA536" s="39">
        <f t="shared" si="50"/>
        <v>65.234848484848484</v>
      </c>
      <c r="AB536" s="39">
        <f t="shared" si="51"/>
        <v>2695.6415936590911</v>
      </c>
      <c r="AC536">
        <f t="shared" si="54"/>
        <v>0.99981483561039286</v>
      </c>
      <c r="AD536">
        <f t="shared" si="52"/>
        <v>0.99973362864708271</v>
      </c>
      <c r="AE536">
        <f t="shared" si="53"/>
        <v>21039</v>
      </c>
    </row>
    <row r="537" spans="1:31">
      <c r="A537" s="10">
        <v>536</v>
      </c>
      <c r="B537" s="31">
        <v>40567</v>
      </c>
      <c r="C537" s="10">
        <v>1</v>
      </c>
      <c r="D537" s="10">
        <v>0</v>
      </c>
      <c r="E537" s="10">
        <v>1</v>
      </c>
      <c r="F537" s="10">
        <v>11</v>
      </c>
      <c r="G537" s="10" t="b">
        <v>0</v>
      </c>
      <c r="H537" s="10">
        <v>1</v>
      </c>
      <c r="I537" s="10">
        <v>1</v>
      </c>
      <c r="J537" s="10">
        <v>0.1</v>
      </c>
      <c r="K537" s="10">
        <v>0.1212</v>
      </c>
      <c r="L537" s="10">
        <v>0.46</v>
      </c>
      <c r="M537" s="10">
        <v>0.1343</v>
      </c>
      <c r="N537" s="10">
        <v>3</v>
      </c>
      <c r="O537" s="10">
        <v>43</v>
      </c>
      <c r="P537" s="10">
        <v>46</v>
      </c>
      <c r="Q537" s="13" t="s">
        <v>98</v>
      </c>
      <c r="R537" s="13" t="s">
        <v>79</v>
      </c>
      <c r="S537" s="10" t="s">
        <v>80</v>
      </c>
      <c r="T537" s="13" t="s">
        <v>81</v>
      </c>
      <c r="U537" s="13" t="s">
        <v>91</v>
      </c>
      <c r="V537" s="11" t="s">
        <v>87</v>
      </c>
      <c r="W537" s="15" t="s">
        <v>84</v>
      </c>
      <c r="X537" s="10" t="s">
        <v>85</v>
      </c>
      <c r="Y537" s="13" t="s">
        <v>99</v>
      </c>
      <c r="Z537">
        <f t="shared" si="49"/>
        <v>324</v>
      </c>
      <c r="AA537" s="39">
        <f t="shared" si="50"/>
        <v>65.330798479087449</v>
      </c>
      <c r="AB537" s="39">
        <f t="shared" si="51"/>
        <v>2698.5299733136244</v>
      </c>
      <c r="AC537">
        <f t="shared" si="54"/>
        <v>0.99981485171383111</v>
      </c>
      <c r="AD537">
        <f t="shared" si="52"/>
        <v>0.99973362719238812</v>
      </c>
      <c r="AE537">
        <f t="shared" si="53"/>
        <v>20999</v>
      </c>
    </row>
    <row r="538" spans="1:31">
      <c r="A538" s="9">
        <v>537</v>
      </c>
      <c r="B538" s="30">
        <v>40567</v>
      </c>
      <c r="C538" s="9">
        <v>1</v>
      </c>
      <c r="D538" s="9">
        <v>0</v>
      </c>
      <c r="E538" s="9">
        <v>1</v>
      </c>
      <c r="F538" s="9">
        <v>12</v>
      </c>
      <c r="G538" s="9" t="b">
        <v>0</v>
      </c>
      <c r="H538" s="9">
        <v>1</v>
      </c>
      <c r="I538" s="9">
        <v>2</v>
      </c>
      <c r="J538" s="9">
        <v>0.12</v>
      </c>
      <c r="K538" s="9">
        <v>0.13639999999999999</v>
      </c>
      <c r="L538" s="9">
        <v>0.42</v>
      </c>
      <c r="M538" s="9">
        <v>0.19400000000000001</v>
      </c>
      <c r="N538" s="9">
        <v>11</v>
      </c>
      <c r="O538" s="9">
        <v>52</v>
      </c>
      <c r="P538" s="9">
        <v>63</v>
      </c>
      <c r="Q538" s="13" t="s">
        <v>98</v>
      </c>
      <c r="R538" s="13" t="s">
        <v>79</v>
      </c>
      <c r="S538" s="9" t="s">
        <v>80</v>
      </c>
      <c r="T538" s="11" t="s">
        <v>88</v>
      </c>
      <c r="U538" s="11" t="s">
        <v>92</v>
      </c>
      <c r="V538" s="11" t="s">
        <v>87</v>
      </c>
      <c r="W538" s="15" t="s">
        <v>84</v>
      </c>
      <c r="X538" s="9" t="s">
        <v>85</v>
      </c>
      <c r="Y538" s="13" t="s">
        <v>99</v>
      </c>
      <c r="Z538">
        <f t="shared" si="49"/>
        <v>323</v>
      </c>
      <c r="AA538" s="39">
        <f t="shared" si="50"/>
        <v>65.404580152671755</v>
      </c>
      <c r="AB538" s="39">
        <f t="shared" si="51"/>
        <v>2701.4283488003639</v>
      </c>
      <c r="AC538">
        <f t="shared" si="54"/>
        <v>0.99981489254457301</v>
      </c>
      <c r="AD538">
        <f t="shared" si="52"/>
        <v>0.99973362569737567</v>
      </c>
      <c r="AE538">
        <f t="shared" si="53"/>
        <v>20953</v>
      </c>
    </row>
    <row r="539" spans="1:31">
      <c r="A539" s="10">
        <v>538</v>
      </c>
      <c r="B539" s="31">
        <v>40567</v>
      </c>
      <c r="C539" s="10">
        <v>1</v>
      </c>
      <c r="D539" s="10">
        <v>0</v>
      </c>
      <c r="E539" s="10">
        <v>1</v>
      </c>
      <c r="F539" s="10">
        <v>13</v>
      </c>
      <c r="G539" s="10" t="b">
        <v>0</v>
      </c>
      <c r="H539" s="10">
        <v>1</v>
      </c>
      <c r="I539" s="10">
        <v>2</v>
      </c>
      <c r="J539" s="10">
        <v>0.14000000000000001</v>
      </c>
      <c r="K539" s="10">
        <v>0.13639999999999999</v>
      </c>
      <c r="L539" s="10">
        <v>0.43</v>
      </c>
      <c r="M539" s="10">
        <v>0.22389999999999999</v>
      </c>
      <c r="N539" s="10">
        <v>6</v>
      </c>
      <c r="O539" s="10">
        <v>54</v>
      </c>
      <c r="P539" s="10">
        <v>60</v>
      </c>
      <c r="Q539" s="13" t="s">
        <v>98</v>
      </c>
      <c r="R539" s="13" t="s">
        <v>79</v>
      </c>
      <c r="S539" s="10" t="s">
        <v>80</v>
      </c>
      <c r="T539" s="11" t="s">
        <v>88</v>
      </c>
      <c r="U539" s="11" t="s">
        <v>92</v>
      </c>
      <c r="V539" s="11" t="s">
        <v>87</v>
      </c>
      <c r="W539" s="15" t="s">
        <v>84</v>
      </c>
      <c r="X539" s="10" t="s">
        <v>85</v>
      </c>
      <c r="Y539" s="13" t="s">
        <v>99</v>
      </c>
      <c r="Z539">
        <f t="shared" si="49"/>
        <v>322</v>
      </c>
      <c r="AA539" s="39">
        <f t="shared" si="50"/>
        <v>65.404580152671755</v>
      </c>
      <c r="AB539" s="39">
        <f t="shared" si="51"/>
        <v>2704.3378916926945</v>
      </c>
      <c r="AC539">
        <f t="shared" si="54"/>
        <v>0.99981500942325774</v>
      </c>
      <c r="AD539">
        <f t="shared" si="52"/>
        <v>0.99973369427485037</v>
      </c>
      <c r="AE539">
        <f t="shared" si="53"/>
        <v>20890</v>
      </c>
    </row>
    <row r="540" spans="1:31">
      <c r="A540" s="9">
        <v>539</v>
      </c>
      <c r="B540" s="30">
        <v>40567</v>
      </c>
      <c r="C540" s="9">
        <v>1</v>
      </c>
      <c r="D540" s="9">
        <v>0</v>
      </c>
      <c r="E540" s="9">
        <v>1</v>
      </c>
      <c r="F540" s="9">
        <v>14</v>
      </c>
      <c r="G540" s="9" t="b">
        <v>0</v>
      </c>
      <c r="H540" s="9">
        <v>1</v>
      </c>
      <c r="I540" s="9">
        <v>2</v>
      </c>
      <c r="J540" s="9">
        <v>0.14000000000000001</v>
      </c>
      <c r="K540" s="9">
        <v>0.13639999999999999</v>
      </c>
      <c r="L540" s="9">
        <v>0.46</v>
      </c>
      <c r="M540" s="9">
        <v>0.22389999999999999</v>
      </c>
      <c r="N540" s="9">
        <v>2</v>
      </c>
      <c r="O540" s="9">
        <v>43</v>
      </c>
      <c r="P540" s="9">
        <v>45</v>
      </c>
      <c r="Q540" s="13" t="s">
        <v>98</v>
      </c>
      <c r="R540" s="13" t="s">
        <v>79</v>
      </c>
      <c r="S540" s="9" t="s">
        <v>80</v>
      </c>
      <c r="T540" s="11" t="s">
        <v>88</v>
      </c>
      <c r="U540" s="13" t="s">
        <v>94</v>
      </c>
      <c r="V540" s="11" t="s">
        <v>87</v>
      </c>
      <c r="W540" s="15" t="s">
        <v>84</v>
      </c>
      <c r="X540" s="9" t="s">
        <v>85</v>
      </c>
      <c r="Y540" s="13" t="s">
        <v>99</v>
      </c>
      <c r="Z540">
        <f t="shared" si="49"/>
        <v>321</v>
      </c>
      <c r="AA540" s="39">
        <f t="shared" si="50"/>
        <v>65.404580152671755</v>
      </c>
      <c r="AB540" s="39">
        <f t="shared" si="51"/>
        <v>2707.2565526832709</v>
      </c>
      <c r="AC540">
        <f t="shared" si="54"/>
        <v>0.99981506539451104</v>
      </c>
      <c r="AD540">
        <f t="shared" si="52"/>
        <v>0.99973373968426704</v>
      </c>
      <c r="AE540">
        <f t="shared" si="53"/>
        <v>20830</v>
      </c>
    </row>
    <row r="541" spans="1:31">
      <c r="A541" s="10">
        <v>540</v>
      </c>
      <c r="B541" s="31">
        <v>40567</v>
      </c>
      <c r="C541" s="10">
        <v>1</v>
      </c>
      <c r="D541" s="10">
        <v>0</v>
      </c>
      <c r="E541" s="10">
        <v>1</v>
      </c>
      <c r="F541" s="10">
        <v>15</v>
      </c>
      <c r="G541" s="10" t="b">
        <v>0</v>
      </c>
      <c r="H541" s="10">
        <v>1</v>
      </c>
      <c r="I541" s="10">
        <v>1</v>
      </c>
      <c r="J541" s="10">
        <v>0.16</v>
      </c>
      <c r="K541" s="10">
        <v>0.16669999999999999</v>
      </c>
      <c r="L541" s="10">
        <v>0.4</v>
      </c>
      <c r="M541" s="10">
        <v>0.16420000000000001</v>
      </c>
      <c r="N541" s="10">
        <v>7</v>
      </c>
      <c r="O541" s="10">
        <v>50</v>
      </c>
      <c r="P541" s="10">
        <v>57</v>
      </c>
      <c r="Q541" s="13" t="s">
        <v>98</v>
      </c>
      <c r="R541" s="13" t="s">
        <v>79</v>
      </c>
      <c r="S541" s="10" t="s">
        <v>80</v>
      </c>
      <c r="T541" s="13" t="s">
        <v>81</v>
      </c>
      <c r="U541" s="13" t="s">
        <v>94</v>
      </c>
      <c r="V541" s="11" t="s">
        <v>87</v>
      </c>
      <c r="W541" s="15" t="s">
        <v>84</v>
      </c>
      <c r="X541" s="10" t="s">
        <v>85</v>
      </c>
      <c r="Y541" s="13" t="s">
        <v>99</v>
      </c>
      <c r="Z541">
        <f t="shared" si="49"/>
        <v>320</v>
      </c>
      <c r="AA541" s="39">
        <f t="shared" si="50"/>
        <v>65.404580152671755</v>
      </c>
      <c r="AB541" s="39">
        <f t="shared" si="51"/>
        <v>2710.1830544167769</v>
      </c>
      <c r="AC541">
        <f t="shared" si="54"/>
        <v>0.99981506746709847</v>
      </c>
      <c r="AD541">
        <f t="shared" si="52"/>
        <v>0.99973373808001276</v>
      </c>
      <c r="AE541">
        <f t="shared" si="53"/>
        <v>20785</v>
      </c>
    </row>
    <row r="542" spans="1:31">
      <c r="A542" s="9">
        <v>541</v>
      </c>
      <c r="B542" s="30">
        <v>40567</v>
      </c>
      <c r="C542" s="9">
        <v>1</v>
      </c>
      <c r="D542" s="9">
        <v>0</v>
      </c>
      <c r="E542" s="9">
        <v>1</v>
      </c>
      <c r="F542" s="9">
        <v>16</v>
      </c>
      <c r="G542" s="9" t="b">
        <v>0</v>
      </c>
      <c r="H542" s="9">
        <v>1</v>
      </c>
      <c r="I542" s="9">
        <v>1</v>
      </c>
      <c r="J542" s="9">
        <v>0.16</v>
      </c>
      <c r="K542" s="9">
        <v>0.1515</v>
      </c>
      <c r="L542" s="9">
        <v>0.47</v>
      </c>
      <c r="M542" s="9">
        <v>0.25369999999999998</v>
      </c>
      <c r="N542" s="9">
        <v>4</v>
      </c>
      <c r="O542" s="9">
        <v>66</v>
      </c>
      <c r="P542" s="9">
        <v>70</v>
      </c>
      <c r="Q542" s="13" t="s">
        <v>98</v>
      </c>
      <c r="R542" s="13" t="s">
        <v>79</v>
      </c>
      <c r="S542" s="9" t="s">
        <v>80</v>
      </c>
      <c r="T542" s="13" t="s">
        <v>81</v>
      </c>
      <c r="U542" s="13" t="s">
        <v>94</v>
      </c>
      <c r="V542" s="13" t="s">
        <v>93</v>
      </c>
      <c r="W542" s="15" t="s">
        <v>84</v>
      </c>
      <c r="X542" s="9" t="s">
        <v>85</v>
      </c>
      <c r="Y542" s="13" t="s">
        <v>99</v>
      </c>
      <c r="Z542">
        <f t="shared" si="49"/>
        <v>319</v>
      </c>
      <c r="AA542" s="39">
        <f t="shared" si="50"/>
        <v>65.436781609195407</v>
      </c>
      <c r="AB542" s="39">
        <f t="shared" si="51"/>
        <v>2713.1203897467663</v>
      </c>
      <c r="AC542">
        <f t="shared" si="54"/>
        <v>0.99981508440147593</v>
      </c>
      <c r="AD542">
        <f t="shared" si="52"/>
        <v>0.99973378363149135</v>
      </c>
      <c r="AE542">
        <f t="shared" si="53"/>
        <v>20728</v>
      </c>
    </row>
    <row r="543" spans="1:31">
      <c r="A543" s="10">
        <v>542</v>
      </c>
      <c r="B543" s="31">
        <v>40567</v>
      </c>
      <c r="C543" s="10">
        <v>1</v>
      </c>
      <c r="D543" s="10">
        <v>0</v>
      </c>
      <c r="E543" s="10">
        <v>1</v>
      </c>
      <c r="F543" s="10">
        <v>17</v>
      </c>
      <c r="G543" s="10" t="b">
        <v>0</v>
      </c>
      <c r="H543" s="10">
        <v>1</v>
      </c>
      <c r="I543" s="10">
        <v>1</v>
      </c>
      <c r="J543" s="10">
        <v>0.14000000000000001</v>
      </c>
      <c r="K543" s="10">
        <v>0.1212</v>
      </c>
      <c r="L543" s="10">
        <v>0.5</v>
      </c>
      <c r="M543" s="10">
        <v>0.25369999999999998</v>
      </c>
      <c r="N543" s="10">
        <v>6</v>
      </c>
      <c r="O543" s="10">
        <v>178</v>
      </c>
      <c r="P543" s="10">
        <v>184</v>
      </c>
      <c r="Q543" s="13" t="s">
        <v>98</v>
      </c>
      <c r="R543" s="13" t="s">
        <v>79</v>
      </c>
      <c r="S543" s="10" t="s">
        <v>80</v>
      </c>
      <c r="T543" s="13" t="s">
        <v>81</v>
      </c>
      <c r="U543" s="15" t="s">
        <v>95</v>
      </c>
      <c r="V543" s="13" t="s">
        <v>93</v>
      </c>
      <c r="W543" s="15" t="s">
        <v>84</v>
      </c>
      <c r="X543" s="10" t="s">
        <v>85</v>
      </c>
      <c r="Y543" s="13" t="s">
        <v>99</v>
      </c>
      <c r="Z543">
        <f t="shared" si="49"/>
        <v>318</v>
      </c>
      <c r="AA543" s="39">
        <f t="shared" si="50"/>
        <v>65.419230769230765</v>
      </c>
      <c r="AB543" s="39">
        <f t="shared" si="51"/>
        <v>2716.0686030736142</v>
      </c>
      <c r="AC543">
        <f t="shared" si="54"/>
        <v>0.99981516898801759</v>
      </c>
      <c r="AD543">
        <f t="shared" si="52"/>
        <v>0.99973386661390995</v>
      </c>
      <c r="AE543">
        <f t="shared" si="53"/>
        <v>20658</v>
      </c>
    </row>
    <row r="544" spans="1:31">
      <c r="A544" s="9">
        <v>543</v>
      </c>
      <c r="B544" s="30">
        <v>40567</v>
      </c>
      <c r="C544" s="9">
        <v>1</v>
      </c>
      <c r="D544" s="9">
        <v>0</v>
      </c>
      <c r="E544" s="9">
        <v>1</v>
      </c>
      <c r="F544" s="9">
        <v>18</v>
      </c>
      <c r="G544" s="9" t="b">
        <v>0</v>
      </c>
      <c r="H544" s="9">
        <v>1</v>
      </c>
      <c r="I544" s="9">
        <v>1</v>
      </c>
      <c r="J544" s="9">
        <v>0.14000000000000001</v>
      </c>
      <c r="K544" s="9">
        <v>0.13639999999999999</v>
      </c>
      <c r="L544" s="9">
        <v>0.59</v>
      </c>
      <c r="M544" s="9">
        <v>0.19400000000000001</v>
      </c>
      <c r="N544" s="9">
        <v>8</v>
      </c>
      <c r="O544" s="9">
        <v>145</v>
      </c>
      <c r="P544" s="9">
        <v>153</v>
      </c>
      <c r="Q544" s="13" t="s">
        <v>98</v>
      </c>
      <c r="R544" s="13" t="s">
        <v>79</v>
      </c>
      <c r="S544" s="9" t="s">
        <v>80</v>
      </c>
      <c r="T544" s="13" t="s">
        <v>81</v>
      </c>
      <c r="U544" s="15" t="s">
        <v>95</v>
      </c>
      <c r="V544" s="13" t="s">
        <v>93</v>
      </c>
      <c r="W544" s="15" t="s">
        <v>84</v>
      </c>
      <c r="X544" s="9" t="s">
        <v>85</v>
      </c>
      <c r="Y544" s="13" t="s">
        <v>99</v>
      </c>
      <c r="Z544">
        <f t="shared" si="49"/>
        <v>317</v>
      </c>
      <c r="AA544" s="39">
        <f t="shared" si="50"/>
        <v>64.961389961389955</v>
      </c>
      <c r="AB544" s="39">
        <f t="shared" si="51"/>
        <v>2719.032117462471</v>
      </c>
      <c r="AC544">
        <f t="shared" si="54"/>
        <v>0.99981822669221632</v>
      </c>
      <c r="AD544">
        <f t="shared" si="52"/>
        <v>0.9997365597403618</v>
      </c>
      <c r="AE544">
        <f t="shared" si="53"/>
        <v>20474</v>
      </c>
    </row>
    <row r="545" spans="1:31">
      <c r="A545" s="10">
        <v>544</v>
      </c>
      <c r="B545" s="31">
        <v>40567</v>
      </c>
      <c r="C545" s="10">
        <v>1</v>
      </c>
      <c r="D545" s="10">
        <v>0</v>
      </c>
      <c r="E545" s="10">
        <v>1</v>
      </c>
      <c r="F545" s="10">
        <v>19</v>
      </c>
      <c r="G545" s="10" t="b">
        <v>0</v>
      </c>
      <c r="H545" s="10">
        <v>1</v>
      </c>
      <c r="I545" s="10">
        <v>1</v>
      </c>
      <c r="J545" s="10">
        <v>0.14000000000000001</v>
      </c>
      <c r="K545" s="10">
        <v>0.1515</v>
      </c>
      <c r="L545" s="10">
        <v>0.54</v>
      </c>
      <c r="M545" s="10">
        <v>0.16420000000000001</v>
      </c>
      <c r="N545" s="10">
        <v>5</v>
      </c>
      <c r="O545" s="10">
        <v>101</v>
      </c>
      <c r="P545" s="10">
        <v>106</v>
      </c>
      <c r="Q545" s="13" t="s">
        <v>98</v>
      </c>
      <c r="R545" s="13" t="s">
        <v>79</v>
      </c>
      <c r="S545" s="10" t="s">
        <v>80</v>
      </c>
      <c r="T545" s="13" t="s">
        <v>81</v>
      </c>
      <c r="U545" s="15" t="s">
        <v>95</v>
      </c>
      <c r="V545" s="13" t="s">
        <v>93</v>
      </c>
      <c r="W545" s="15" t="s">
        <v>84</v>
      </c>
      <c r="X545" s="10" t="s">
        <v>85</v>
      </c>
      <c r="Y545" s="13" t="s">
        <v>99</v>
      </c>
      <c r="Z545">
        <f t="shared" si="49"/>
        <v>316</v>
      </c>
      <c r="AA545" s="39">
        <f t="shared" si="50"/>
        <v>64.620155038759691</v>
      </c>
      <c r="AB545" s="39">
        <f t="shared" si="51"/>
        <v>2722.0048464904867</v>
      </c>
      <c r="AC545">
        <f t="shared" si="54"/>
        <v>0.99982011808195626</v>
      </c>
      <c r="AD545">
        <f t="shared" si="52"/>
        <v>0.99973790037417898</v>
      </c>
      <c r="AE545">
        <f t="shared" si="53"/>
        <v>20321</v>
      </c>
    </row>
    <row r="546" spans="1:31">
      <c r="A546" s="9">
        <v>545</v>
      </c>
      <c r="B546" s="30">
        <v>40567</v>
      </c>
      <c r="C546" s="9">
        <v>1</v>
      </c>
      <c r="D546" s="9">
        <v>0</v>
      </c>
      <c r="E546" s="9">
        <v>1</v>
      </c>
      <c r="F546" s="9">
        <v>20</v>
      </c>
      <c r="G546" s="9" t="b">
        <v>0</v>
      </c>
      <c r="H546" s="9">
        <v>1</v>
      </c>
      <c r="I546" s="9">
        <v>1</v>
      </c>
      <c r="J546" s="9">
        <v>0.14000000000000001</v>
      </c>
      <c r="K546" s="9">
        <v>0.13639999999999999</v>
      </c>
      <c r="L546" s="9">
        <v>0.59</v>
      </c>
      <c r="M546" s="9">
        <v>0.19400000000000001</v>
      </c>
      <c r="N546" s="9">
        <v>1</v>
      </c>
      <c r="O546" s="9">
        <v>80</v>
      </c>
      <c r="P546" s="9">
        <v>81</v>
      </c>
      <c r="Q546" s="13" t="s">
        <v>98</v>
      </c>
      <c r="R546" s="13" t="s">
        <v>79</v>
      </c>
      <c r="S546" s="9" t="s">
        <v>80</v>
      </c>
      <c r="T546" s="13" t="s">
        <v>81</v>
      </c>
      <c r="U546" s="16" t="s">
        <v>97</v>
      </c>
      <c r="V546" s="13" t="s">
        <v>93</v>
      </c>
      <c r="W546" s="15" t="s">
        <v>84</v>
      </c>
      <c r="X546" s="9" t="s">
        <v>85</v>
      </c>
      <c r="Y546" s="13" t="s">
        <v>99</v>
      </c>
      <c r="Z546">
        <f t="shared" si="49"/>
        <v>315</v>
      </c>
      <c r="AA546" s="39">
        <f t="shared" si="50"/>
        <v>64.459143968871601</v>
      </c>
      <c r="AB546" s="39">
        <f t="shared" si="51"/>
        <v>2724.9850961928414</v>
      </c>
      <c r="AC546">
        <f t="shared" si="54"/>
        <v>0.99982076817351606</v>
      </c>
      <c r="AD546">
        <f t="shared" si="52"/>
        <v>0.99973832168229404</v>
      </c>
      <c r="AE546">
        <f t="shared" si="53"/>
        <v>20215</v>
      </c>
    </row>
    <row r="547" spans="1:31">
      <c r="A547" s="10">
        <v>546</v>
      </c>
      <c r="B547" s="31">
        <v>40567</v>
      </c>
      <c r="C547" s="10">
        <v>1</v>
      </c>
      <c r="D547" s="10">
        <v>0</v>
      </c>
      <c r="E547" s="10">
        <v>1</v>
      </c>
      <c r="F547" s="10">
        <v>21</v>
      </c>
      <c r="G547" s="10" t="b">
        <v>0</v>
      </c>
      <c r="H547" s="10">
        <v>1</v>
      </c>
      <c r="I547" s="10">
        <v>1</v>
      </c>
      <c r="J547" s="10">
        <v>0.14000000000000001</v>
      </c>
      <c r="K547" s="10">
        <v>0.1515</v>
      </c>
      <c r="L547" s="10">
        <v>0.63</v>
      </c>
      <c r="M547" s="10">
        <v>0.16420000000000001</v>
      </c>
      <c r="N547" s="10">
        <v>6</v>
      </c>
      <c r="O547" s="10">
        <v>53</v>
      </c>
      <c r="P547" s="10">
        <v>59</v>
      </c>
      <c r="Q547" s="13" t="s">
        <v>98</v>
      </c>
      <c r="R547" s="13" t="s">
        <v>79</v>
      </c>
      <c r="S547" s="10" t="s">
        <v>80</v>
      </c>
      <c r="T547" s="13" t="s">
        <v>81</v>
      </c>
      <c r="U547" s="16" t="s">
        <v>97</v>
      </c>
      <c r="V547" s="11" t="s">
        <v>87</v>
      </c>
      <c r="W547" s="15" t="s">
        <v>84</v>
      </c>
      <c r="X547" s="10" t="s">
        <v>85</v>
      </c>
      <c r="Y547" s="13" t="s">
        <v>99</v>
      </c>
      <c r="Z547">
        <f t="shared" si="49"/>
        <v>314</v>
      </c>
      <c r="AA547" s="39">
        <f t="shared" si="50"/>
        <v>64.39453125</v>
      </c>
      <c r="AB547" s="39">
        <f t="shared" si="51"/>
        <v>2727.9732273830123</v>
      </c>
      <c r="AC547">
        <f t="shared" si="54"/>
        <v>0.99982102169845055</v>
      </c>
      <c r="AD547">
        <f t="shared" si="52"/>
        <v>0.99973840249651669</v>
      </c>
      <c r="AE547">
        <f t="shared" si="53"/>
        <v>20134</v>
      </c>
    </row>
    <row r="548" spans="1:31">
      <c r="A548" s="9">
        <v>547</v>
      </c>
      <c r="B548" s="30">
        <v>40567</v>
      </c>
      <c r="C548" s="9">
        <v>1</v>
      </c>
      <c r="D548" s="9">
        <v>0</v>
      </c>
      <c r="E548" s="9">
        <v>1</v>
      </c>
      <c r="F548" s="9">
        <v>22</v>
      </c>
      <c r="G548" s="9" t="b">
        <v>0</v>
      </c>
      <c r="H548" s="9">
        <v>1</v>
      </c>
      <c r="I548" s="9">
        <v>2</v>
      </c>
      <c r="J548" s="9">
        <v>0.14000000000000001</v>
      </c>
      <c r="K548" s="9">
        <v>0.13639999999999999</v>
      </c>
      <c r="L548" s="9">
        <v>0.63</v>
      </c>
      <c r="M548" s="9">
        <v>0.22389999999999999</v>
      </c>
      <c r="N548" s="9">
        <v>3</v>
      </c>
      <c r="O548" s="9">
        <v>32</v>
      </c>
      <c r="P548" s="9">
        <v>35</v>
      </c>
      <c r="Q548" s="13" t="s">
        <v>98</v>
      </c>
      <c r="R548" s="13" t="s">
        <v>79</v>
      </c>
      <c r="S548" s="9" t="s">
        <v>80</v>
      </c>
      <c r="T548" s="11" t="s">
        <v>88</v>
      </c>
      <c r="U548" s="16" t="s">
        <v>97</v>
      </c>
      <c r="V548" s="11" t="s">
        <v>87</v>
      </c>
      <c r="W548" s="15" t="s">
        <v>84</v>
      </c>
      <c r="X548" s="9" t="s">
        <v>85</v>
      </c>
      <c r="Y548" s="13" t="s">
        <v>99</v>
      </c>
      <c r="Z548">
        <f t="shared" si="49"/>
        <v>313</v>
      </c>
      <c r="AA548" s="39">
        <f t="shared" si="50"/>
        <v>64.41568627450981</v>
      </c>
      <c r="AB548" s="39">
        <f t="shared" si="51"/>
        <v>2730.9690887489692</v>
      </c>
      <c r="AC548">
        <f t="shared" si="54"/>
        <v>0.99982107724365732</v>
      </c>
      <c r="AD548">
        <f t="shared" si="52"/>
        <v>0.99973840207483544</v>
      </c>
      <c r="AE548">
        <f t="shared" si="53"/>
        <v>20075</v>
      </c>
    </row>
    <row r="549" spans="1:31">
      <c r="A549" s="10">
        <v>548</v>
      </c>
      <c r="B549" s="31">
        <v>40567</v>
      </c>
      <c r="C549" s="10">
        <v>1</v>
      </c>
      <c r="D549" s="10">
        <v>0</v>
      </c>
      <c r="E549" s="10">
        <v>1</v>
      </c>
      <c r="F549" s="10">
        <v>23</v>
      </c>
      <c r="G549" s="10" t="b">
        <v>0</v>
      </c>
      <c r="H549" s="10">
        <v>1</v>
      </c>
      <c r="I549" s="10">
        <v>2</v>
      </c>
      <c r="J549" s="10">
        <v>0.16</v>
      </c>
      <c r="K549" s="10">
        <v>0.1515</v>
      </c>
      <c r="L549" s="10">
        <v>0.64</v>
      </c>
      <c r="M549" s="10">
        <v>0.25369999999999998</v>
      </c>
      <c r="N549" s="10">
        <v>3</v>
      </c>
      <c r="O549" s="10">
        <v>21</v>
      </c>
      <c r="P549" s="10">
        <v>24</v>
      </c>
      <c r="Q549" s="13" t="s">
        <v>98</v>
      </c>
      <c r="R549" s="13" t="s">
        <v>79</v>
      </c>
      <c r="S549" s="10" t="s">
        <v>80</v>
      </c>
      <c r="T549" s="11" t="s">
        <v>88</v>
      </c>
      <c r="U549" s="16" t="s">
        <v>97</v>
      </c>
      <c r="V549" s="12" t="s">
        <v>83</v>
      </c>
      <c r="W549" s="15" t="s">
        <v>84</v>
      </c>
      <c r="X549" s="10" t="s">
        <v>85</v>
      </c>
      <c r="Y549" s="13" t="s">
        <v>99</v>
      </c>
      <c r="Z549">
        <f t="shared" si="49"/>
        <v>312</v>
      </c>
      <c r="AA549" s="39">
        <f t="shared" si="50"/>
        <v>64.41568627450981</v>
      </c>
      <c r="AB549" s="39">
        <f t="shared" si="51"/>
        <v>2733.9720728137759</v>
      </c>
      <c r="AC549">
        <f t="shared" si="54"/>
        <v>0.99982107888170002</v>
      </c>
      <c r="AD549">
        <f t="shared" si="52"/>
        <v>0.99973850387886642</v>
      </c>
      <c r="AE549">
        <f t="shared" si="53"/>
        <v>20040</v>
      </c>
    </row>
    <row r="550" spans="1:31">
      <c r="A550" s="9">
        <v>549</v>
      </c>
      <c r="B550" s="30">
        <v>40568</v>
      </c>
      <c r="C550" s="9">
        <v>1</v>
      </c>
      <c r="D550" s="9">
        <v>0</v>
      </c>
      <c r="E550" s="9">
        <v>1</v>
      </c>
      <c r="F550" s="9">
        <v>0</v>
      </c>
      <c r="G550" s="9" t="b">
        <v>0</v>
      </c>
      <c r="H550" s="9">
        <v>2</v>
      </c>
      <c r="I550" s="9">
        <v>2</v>
      </c>
      <c r="J550" s="9">
        <v>0.16</v>
      </c>
      <c r="K550" s="9">
        <v>0.13639999999999999</v>
      </c>
      <c r="L550" s="9">
        <v>0.69</v>
      </c>
      <c r="M550" s="9">
        <v>0.28360000000000002</v>
      </c>
      <c r="N550" s="9">
        <v>3</v>
      </c>
      <c r="O550" s="9">
        <v>6</v>
      </c>
      <c r="P550" s="9">
        <v>9</v>
      </c>
      <c r="Q550" s="13" t="s">
        <v>98</v>
      </c>
      <c r="R550" s="13" t="s">
        <v>79</v>
      </c>
      <c r="S550" s="9" t="s">
        <v>80</v>
      </c>
      <c r="T550" s="11" t="s">
        <v>88</v>
      </c>
      <c r="U550" s="14" t="s">
        <v>82</v>
      </c>
      <c r="V550" s="12" t="s">
        <v>83</v>
      </c>
      <c r="W550" s="15" t="s">
        <v>84</v>
      </c>
      <c r="X550" s="9" t="s">
        <v>85</v>
      </c>
      <c r="Y550" s="13" t="s">
        <v>99</v>
      </c>
      <c r="Z550">
        <f t="shared" si="49"/>
        <v>311</v>
      </c>
      <c r="AA550" s="39">
        <f t="shared" si="50"/>
        <v>64.41568627450981</v>
      </c>
      <c r="AB550" s="39">
        <f t="shared" si="51"/>
        <v>2736.9835553385119</v>
      </c>
      <c r="AC550">
        <f t="shared" si="54"/>
        <v>0.99982114333779271</v>
      </c>
      <c r="AD550">
        <f t="shared" si="52"/>
        <v>0.99973872140937781</v>
      </c>
      <c r="AE550">
        <f t="shared" si="53"/>
        <v>20016</v>
      </c>
    </row>
    <row r="551" spans="1:31">
      <c r="A551" s="10">
        <v>550</v>
      </c>
      <c r="B551" s="31">
        <v>40568</v>
      </c>
      <c r="C551" s="10">
        <v>1</v>
      </c>
      <c r="D551" s="10">
        <v>0</v>
      </c>
      <c r="E551" s="10">
        <v>1</v>
      </c>
      <c r="F551" s="10">
        <v>1</v>
      </c>
      <c r="G551" s="10" t="b">
        <v>0</v>
      </c>
      <c r="H551" s="10">
        <v>2</v>
      </c>
      <c r="I551" s="10">
        <v>2</v>
      </c>
      <c r="J551" s="10">
        <v>0.16</v>
      </c>
      <c r="K551" s="10">
        <v>0.16669999999999999</v>
      </c>
      <c r="L551" s="10">
        <v>0.69</v>
      </c>
      <c r="M551" s="10">
        <v>0.16420000000000001</v>
      </c>
      <c r="N551" s="10">
        <v>0</v>
      </c>
      <c r="O551" s="10">
        <v>5</v>
      </c>
      <c r="P551" s="10">
        <v>5</v>
      </c>
      <c r="Q551" s="13" t="s">
        <v>98</v>
      </c>
      <c r="R551" s="13" t="s">
        <v>79</v>
      </c>
      <c r="S551" s="10" t="s">
        <v>80</v>
      </c>
      <c r="T551" s="11" t="s">
        <v>88</v>
      </c>
      <c r="U551" s="14" t="s">
        <v>82</v>
      </c>
      <c r="V551" s="12" t="s">
        <v>83</v>
      </c>
      <c r="W551" s="15" t="s">
        <v>84</v>
      </c>
      <c r="X551" s="10" t="s">
        <v>85</v>
      </c>
      <c r="Y551" s="13" t="s">
        <v>99</v>
      </c>
      <c r="Z551">
        <f t="shared" si="49"/>
        <v>310</v>
      </c>
      <c r="AA551" s="39">
        <f t="shared" si="50"/>
        <v>64.41568627450981</v>
      </c>
      <c r="AB551" s="39">
        <f t="shared" si="51"/>
        <v>2740.0028969942996</v>
      </c>
      <c r="AC551">
        <f t="shared" si="54"/>
        <v>0.99982133502651538</v>
      </c>
      <c r="AD551">
        <f t="shared" si="52"/>
        <v>0.99973922740015309</v>
      </c>
      <c r="AE551">
        <f t="shared" si="53"/>
        <v>20007</v>
      </c>
    </row>
    <row r="552" spans="1:31">
      <c r="A552" s="9">
        <v>551</v>
      </c>
      <c r="B552" s="30">
        <v>40568</v>
      </c>
      <c r="C552" s="9">
        <v>1</v>
      </c>
      <c r="D552" s="9">
        <v>0</v>
      </c>
      <c r="E552" s="9">
        <v>1</v>
      </c>
      <c r="F552" s="9">
        <v>2</v>
      </c>
      <c r="G552" s="9" t="b">
        <v>0</v>
      </c>
      <c r="H552" s="9">
        <v>2</v>
      </c>
      <c r="I552" s="9">
        <v>1</v>
      </c>
      <c r="J552" s="9">
        <v>0.16</v>
      </c>
      <c r="K552" s="9">
        <v>0.1515</v>
      </c>
      <c r="L552" s="9">
        <v>0.69</v>
      </c>
      <c r="M552" s="9">
        <v>0.22389999999999999</v>
      </c>
      <c r="N552" s="9">
        <v>0</v>
      </c>
      <c r="O552" s="9">
        <v>2</v>
      </c>
      <c r="P552" s="9">
        <v>2</v>
      </c>
      <c r="Q552" s="13" t="s">
        <v>98</v>
      </c>
      <c r="R552" s="13" t="s">
        <v>79</v>
      </c>
      <c r="S552" s="9" t="s">
        <v>80</v>
      </c>
      <c r="T552" s="13" t="s">
        <v>81</v>
      </c>
      <c r="U552" s="14" t="s">
        <v>82</v>
      </c>
      <c r="V552" s="12" t="s">
        <v>83</v>
      </c>
      <c r="W552" s="15" t="s">
        <v>84</v>
      </c>
      <c r="X552" s="9" t="s">
        <v>85</v>
      </c>
      <c r="Y552" s="13" t="s">
        <v>99</v>
      </c>
      <c r="Z552">
        <f t="shared" si="49"/>
        <v>309</v>
      </c>
      <c r="AA552" s="39">
        <f t="shared" si="50"/>
        <v>64.41568627450981</v>
      </c>
      <c r="AB552" s="39">
        <f t="shared" si="51"/>
        <v>2743.0316565157336</v>
      </c>
      <c r="AC552">
        <f t="shared" si="54"/>
        <v>0.99982157276499217</v>
      </c>
      <c r="AD552">
        <f t="shared" si="52"/>
        <v>0.99973980747097502</v>
      </c>
      <c r="AE552">
        <f t="shared" si="53"/>
        <v>20002</v>
      </c>
    </row>
    <row r="553" spans="1:31">
      <c r="A553" s="10">
        <v>552</v>
      </c>
      <c r="B553" s="31">
        <v>40568</v>
      </c>
      <c r="C553" s="10">
        <v>1</v>
      </c>
      <c r="D553" s="10">
        <v>0</v>
      </c>
      <c r="E553" s="10">
        <v>1</v>
      </c>
      <c r="F553" s="10">
        <v>4</v>
      </c>
      <c r="G553" s="10" t="b">
        <v>0</v>
      </c>
      <c r="H553" s="10">
        <v>2</v>
      </c>
      <c r="I553" s="10">
        <v>1</v>
      </c>
      <c r="J553" s="10">
        <v>0.14000000000000001</v>
      </c>
      <c r="K553" s="10">
        <v>0.16669999999999999</v>
      </c>
      <c r="L553" s="10">
        <v>0.74</v>
      </c>
      <c r="M553" s="10">
        <v>0.1045</v>
      </c>
      <c r="N553" s="10">
        <v>0</v>
      </c>
      <c r="O553" s="10">
        <v>1</v>
      </c>
      <c r="P553" s="10">
        <v>1</v>
      </c>
      <c r="Q553" s="13" t="s">
        <v>98</v>
      </c>
      <c r="R553" s="13" t="s">
        <v>79</v>
      </c>
      <c r="S553" s="10" t="s">
        <v>80</v>
      </c>
      <c r="T553" s="13" t="s">
        <v>81</v>
      </c>
      <c r="U553" s="14" t="s">
        <v>82</v>
      </c>
      <c r="V553" s="12" t="s">
        <v>83</v>
      </c>
      <c r="W553" s="15" t="s">
        <v>84</v>
      </c>
      <c r="X553" s="10" t="s">
        <v>85</v>
      </c>
      <c r="Y553" s="13" t="s">
        <v>99</v>
      </c>
      <c r="Z553">
        <f t="shared" si="49"/>
        <v>308</v>
      </c>
      <c r="AA553" s="39">
        <f t="shared" si="50"/>
        <v>64.661417322834652</v>
      </c>
      <c r="AB553" s="39">
        <f t="shared" si="51"/>
        <v>2746.0700245014655</v>
      </c>
      <c r="AC553">
        <f t="shared" si="54"/>
        <v>0.99982184865050761</v>
      </c>
      <c r="AD553">
        <f t="shared" si="52"/>
        <v>0.99974044723506905</v>
      </c>
      <c r="AE553">
        <f t="shared" si="53"/>
        <v>20000</v>
      </c>
    </row>
    <row r="554" spans="1:31">
      <c r="A554" s="9">
        <v>553</v>
      </c>
      <c r="B554" s="30">
        <v>40568</v>
      </c>
      <c r="C554" s="9">
        <v>1</v>
      </c>
      <c r="D554" s="9">
        <v>0</v>
      </c>
      <c r="E554" s="9">
        <v>1</v>
      </c>
      <c r="F554" s="9">
        <v>5</v>
      </c>
      <c r="G554" s="9" t="b">
        <v>0</v>
      </c>
      <c r="H554" s="9">
        <v>2</v>
      </c>
      <c r="I554" s="9">
        <v>1</v>
      </c>
      <c r="J554" s="9">
        <v>0.14000000000000001</v>
      </c>
      <c r="K554" s="9">
        <v>0.13639999999999999</v>
      </c>
      <c r="L554" s="9">
        <v>0.74</v>
      </c>
      <c r="M554" s="9">
        <v>0.22389999999999999</v>
      </c>
      <c r="N554" s="9">
        <v>0</v>
      </c>
      <c r="O554" s="9">
        <v>9</v>
      </c>
      <c r="P554" s="9">
        <v>9</v>
      </c>
      <c r="Q554" s="13" t="s">
        <v>98</v>
      </c>
      <c r="R554" s="13" t="s">
        <v>79</v>
      </c>
      <c r="S554" s="9" t="s">
        <v>80</v>
      </c>
      <c r="T554" s="13" t="s">
        <v>81</v>
      </c>
      <c r="U554" s="15" t="s">
        <v>89</v>
      </c>
      <c r="V554" s="12" t="s">
        <v>83</v>
      </c>
      <c r="W554" s="15" t="s">
        <v>84</v>
      </c>
      <c r="X554" s="9" t="s">
        <v>85</v>
      </c>
      <c r="Y554" s="13" t="s">
        <v>99</v>
      </c>
      <c r="Z554">
        <f t="shared" si="49"/>
        <v>307</v>
      </c>
      <c r="AA554" s="39">
        <f t="shared" si="50"/>
        <v>64.913043478260875</v>
      </c>
      <c r="AB554" s="39">
        <f t="shared" si="51"/>
        <v>2749.1183566127684</v>
      </c>
      <c r="AC554">
        <f t="shared" si="54"/>
        <v>0.99982206903436011</v>
      </c>
      <c r="AD554">
        <f t="shared" si="52"/>
        <v>0.99974121255896209</v>
      </c>
      <c r="AE554">
        <f t="shared" si="53"/>
        <v>19999</v>
      </c>
    </row>
    <row r="555" spans="1:31">
      <c r="A555" s="10">
        <v>554</v>
      </c>
      <c r="B555" s="31">
        <v>40568</v>
      </c>
      <c r="C555" s="10">
        <v>1</v>
      </c>
      <c r="D555" s="10">
        <v>0</v>
      </c>
      <c r="E555" s="10">
        <v>1</v>
      </c>
      <c r="F555" s="10">
        <v>6</v>
      </c>
      <c r="G555" s="10" t="b">
        <v>0</v>
      </c>
      <c r="H555" s="10">
        <v>2</v>
      </c>
      <c r="I555" s="10">
        <v>1</v>
      </c>
      <c r="J555" s="10">
        <v>0.16</v>
      </c>
      <c r="K555" s="10">
        <v>0.18179999999999999</v>
      </c>
      <c r="L555" s="10">
        <v>0.74</v>
      </c>
      <c r="M555" s="10">
        <v>0.1045</v>
      </c>
      <c r="N555" s="10">
        <v>1</v>
      </c>
      <c r="O555" s="10">
        <v>35</v>
      </c>
      <c r="P555" s="10">
        <v>36</v>
      </c>
      <c r="Q555" s="13" t="s">
        <v>98</v>
      </c>
      <c r="R555" s="13" t="s">
        <v>79</v>
      </c>
      <c r="S555" s="10" t="s">
        <v>80</v>
      </c>
      <c r="T555" s="13" t="s">
        <v>81</v>
      </c>
      <c r="U555" s="15" t="s">
        <v>89</v>
      </c>
      <c r="V555" s="11" t="s">
        <v>87</v>
      </c>
      <c r="W555" s="15" t="s">
        <v>84</v>
      </c>
      <c r="X555" s="10" t="s">
        <v>85</v>
      </c>
      <c r="Y555" s="13" t="s">
        <v>99</v>
      </c>
      <c r="Z555">
        <f t="shared" si="49"/>
        <v>306</v>
      </c>
      <c r="AA555" s="39">
        <f t="shared" si="50"/>
        <v>65.134920634920633</v>
      </c>
      <c r="AB555" s="39">
        <f t="shared" si="51"/>
        <v>2752.1780811697481</v>
      </c>
      <c r="AC555">
        <f t="shared" si="54"/>
        <v>0.99982220805158051</v>
      </c>
      <c r="AD555">
        <f t="shared" si="52"/>
        <v>0.99974182002390377</v>
      </c>
      <c r="AE555">
        <f t="shared" si="53"/>
        <v>19990</v>
      </c>
    </row>
    <row r="556" spans="1:31">
      <c r="A556" s="9">
        <v>555</v>
      </c>
      <c r="B556" s="30">
        <v>40568</v>
      </c>
      <c r="C556" s="9">
        <v>1</v>
      </c>
      <c r="D556" s="9">
        <v>0</v>
      </c>
      <c r="E556" s="9">
        <v>1</v>
      </c>
      <c r="F556" s="9">
        <v>7</v>
      </c>
      <c r="G556" s="9" t="b">
        <v>0</v>
      </c>
      <c r="H556" s="9">
        <v>2</v>
      </c>
      <c r="I556" s="9">
        <v>1</v>
      </c>
      <c r="J556" s="9">
        <v>0.16</v>
      </c>
      <c r="K556" s="9">
        <v>0.1515</v>
      </c>
      <c r="L556" s="9">
        <v>0.74</v>
      </c>
      <c r="M556" s="9">
        <v>0.22389999999999999</v>
      </c>
      <c r="N556" s="9">
        <v>5</v>
      </c>
      <c r="O556" s="9">
        <v>103</v>
      </c>
      <c r="P556" s="9">
        <v>108</v>
      </c>
      <c r="Q556" s="13" t="s">
        <v>98</v>
      </c>
      <c r="R556" s="13" t="s">
        <v>79</v>
      </c>
      <c r="S556" s="9" t="s">
        <v>80</v>
      </c>
      <c r="T556" s="13" t="s">
        <v>81</v>
      </c>
      <c r="U556" s="15" t="s">
        <v>89</v>
      </c>
      <c r="V556" s="13" t="s">
        <v>93</v>
      </c>
      <c r="W556" s="15" t="s">
        <v>84</v>
      </c>
      <c r="X556" s="9" t="s">
        <v>85</v>
      </c>
      <c r="Y556" s="13" t="s">
        <v>99</v>
      </c>
      <c r="Z556">
        <f t="shared" si="49"/>
        <v>305</v>
      </c>
      <c r="AA556" s="39">
        <f t="shared" si="50"/>
        <v>65.250996015936252</v>
      </c>
      <c r="AB556" s="39">
        <f t="shared" si="51"/>
        <v>2755.2517851431498</v>
      </c>
      <c r="AC556">
        <f t="shared" si="54"/>
        <v>0.99982222032442358</v>
      </c>
      <c r="AD556">
        <f t="shared" si="52"/>
        <v>0.99974202452069749</v>
      </c>
      <c r="AE556">
        <f t="shared" si="53"/>
        <v>19954</v>
      </c>
    </row>
    <row r="557" spans="1:31">
      <c r="A557" s="10">
        <v>556</v>
      </c>
      <c r="B557" s="31">
        <v>40568</v>
      </c>
      <c r="C557" s="10">
        <v>1</v>
      </c>
      <c r="D557" s="10">
        <v>0</v>
      </c>
      <c r="E557" s="10">
        <v>1</v>
      </c>
      <c r="F557" s="10">
        <v>8</v>
      </c>
      <c r="G557" s="10" t="b">
        <v>0</v>
      </c>
      <c r="H557" s="10">
        <v>2</v>
      </c>
      <c r="I557" s="10">
        <v>2</v>
      </c>
      <c r="J557" s="10">
        <v>0.16</v>
      </c>
      <c r="K557" s="10">
        <v>0.18179999999999999</v>
      </c>
      <c r="L557" s="10">
        <v>0.74</v>
      </c>
      <c r="M557" s="10">
        <v>0.1343</v>
      </c>
      <c r="N557" s="10">
        <v>5</v>
      </c>
      <c r="O557" s="10">
        <v>233</v>
      </c>
      <c r="P557" s="10">
        <v>238</v>
      </c>
      <c r="Q557" s="13" t="s">
        <v>98</v>
      </c>
      <c r="R557" s="13" t="s">
        <v>79</v>
      </c>
      <c r="S557" s="10" t="s">
        <v>80</v>
      </c>
      <c r="T557" s="11" t="s">
        <v>88</v>
      </c>
      <c r="U557" s="15" t="s">
        <v>89</v>
      </c>
      <c r="V557" s="13" t="s">
        <v>93</v>
      </c>
      <c r="W557" s="15" t="s">
        <v>84</v>
      </c>
      <c r="X557" s="10" t="s">
        <v>85</v>
      </c>
      <c r="Y557" s="13" t="s">
        <v>99</v>
      </c>
      <c r="Z557">
        <f t="shared" si="49"/>
        <v>304</v>
      </c>
      <c r="AA557" s="39">
        <f t="shared" si="50"/>
        <v>65.08</v>
      </c>
      <c r="AB557" s="39">
        <f t="shared" si="51"/>
        <v>2758.3429068997457</v>
      </c>
      <c r="AC557">
        <f t="shared" si="54"/>
        <v>0.99982279650673478</v>
      </c>
      <c r="AD557">
        <f t="shared" si="52"/>
        <v>0.99974220101399258</v>
      </c>
      <c r="AE557">
        <f t="shared" si="53"/>
        <v>19846</v>
      </c>
    </row>
    <row r="558" spans="1:31">
      <c r="A558" s="9">
        <v>557</v>
      </c>
      <c r="B558" s="30">
        <v>40568</v>
      </c>
      <c r="C558" s="9">
        <v>1</v>
      </c>
      <c r="D558" s="9">
        <v>0</v>
      </c>
      <c r="E558" s="9">
        <v>1</v>
      </c>
      <c r="F558" s="9">
        <v>9</v>
      </c>
      <c r="G558" s="9" t="b">
        <v>0</v>
      </c>
      <c r="H558" s="9">
        <v>2</v>
      </c>
      <c r="I558" s="9">
        <v>2</v>
      </c>
      <c r="J558" s="9">
        <v>0.2</v>
      </c>
      <c r="K558" s="9">
        <v>0.2273</v>
      </c>
      <c r="L558" s="9">
        <v>0.64</v>
      </c>
      <c r="M558" s="9">
        <v>8.9599999999999999E-2</v>
      </c>
      <c r="N558" s="9">
        <v>10</v>
      </c>
      <c r="O558" s="9">
        <v>134</v>
      </c>
      <c r="P558" s="9">
        <v>144</v>
      </c>
      <c r="Q558" s="13" t="s">
        <v>98</v>
      </c>
      <c r="R558" s="13" t="s">
        <v>79</v>
      </c>
      <c r="S558" s="9" t="s">
        <v>80</v>
      </c>
      <c r="T558" s="11" t="s">
        <v>88</v>
      </c>
      <c r="U558" s="15" t="s">
        <v>89</v>
      </c>
      <c r="V558" s="13" t="s">
        <v>93</v>
      </c>
      <c r="W558" s="15" t="s">
        <v>84</v>
      </c>
      <c r="X558" s="9" t="s">
        <v>85</v>
      </c>
      <c r="Y558" s="13" t="s">
        <v>99</v>
      </c>
      <c r="Z558">
        <f t="shared" si="49"/>
        <v>303</v>
      </c>
      <c r="AA558" s="39">
        <f t="shared" si="50"/>
        <v>65.08</v>
      </c>
      <c r="AB558" s="39">
        <f t="shared" si="51"/>
        <v>2761.4465704964582</v>
      </c>
      <c r="AC558">
        <f t="shared" si="54"/>
        <v>0.99982828480310437</v>
      </c>
      <c r="AD558">
        <f t="shared" si="52"/>
        <v>0.99974621479726766</v>
      </c>
      <c r="AE558">
        <f t="shared" si="53"/>
        <v>19608</v>
      </c>
    </row>
    <row r="559" spans="1:31">
      <c r="A559" s="10">
        <v>558</v>
      </c>
      <c r="B559" s="31">
        <v>40568</v>
      </c>
      <c r="C559" s="10">
        <v>1</v>
      </c>
      <c r="D559" s="10">
        <v>0</v>
      </c>
      <c r="E559" s="10">
        <v>1</v>
      </c>
      <c r="F559" s="10">
        <v>10</v>
      </c>
      <c r="G559" s="10" t="b">
        <v>0</v>
      </c>
      <c r="H559" s="10">
        <v>2</v>
      </c>
      <c r="I559" s="10">
        <v>2</v>
      </c>
      <c r="J559" s="10">
        <v>0.22</v>
      </c>
      <c r="K559" s="10">
        <v>0.2424</v>
      </c>
      <c r="L559" s="10">
        <v>0.6</v>
      </c>
      <c r="M559" s="10">
        <v>0.1045</v>
      </c>
      <c r="N559" s="10">
        <v>6</v>
      </c>
      <c r="O559" s="10">
        <v>49</v>
      </c>
      <c r="P559" s="10">
        <v>55</v>
      </c>
      <c r="Q559" s="13" t="s">
        <v>98</v>
      </c>
      <c r="R559" s="13" t="s">
        <v>79</v>
      </c>
      <c r="S559" s="10" t="s">
        <v>80</v>
      </c>
      <c r="T559" s="11" t="s">
        <v>88</v>
      </c>
      <c r="U559" s="13" t="s">
        <v>91</v>
      </c>
      <c r="V559" s="11" t="s">
        <v>87</v>
      </c>
      <c r="W559" s="15" t="s">
        <v>84</v>
      </c>
      <c r="X559" s="10" t="s">
        <v>85</v>
      </c>
      <c r="Y559" s="13" t="s">
        <v>99</v>
      </c>
      <c r="Z559">
        <f t="shared" si="49"/>
        <v>302</v>
      </c>
      <c r="AA559" s="39">
        <f t="shared" si="50"/>
        <v>65.08</v>
      </c>
      <c r="AB559" s="39">
        <f t="shared" si="51"/>
        <v>2764.5605960843109</v>
      </c>
      <c r="AC559">
        <f t="shared" si="54"/>
        <v>0.99982942211722536</v>
      </c>
      <c r="AD559">
        <f t="shared" si="52"/>
        <v>0.99974718687979924</v>
      </c>
      <c r="AE559">
        <f t="shared" si="53"/>
        <v>19464</v>
      </c>
    </row>
    <row r="560" spans="1:31">
      <c r="A560" s="9">
        <v>559</v>
      </c>
      <c r="B560" s="30">
        <v>40568</v>
      </c>
      <c r="C560" s="9">
        <v>1</v>
      </c>
      <c r="D560" s="9">
        <v>0</v>
      </c>
      <c r="E560" s="9">
        <v>1</v>
      </c>
      <c r="F560" s="9">
        <v>11</v>
      </c>
      <c r="G560" s="9" t="b">
        <v>0</v>
      </c>
      <c r="H560" s="9">
        <v>2</v>
      </c>
      <c r="I560" s="9">
        <v>2</v>
      </c>
      <c r="J560" s="9">
        <v>0.24</v>
      </c>
      <c r="K560" s="9">
        <v>0.2424</v>
      </c>
      <c r="L560" s="9">
        <v>0.6</v>
      </c>
      <c r="M560" s="9">
        <v>0.1343</v>
      </c>
      <c r="N560" s="9">
        <v>6</v>
      </c>
      <c r="O560" s="9">
        <v>55</v>
      </c>
      <c r="P560" s="9">
        <v>61</v>
      </c>
      <c r="Q560" s="13" t="s">
        <v>98</v>
      </c>
      <c r="R560" s="13" t="s">
        <v>79</v>
      </c>
      <c r="S560" s="9" t="s">
        <v>80</v>
      </c>
      <c r="T560" s="11" t="s">
        <v>88</v>
      </c>
      <c r="U560" s="13" t="s">
        <v>91</v>
      </c>
      <c r="V560" s="11" t="s">
        <v>87</v>
      </c>
      <c r="W560" s="15" t="s">
        <v>84</v>
      </c>
      <c r="X560" s="9" t="s">
        <v>85</v>
      </c>
      <c r="Y560" s="13" t="s">
        <v>99</v>
      </c>
      <c r="Z560">
        <f t="shared" si="49"/>
        <v>301</v>
      </c>
      <c r="AA560" s="39">
        <f t="shared" si="50"/>
        <v>65.08</v>
      </c>
      <c r="AB560" s="39">
        <f t="shared" si="51"/>
        <v>2767.6783693232373</v>
      </c>
      <c r="AC560">
        <f t="shared" si="54"/>
        <v>0.99982942802190056</v>
      </c>
      <c r="AD560">
        <f t="shared" si="52"/>
        <v>0.99974718756644854</v>
      </c>
      <c r="AE560">
        <f t="shared" si="53"/>
        <v>19409</v>
      </c>
    </row>
    <row r="561" spans="1:31">
      <c r="A561" s="10">
        <v>560</v>
      </c>
      <c r="B561" s="31">
        <v>40568</v>
      </c>
      <c r="C561" s="10">
        <v>1</v>
      </c>
      <c r="D561" s="10">
        <v>0</v>
      </c>
      <c r="E561" s="10">
        <v>1</v>
      </c>
      <c r="F561" s="10">
        <v>12</v>
      </c>
      <c r="G561" s="10" t="b">
        <v>0</v>
      </c>
      <c r="H561" s="10">
        <v>2</v>
      </c>
      <c r="I561" s="10">
        <v>2</v>
      </c>
      <c r="J561" s="10">
        <v>0.26</v>
      </c>
      <c r="K561" s="10">
        <v>0.28789999999999999</v>
      </c>
      <c r="L561" s="10">
        <v>0.56000000000000005</v>
      </c>
      <c r="M561" s="10">
        <v>8.9599999999999999E-2</v>
      </c>
      <c r="N561" s="10">
        <v>21</v>
      </c>
      <c r="O561" s="10">
        <v>85</v>
      </c>
      <c r="P561" s="10">
        <v>106</v>
      </c>
      <c r="Q561" s="13" t="s">
        <v>98</v>
      </c>
      <c r="R561" s="13" t="s">
        <v>79</v>
      </c>
      <c r="S561" s="10" t="s">
        <v>80</v>
      </c>
      <c r="T561" s="11" t="s">
        <v>88</v>
      </c>
      <c r="U561" s="11" t="s">
        <v>92</v>
      </c>
      <c r="V561" s="13" t="s">
        <v>93</v>
      </c>
      <c r="W561" s="13" t="s">
        <v>90</v>
      </c>
      <c r="X561" s="10" t="s">
        <v>85</v>
      </c>
      <c r="Y561" s="13" t="s">
        <v>99</v>
      </c>
      <c r="Z561">
        <f t="shared" si="49"/>
        <v>300</v>
      </c>
      <c r="AA561" s="39">
        <f t="shared" si="50"/>
        <v>65.08</v>
      </c>
      <c r="AB561" s="39">
        <f t="shared" si="51"/>
        <v>2770.8073802089557</v>
      </c>
      <c r="AC561">
        <f t="shared" si="54"/>
        <v>0.99982943337174446</v>
      </c>
      <c r="AD561">
        <f t="shared" si="52"/>
        <v>0.99974718698508358</v>
      </c>
      <c r="AE561">
        <f t="shared" si="53"/>
        <v>19348</v>
      </c>
    </row>
    <row r="562" spans="1:31">
      <c r="A562" s="9">
        <v>561</v>
      </c>
      <c r="B562" s="30">
        <v>40568</v>
      </c>
      <c r="C562" s="9">
        <v>1</v>
      </c>
      <c r="D562" s="9">
        <v>0</v>
      </c>
      <c r="E562" s="9">
        <v>1</v>
      </c>
      <c r="F562" s="9">
        <v>13</v>
      </c>
      <c r="G562" s="9" t="b">
        <v>0</v>
      </c>
      <c r="H562" s="9">
        <v>2</v>
      </c>
      <c r="I562" s="9">
        <v>2</v>
      </c>
      <c r="J562" s="9">
        <v>0.26</v>
      </c>
      <c r="K562" s="9">
        <v>0.2727</v>
      </c>
      <c r="L562" s="9">
        <v>0.56000000000000005</v>
      </c>
      <c r="M562" s="9">
        <v>0.1343</v>
      </c>
      <c r="N562" s="9">
        <v>21</v>
      </c>
      <c r="O562" s="9">
        <v>72</v>
      </c>
      <c r="P562" s="9">
        <v>93</v>
      </c>
      <c r="Q562" s="13" t="s">
        <v>98</v>
      </c>
      <c r="R562" s="13" t="s">
        <v>79</v>
      </c>
      <c r="S562" s="9" t="s">
        <v>80</v>
      </c>
      <c r="T562" s="11" t="s">
        <v>88</v>
      </c>
      <c r="U562" s="11" t="s">
        <v>92</v>
      </c>
      <c r="V562" s="13" t="s">
        <v>93</v>
      </c>
      <c r="W562" s="13" t="s">
        <v>90</v>
      </c>
      <c r="X562" s="9" t="s">
        <v>85</v>
      </c>
      <c r="Y562" s="13" t="s">
        <v>99</v>
      </c>
      <c r="Z562">
        <f t="shared" si="49"/>
        <v>299</v>
      </c>
      <c r="AA562" s="39">
        <f t="shared" si="50"/>
        <v>65.08</v>
      </c>
      <c r="AB562" s="39">
        <f t="shared" si="51"/>
        <v>2773.9510931526243</v>
      </c>
      <c r="AC562">
        <f t="shared" si="54"/>
        <v>0.99982959257727111</v>
      </c>
      <c r="AD562">
        <f t="shared" si="52"/>
        <v>0.99974757489727895</v>
      </c>
      <c r="AE562">
        <f t="shared" si="53"/>
        <v>19242</v>
      </c>
    </row>
    <row r="563" spans="1:31">
      <c r="A563" s="10">
        <v>562</v>
      </c>
      <c r="B563" s="31">
        <v>40568</v>
      </c>
      <c r="C563" s="10">
        <v>1</v>
      </c>
      <c r="D563" s="10">
        <v>0</v>
      </c>
      <c r="E563" s="10">
        <v>1</v>
      </c>
      <c r="F563" s="10">
        <v>14</v>
      </c>
      <c r="G563" s="10" t="b">
        <v>0</v>
      </c>
      <c r="H563" s="10">
        <v>2</v>
      </c>
      <c r="I563" s="10">
        <v>2</v>
      </c>
      <c r="J563" s="10">
        <v>0.3</v>
      </c>
      <c r="K563" s="10">
        <v>0.33329999999999999</v>
      </c>
      <c r="L563" s="10">
        <v>0.45</v>
      </c>
      <c r="M563" s="10">
        <v>0</v>
      </c>
      <c r="N563" s="10">
        <v>11</v>
      </c>
      <c r="O563" s="10">
        <v>57</v>
      </c>
      <c r="P563" s="10">
        <v>68</v>
      </c>
      <c r="Q563" s="13" t="s">
        <v>98</v>
      </c>
      <c r="R563" s="13" t="s">
        <v>79</v>
      </c>
      <c r="S563" s="10" t="s">
        <v>80</v>
      </c>
      <c r="T563" s="11" t="s">
        <v>88</v>
      </c>
      <c r="U563" s="13" t="s">
        <v>94</v>
      </c>
      <c r="V563" s="11" t="s">
        <v>87</v>
      </c>
      <c r="W563" s="13" t="s">
        <v>90</v>
      </c>
      <c r="X563" s="10" t="s">
        <v>85</v>
      </c>
      <c r="Y563" s="13" t="s">
        <v>99</v>
      </c>
      <c r="Z563">
        <f t="shared" si="49"/>
        <v>298</v>
      </c>
      <c r="AA563" s="39">
        <f t="shared" si="50"/>
        <v>65.08</v>
      </c>
      <c r="AB563" s="39">
        <f t="shared" si="51"/>
        <v>2777.1045239387986</v>
      </c>
      <c r="AC563">
        <f t="shared" si="54"/>
        <v>0.9998296507386486</v>
      </c>
      <c r="AD563">
        <f t="shared" si="52"/>
        <v>0.9997477917847023</v>
      </c>
      <c r="AE563">
        <f t="shared" si="53"/>
        <v>19149</v>
      </c>
    </row>
    <row r="564" spans="1:31">
      <c r="A564" s="9">
        <v>563</v>
      </c>
      <c r="B564" s="30">
        <v>40568</v>
      </c>
      <c r="C564" s="9">
        <v>1</v>
      </c>
      <c r="D564" s="9">
        <v>0</v>
      </c>
      <c r="E564" s="9">
        <v>1</v>
      </c>
      <c r="F564" s="9">
        <v>15</v>
      </c>
      <c r="G564" s="9" t="b">
        <v>0</v>
      </c>
      <c r="H564" s="9">
        <v>2</v>
      </c>
      <c r="I564" s="9">
        <v>2</v>
      </c>
      <c r="J564" s="9">
        <v>0.32</v>
      </c>
      <c r="K564" s="9">
        <v>0.34849999999999998</v>
      </c>
      <c r="L564" s="9">
        <v>0.42</v>
      </c>
      <c r="M564" s="9">
        <v>0</v>
      </c>
      <c r="N564" s="9">
        <v>21</v>
      </c>
      <c r="O564" s="9">
        <v>63</v>
      </c>
      <c r="P564" s="9">
        <v>84</v>
      </c>
      <c r="Q564" s="13" t="s">
        <v>98</v>
      </c>
      <c r="R564" s="13" t="s">
        <v>79</v>
      </c>
      <c r="S564" s="9" t="s">
        <v>80</v>
      </c>
      <c r="T564" s="11" t="s">
        <v>88</v>
      </c>
      <c r="U564" s="13" t="s">
        <v>94</v>
      </c>
      <c r="V564" s="13" t="s">
        <v>93</v>
      </c>
      <c r="W564" s="13" t="s">
        <v>90</v>
      </c>
      <c r="X564" s="9" t="s">
        <v>85</v>
      </c>
      <c r="Y564" s="13" t="s">
        <v>99</v>
      </c>
      <c r="Z564">
        <f t="shared" si="49"/>
        <v>297</v>
      </c>
      <c r="AA564" s="39">
        <f t="shared" si="50"/>
        <v>65.08</v>
      </c>
      <c r="AB564" s="39">
        <f t="shared" si="51"/>
        <v>2780.2663994351415</v>
      </c>
      <c r="AC564">
        <f t="shared" si="54"/>
        <v>0.99982968962647567</v>
      </c>
      <c r="AD564">
        <f t="shared" si="52"/>
        <v>0.99974787902348794</v>
      </c>
      <c r="AE564">
        <f t="shared" si="53"/>
        <v>19081</v>
      </c>
    </row>
    <row r="565" spans="1:31">
      <c r="A565" s="10">
        <v>564</v>
      </c>
      <c r="B565" s="31">
        <v>40568</v>
      </c>
      <c r="C565" s="10">
        <v>1</v>
      </c>
      <c r="D565" s="10">
        <v>0</v>
      </c>
      <c r="E565" s="10">
        <v>1</v>
      </c>
      <c r="F565" s="10">
        <v>16</v>
      </c>
      <c r="G565" s="10" t="b">
        <v>0</v>
      </c>
      <c r="H565" s="10">
        <v>2</v>
      </c>
      <c r="I565" s="10">
        <v>2</v>
      </c>
      <c r="J565" s="10">
        <v>0.32</v>
      </c>
      <c r="K565" s="10">
        <v>0.34849999999999998</v>
      </c>
      <c r="L565" s="10">
        <v>0.42</v>
      </c>
      <c r="M565" s="10">
        <v>0</v>
      </c>
      <c r="N565" s="10">
        <v>14</v>
      </c>
      <c r="O565" s="10">
        <v>102</v>
      </c>
      <c r="P565" s="10">
        <v>116</v>
      </c>
      <c r="Q565" s="13" t="s">
        <v>98</v>
      </c>
      <c r="R565" s="13" t="s">
        <v>79</v>
      </c>
      <c r="S565" s="10" t="s">
        <v>80</v>
      </c>
      <c r="T565" s="11" t="s">
        <v>88</v>
      </c>
      <c r="U565" s="13" t="s">
        <v>94</v>
      </c>
      <c r="V565" s="13" t="s">
        <v>93</v>
      </c>
      <c r="W565" s="13" t="s">
        <v>90</v>
      </c>
      <c r="X565" s="10" t="s">
        <v>85</v>
      </c>
      <c r="Y565" s="13" t="s">
        <v>99</v>
      </c>
      <c r="Z565">
        <f t="shared" si="49"/>
        <v>296</v>
      </c>
      <c r="AA565" s="39">
        <f t="shared" si="50"/>
        <v>65.08</v>
      </c>
      <c r="AB565" s="39">
        <f t="shared" si="51"/>
        <v>2783.4406582345773</v>
      </c>
      <c r="AC565">
        <f t="shared" si="54"/>
        <v>0.99982969447550307</v>
      </c>
      <c r="AD565">
        <f t="shared" si="52"/>
        <v>0.99974815823555152</v>
      </c>
      <c r="AE565">
        <f t="shared" si="53"/>
        <v>18997</v>
      </c>
    </row>
    <row r="566" spans="1:31">
      <c r="A566" s="9">
        <v>565</v>
      </c>
      <c r="B566" s="30">
        <v>40568</v>
      </c>
      <c r="C566" s="9">
        <v>1</v>
      </c>
      <c r="D566" s="9">
        <v>0</v>
      </c>
      <c r="E566" s="9">
        <v>1</v>
      </c>
      <c r="F566" s="9">
        <v>17</v>
      </c>
      <c r="G566" s="9" t="b">
        <v>0</v>
      </c>
      <c r="H566" s="9">
        <v>2</v>
      </c>
      <c r="I566" s="9">
        <v>1</v>
      </c>
      <c r="J566" s="9">
        <v>0.3</v>
      </c>
      <c r="K566" s="9">
        <v>0.33329999999999999</v>
      </c>
      <c r="L566" s="9">
        <v>0.45</v>
      </c>
      <c r="M566" s="9">
        <v>0</v>
      </c>
      <c r="N566" s="9">
        <v>14</v>
      </c>
      <c r="O566" s="9">
        <v>208</v>
      </c>
      <c r="P566" s="9">
        <v>222</v>
      </c>
      <c r="Q566" s="13" t="s">
        <v>98</v>
      </c>
      <c r="R566" s="13" t="s">
        <v>79</v>
      </c>
      <c r="S566" s="9" t="s">
        <v>80</v>
      </c>
      <c r="T566" s="13" t="s">
        <v>81</v>
      </c>
      <c r="U566" s="15" t="s">
        <v>95</v>
      </c>
      <c r="V566" s="13" t="s">
        <v>93</v>
      </c>
      <c r="W566" s="13" t="s">
        <v>90</v>
      </c>
      <c r="X566" s="9" t="s">
        <v>85</v>
      </c>
      <c r="Y566" s="13" t="s">
        <v>99</v>
      </c>
      <c r="Z566">
        <f t="shared" si="49"/>
        <v>295</v>
      </c>
      <c r="AA566" s="39">
        <f t="shared" si="50"/>
        <v>65.08</v>
      </c>
      <c r="AB566" s="39">
        <f t="shared" si="51"/>
        <v>2786.6283084126112</v>
      </c>
      <c r="AC566">
        <f t="shared" si="54"/>
        <v>0.99982979356840773</v>
      </c>
      <c r="AD566">
        <f t="shared" si="52"/>
        <v>0.99974900389841581</v>
      </c>
      <c r="AE566">
        <f t="shared" si="53"/>
        <v>18881</v>
      </c>
    </row>
    <row r="567" spans="1:31">
      <c r="A567" s="10">
        <v>566</v>
      </c>
      <c r="B567" s="31">
        <v>40568</v>
      </c>
      <c r="C567" s="10">
        <v>1</v>
      </c>
      <c r="D567" s="10">
        <v>0</v>
      </c>
      <c r="E567" s="10">
        <v>1</v>
      </c>
      <c r="F567" s="10">
        <v>18</v>
      </c>
      <c r="G567" s="10" t="b">
        <v>0</v>
      </c>
      <c r="H567" s="10">
        <v>2</v>
      </c>
      <c r="I567" s="10">
        <v>2</v>
      </c>
      <c r="J567" s="10">
        <v>0.3</v>
      </c>
      <c r="K567" s="10">
        <v>0.31819999999999998</v>
      </c>
      <c r="L567" s="10">
        <v>0.49</v>
      </c>
      <c r="M567" s="10">
        <v>8.9599999999999999E-2</v>
      </c>
      <c r="N567" s="10">
        <v>7</v>
      </c>
      <c r="O567" s="10">
        <v>218</v>
      </c>
      <c r="P567" s="10">
        <v>225</v>
      </c>
      <c r="Q567" s="13" t="s">
        <v>98</v>
      </c>
      <c r="R567" s="13" t="s">
        <v>79</v>
      </c>
      <c r="S567" s="10" t="s">
        <v>80</v>
      </c>
      <c r="T567" s="11" t="s">
        <v>88</v>
      </c>
      <c r="U567" s="15" t="s">
        <v>95</v>
      </c>
      <c r="V567" s="13" t="s">
        <v>93</v>
      </c>
      <c r="W567" s="13" t="s">
        <v>90</v>
      </c>
      <c r="X567" s="10" t="s">
        <v>85</v>
      </c>
      <c r="Y567" s="13" t="s">
        <v>99</v>
      </c>
      <c r="Z567">
        <f t="shared" si="49"/>
        <v>294</v>
      </c>
      <c r="AA567" s="39">
        <f t="shared" si="50"/>
        <v>64.449799196787154</v>
      </c>
      <c r="AB567" s="39">
        <f t="shared" si="51"/>
        <v>2789.8291821640855</v>
      </c>
      <c r="AC567">
        <f t="shared" si="54"/>
        <v>0.99983259801082924</v>
      </c>
      <c r="AD567">
        <f t="shared" si="52"/>
        <v>0.99975373543659574</v>
      </c>
      <c r="AE567">
        <f t="shared" si="53"/>
        <v>18659</v>
      </c>
    </row>
    <row r="568" spans="1:31">
      <c r="A568" s="9">
        <v>567</v>
      </c>
      <c r="B568" s="30">
        <v>40568</v>
      </c>
      <c r="C568" s="9">
        <v>1</v>
      </c>
      <c r="D568" s="9">
        <v>0</v>
      </c>
      <c r="E568" s="9">
        <v>1</v>
      </c>
      <c r="F568" s="9">
        <v>19</v>
      </c>
      <c r="G568" s="9" t="b">
        <v>0</v>
      </c>
      <c r="H568" s="9">
        <v>2</v>
      </c>
      <c r="I568" s="9">
        <v>2</v>
      </c>
      <c r="J568" s="9">
        <v>0.26</v>
      </c>
      <c r="K568" s="9">
        <v>0.2576</v>
      </c>
      <c r="L568" s="9">
        <v>0.65</v>
      </c>
      <c r="M568" s="9">
        <v>0.16420000000000001</v>
      </c>
      <c r="N568" s="9">
        <v>13</v>
      </c>
      <c r="O568" s="9">
        <v>133</v>
      </c>
      <c r="P568" s="9">
        <v>146</v>
      </c>
      <c r="Q568" s="13" t="s">
        <v>98</v>
      </c>
      <c r="R568" s="13" t="s">
        <v>79</v>
      </c>
      <c r="S568" s="9" t="s">
        <v>80</v>
      </c>
      <c r="T568" s="11" t="s">
        <v>88</v>
      </c>
      <c r="U568" s="15" t="s">
        <v>95</v>
      </c>
      <c r="V568" s="13" t="s">
        <v>93</v>
      </c>
      <c r="W568" s="13" t="s">
        <v>90</v>
      </c>
      <c r="X568" s="9" t="s">
        <v>85</v>
      </c>
      <c r="Y568" s="13" t="s">
        <v>99</v>
      </c>
      <c r="Z568">
        <f t="shared" si="49"/>
        <v>293</v>
      </c>
      <c r="AA568" s="39">
        <f t="shared" si="50"/>
        <v>64.449799196787154</v>
      </c>
      <c r="AB568" s="39">
        <f t="shared" si="51"/>
        <v>2793.0410397290402</v>
      </c>
      <c r="AC568">
        <f t="shared" si="54"/>
        <v>0.99983553922326796</v>
      </c>
      <c r="AD568">
        <f t="shared" si="52"/>
        <v>0.99975843565878131</v>
      </c>
      <c r="AE568">
        <f t="shared" si="53"/>
        <v>18434</v>
      </c>
    </row>
    <row r="569" spans="1:31">
      <c r="A569" s="10">
        <v>568</v>
      </c>
      <c r="B569" s="31">
        <v>40568</v>
      </c>
      <c r="C569" s="10">
        <v>1</v>
      </c>
      <c r="D569" s="10">
        <v>0</v>
      </c>
      <c r="E569" s="10">
        <v>1</v>
      </c>
      <c r="F569" s="10">
        <v>20</v>
      </c>
      <c r="G569" s="10" t="b">
        <v>0</v>
      </c>
      <c r="H569" s="10">
        <v>2</v>
      </c>
      <c r="I569" s="10">
        <v>1</v>
      </c>
      <c r="J569" s="10">
        <v>0.24</v>
      </c>
      <c r="K569" s="10">
        <v>0.2273</v>
      </c>
      <c r="L569" s="10">
        <v>0.65</v>
      </c>
      <c r="M569" s="10">
        <v>0.19400000000000001</v>
      </c>
      <c r="N569" s="10">
        <v>16</v>
      </c>
      <c r="O569" s="10">
        <v>103</v>
      </c>
      <c r="P569" s="10">
        <v>119</v>
      </c>
      <c r="Q569" s="13" t="s">
        <v>98</v>
      </c>
      <c r="R569" s="13" t="s">
        <v>79</v>
      </c>
      <c r="S569" s="10" t="s">
        <v>80</v>
      </c>
      <c r="T569" s="13" t="s">
        <v>81</v>
      </c>
      <c r="U569" s="16" t="s">
        <v>97</v>
      </c>
      <c r="V569" s="13" t="s">
        <v>93</v>
      </c>
      <c r="W569" s="15" t="s">
        <v>84</v>
      </c>
      <c r="X569" s="10" t="s">
        <v>85</v>
      </c>
      <c r="Y569" s="13" t="s">
        <v>99</v>
      </c>
      <c r="Z569">
        <f t="shared" si="49"/>
        <v>292</v>
      </c>
      <c r="AA569" s="39">
        <f t="shared" si="50"/>
        <v>64.449799196787154</v>
      </c>
      <c r="AB569" s="39">
        <f t="shared" si="51"/>
        <v>2796.263425479031</v>
      </c>
      <c r="AC569">
        <f t="shared" si="54"/>
        <v>0.99983634112191588</v>
      </c>
      <c r="AD569">
        <f t="shared" si="52"/>
        <v>0.99975946954617578</v>
      </c>
      <c r="AE569">
        <f t="shared" si="53"/>
        <v>18288</v>
      </c>
    </row>
    <row r="570" spans="1:31">
      <c r="A570" s="9">
        <v>569</v>
      </c>
      <c r="B570" s="30">
        <v>40568</v>
      </c>
      <c r="C570" s="9">
        <v>1</v>
      </c>
      <c r="D570" s="9">
        <v>0</v>
      </c>
      <c r="E570" s="9">
        <v>1</v>
      </c>
      <c r="F570" s="9">
        <v>21</v>
      </c>
      <c r="G570" s="9" t="b">
        <v>0</v>
      </c>
      <c r="H570" s="9">
        <v>2</v>
      </c>
      <c r="I570" s="9">
        <v>1</v>
      </c>
      <c r="J570" s="9">
        <v>0.24</v>
      </c>
      <c r="K570" s="9">
        <v>0.2273</v>
      </c>
      <c r="L570" s="9">
        <v>0.65</v>
      </c>
      <c r="M570" s="9">
        <v>0.19400000000000001</v>
      </c>
      <c r="N570" s="9">
        <v>5</v>
      </c>
      <c r="O570" s="9">
        <v>40</v>
      </c>
      <c r="P570" s="9">
        <v>45</v>
      </c>
      <c r="Q570" s="13" t="s">
        <v>98</v>
      </c>
      <c r="R570" s="13" t="s">
        <v>79</v>
      </c>
      <c r="S570" s="9" t="s">
        <v>80</v>
      </c>
      <c r="T570" s="13" t="s">
        <v>81</v>
      </c>
      <c r="U570" s="16" t="s">
        <v>97</v>
      </c>
      <c r="V570" s="11" t="s">
        <v>87</v>
      </c>
      <c r="W570" s="15" t="s">
        <v>84</v>
      </c>
      <c r="X570" s="9" t="s">
        <v>85</v>
      </c>
      <c r="Y570" s="13" t="s">
        <v>99</v>
      </c>
      <c r="Z570">
        <f t="shared" si="49"/>
        <v>291</v>
      </c>
      <c r="AA570" s="39">
        <f t="shared" si="50"/>
        <v>64.229838709677423</v>
      </c>
      <c r="AB570" s="39">
        <f t="shared" si="51"/>
        <v>2799.4955996516574</v>
      </c>
      <c r="AC570">
        <f t="shared" si="54"/>
        <v>0.99983674790074495</v>
      </c>
      <c r="AD570">
        <f t="shared" si="52"/>
        <v>0.99975994620810327</v>
      </c>
      <c r="AE570">
        <f t="shared" si="53"/>
        <v>18169</v>
      </c>
    </row>
    <row r="571" spans="1:31">
      <c r="A571" s="10">
        <v>570</v>
      </c>
      <c r="B571" s="31">
        <v>40568</v>
      </c>
      <c r="C571" s="10">
        <v>1</v>
      </c>
      <c r="D571" s="10">
        <v>0</v>
      </c>
      <c r="E571" s="10">
        <v>1</v>
      </c>
      <c r="F571" s="10">
        <v>22</v>
      </c>
      <c r="G571" s="10" t="b">
        <v>0</v>
      </c>
      <c r="H571" s="10">
        <v>2</v>
      </c>
      <c r="I571" s="10">
        <v>1</v>
      </c>
      <c r="J571" s="10">
        <v>0.22</v>
      </c>
      <c r="K571" s="10">
        <v>0.2273</v>
      </c>
      <c r="L571" s="10">
        <v>0.64</v>
      </c>
      <c r="M571" s="10">
        <v>0.16420000000000001</v>
      </c>
      <c r="N571" s="10">
        <v>4</v>
      </c>
      <c r="O571" s="10">
        <v>49</v>
      </c>
      <c r="P571" s="10">
        <v>53</v>
      </c>
      <c r="Q571" s="13" t="s">
        <v>98</v>
      </c>
      <c r="R571" s="13" t="s">
        <v>79</v>
      </c>
      <c r="S571" s="10" t="s">
        <v>80</v>
      </c>
      <c r="T571" s="13" t="s">
        <v>81</v>
      </c>
      <c r="U571" s="16" t="s">
        <v>97</v>
      </c>
      <c r="V571" s="11" t="s">
        <v>87</v>
      </c>
      <c r="W571" s="15" t="s">
        <v>84</v>
      </c>
      <c r="X571" s="10" t="s">
        <v>85</v>
      </c>
      <c r="Y571" s="13" t="s">
        <v>99</v>
      </c>
      <c r="Z571">
        <f t="shared" si="49"/>
        <v>290</v>
      </c>
      <c r="AA571" s="39">
        <f t="shared" si="50"/>
        <v>64.307692307692307</v>
      </c>
      <c r="AB571" s="39">
        <f t="shared" si="51"/>
        <v>2802.7320808056743</v>
      </c>
      <c r="AC571">
        <f t="shared" si="54"/>
        <v>0.99983681488955778</v>
      </c>
      <c r="AD571">
        <f t="shared" si="52"/>
        <v>0.99975998793044363</v>
      </c>
      <c r="AE571">
        <f t="shared" si="53"/>
        <v>18124</v>
      </c>
    </row>
    <row r="572" spans="1:31">
      <c r="A572" s="9">
        <v>571</v>
      </c>
      <c r="B572" s="30">
        <v>40568</v>
      </c>
      <c r="C572" s="9">
        <v>1</v>
      </c>
      <c r="D572" s="9">
        <v>0</v>
      </c>
      <c r="E572" s="9">
        <v>1</v>
      </c>
      <c r="F572" s="9">
        <v>23</v>
      </c>
      <c r="G572" s="9" t="b">
        <v>0</v>
      </c>
      <c r="H572" s="9">
        <v>2</v>
      </c>
      <c r="I572" s="9">
        <v>2</v>
      </c>
      <c r="J572" s="9">
        <v>0.22</v>
      </c>
      <c r="K572" s="9">
        <v>0.2273</v>
      </c>
      <c r="L572" s="9">
        <v>0.64</v>
      </c>
      <c r="M572" s="9">
        <v>0.16420000000000001</v>
      </c>
      <c r="N572" s="9">
        <v>3</v>
      </c>
      <c r="O572" s="9">
        <v>37</v>
      </c>
      <c r="P572" s="9">
        <v>40</v>
      </c>
      <c r="Q572" s="13" t="s">
        <v>98</v>
      </c>
      <c r="R572" s="13" t="s">
        <v>79</v>
      </c>
      <c r="S572" s="9" t="s">
        <v>80</v>
      </c>
      <c r="T572" s="11" t="s">
        <v>88</v>
      </c>
      <c r="U572" s="16" t="s">
        <v>97</v>
      </c>
      <c r="V572" s="11" t="s">
        <v>87</v>
      </c>
      <c r="W572" s="15" t="s">
        <v>84</v>
      </c>
      <c r="X572" s="9" t="s">
        <v>85</v>
      </c>
      <c r="Y572" s="13" t="s">
        <v>99</v>
      </c>
      <c r="Z572">
        <f t="shared" si="49"/>
        <v>289</v>
      </c>
      <c r="AA572" s="39">
        <f t="shared" si="50"/>
        <v>64.353658536585371</v>
      </c>
      <c r="AB572" s="39">
        <f t="shared" si="51"/>
        <v>2805.9807843560829</v>
      </c>
      <c r="AC572">
        <f t="shared" si="54"/>
        <v>0.99983682298852272</v>
      </c>
      <c r="AD572">
        <f t="shared" si="52"/>
        <v>0.99975999631280776</v>
      </c>
      <c r="AE572">
        <f t="shared" si="53"/>
        <v>18071</v>
      </c>
    </row>
    <row r="573" spans="1:31">
      <c r="A573" s="10">
        <v>572</v>
      </c>
      <c r="B573" s="31">
        <v>40569</v>
      </c>
      <c r="C573" s="10">
        <v>1</v>
      </c>
      <c r="D573" s="10">
        <v>0</v>
      </c>
      <c r="E573" s="10">
        <v>1</v>
      </c>
      <c r="F573" s="10">
        <v>0</v>
      </c>
      <c r="G573" s="10" t="b">
        <v>0</v>
      </c>
      <c r="H573" s="10">
        <v>3</v>
      </c>
      <c r="I573" s="10">
        <v>2</v>
      </c>
      <c r="J573" s="10">
        <v>0.22</v>
      </c>
      <c r="K573" s="10">
        <v>0.2273</v>
      </c>
      <c r="L573" s="10">
        <v>0.69</v>
      </c>
      <c r="M573" s="10">
        <v>0.1343</v>
      </c>
      <c r="N573" s="10">
        <v>3</v>
      </c>
      <c r="O573" s="10">
        <v>14</v>
      </c>
      <c r="P573" s="10">
        <v>17</v>
      </c>
      <c r="Q573" s="13" t="s">
        <v>98</v>
      </c>
      <c r="R573" s="13" t="s">
        <v>79</v>
      </c>
      <c r="S573" s="10" t="s">
        <v>80</v>
      </c>
      <c r="T573" s="11" t="s">
        <v>88</v>
      </c>
      <c r="U573" s="14" t="s">
        <v>82</v>
      </c>
      <c r="V573" s="12" t="s">
        <v>83</v>
      </c>
      <c r="W573" s="15" t="s">
        <v>84</v>
      </c>
      <c r="X573" s="10" t="s">
        <v>85</v>
      </c>
      <c r="Y573" s="13" t="s">
        <v>99</v>
      </c>
      <c r="Z573">
        <f t="shared" si="49"/>
        <v>288</v>
      </c>
      <c r="AA573" s="39">
        <f t="shared" si="50"/>
        <v>64.353658536585371</v>
      </c>
      <c r="AB573" s="39">
        <f t="shared" si="51"/>
        <v>2809.2392001377934</v>
      </c>
      <c r="AC573">
        <f t="shared" si="54"/>
        <v>0.99983688616755417</v>
      </c>
      <c r="AD573">
        <f t="shared" si="52"/>
        <v>0.99976006090410252</v>
      </c>
      <c r="AE573">
        <f t="shared" si="53"/>
        <v>18031</v>
      </c>
    </row>
    <row r="574" spans="1:31">
      <c r="A574" s="9">
        <v>573</v>
      </c>
      <c r="B574" s="30">
        <v>40569</v>
      </c>
      <c r="C574" s="9">
        <v>1</v>
      </c>
      <c r="D574" s="9">
        <v>0</v>
      </c>
      <c r="E574" s="9">
        <v>1</v>
      </c>
      <c r="F574" s="9">
        <v>1</v>
      </c>
      <c r="G574" s="9" t="b">
        <v>0</v>
      </c>
      <c r="H574" s="9">
        <v>3</v>
      </c>
      <c r="I574" s="9">
        <v>2</v>
      </c>
      <c r="J574" s="9">
        <v>0.24</v>
      </c>
      <c r="K574" s="9">
        <v>0.2424</v>
      </c>
      <c r="L574" s="9">
        <v>0.65</v>
      </c>
      <c r="M574" s="9">
        <v>0.1343</v>
      </c>
      <c r="N574" s="9">
        <v>0</v>
      </c>
      <c r="O574" s="9">
        <v>5</v>
      </c>
      <c r="P574" s="9">
        <v>5</v>
      </c>
      <c r="Q574" s="13" t="s">
        <v>98</v>
      </c>
      <c r="R574" s="13" t="s">
        <v>79</v>
      </c>
      <c r="S574" s="9" t="s">
        <v>80</v>
      </c>
      <c r="T574" s="11" t="s">
        <v>88</v>
      </c>
      <c r="U574" s="14" t="s">
        <v>82</v>
      </c>
      <c r="V574" s="12" t="s">
        <v>83</v>
      </c>
      <c r="W574" s="15" t="s">
        <v>84</v>
      </c>
      <c r="X574" s="9" t="s">
        <v>85</v>
      </c>
      <c r="Y574" s="13" t="s">
        <v>99</v>
      </c>
      <c r="Z574">
        <f t="shared" si="49"/>
        <v>287</v>
      </c>
      <c r="AA574" s="39">
        <f t="shared" si="50"/>
        <v>64.353658536585371</v>
      </c>
      <c r="AB574" s="39">
        <f t="shared" si="51"/>
        <v>2812.5057886091663</v>
      </c>
      <c r="AC574">
        <f t="shared" si="54"/>
        <v>0.99983716990664628</v>
      </c>
      <c r="AD574">
        <f t="shared" si="52"/>
        <v>0.9997604172831096</v>
      </c>
      <c r="AE574">
        <f t="shared" si="53"/>
        <v>18014</v>
      </c>
    </row>
    <row r="575" spans="1:31">
      <c r="A575" s="10">
        <v>574</v>
      </c>
      <c r="B575" s="31">
        <v>40569</v>
      </c>
      <c r="C575" s="10">
        <v>1</v>
      </c>
      <c r="D575" s="10">
        <v>0</v>
      </c>
      <c r="E575" s="10">
        <v>1</v>
      </c>
      <c r="F575" s="10">
        <v>2</v>
      </c>
      <c r="G575" s="10" t="b">
        <v>0</v>
      </c>
      <c r="H575" s="10">
        <v>3</v>
      </c>
      <c r="I575" s="10">
        <v>3</v>
      </c>
      <c r="J575" s="10">
        <v>0.22</v>
      </c>
      <c r="K575" s="10">
        <v>0.2273</v>
      </c>
      <c r="L575" s="10">
        <v>0.69</v>
      </c>
      <c r="M575" s="10">
        <v>0.19400000000000001</v>
      </c>
      <c r="N575" s="10">
        <v>3</v>
      </c>
      <c r="O575" s="10">
        <v>7</v>
      </c>
      <c r="P575" s="10">
        <v>10</v>
      </c>
      <c r="Q575" s="13" t="s">
        <v>98</v>
      </c>
      <c r="R575" s="13" t="s">
        <v>79</v>
      </c>
      <c r="S575" s="10" t="s">
        <v>80</v>
      </c>
      <c r="T575" s="12" t="s">
        <v>96</v>
      </c>
      <c r="U575" s="14" t="s">
        <v>82</v>
      </c>
      <c r="V575" s="12" t="s">
        <v>83</v>
      </c>
      <c r="W575" s="15" t="s">
        <v>84</v>
      </c>
      <c r="X575" s="10" t="s">
        <v>85</v>
      </c>
      <c r="Y575" s="13" t="s">
        <v>99</v>
      </c>
      <c r="Z575">
        <f t="shared" si="49"/>
        <v>286</v>
      </c>
      <c r="AA575" s="39">
        <f t="shared" si="50"/>
        <v>64.353658536585371</v>
      </c>
      <c r="AB575" s="39">
        <f t="shared" si="51"/>
        <v>2815.7819452793187</v>
      </c>
      <c r="AC575">
        <f t="shared" si="54"/>
        <v>0.99983773108957552</v>
      </c>
      <c r="AD575">
        <f t="shared" si="52"/>
        <v>0.99976090130771456</v>
      </c>
      <c r="AE575">
        <f t="shared" si="53"/>
        <v>18009</v>
      </c>
    </row>
    <row r="576" spans="1:31">
      <c r="A576" s="9">
        <v>575</v>
      </c>
      <c r="B576" s="30">
        <v>40569</v>
      </c>
      <c r="C576" s="9">
        <v>1</v>
      </c>
      <c r="D576" s="9">
        <v>0</v>
      </c>
      <c r="E576" s="9">
        <v>1</v>
      </c>
      <c r="F576" s="9">
        <v>5</v>
      </c>
      <c r="G576" s="9" t="b">
        <v>0</v>
      </c>
      <c r="H576" s="9">
        <v>3</v>
      </c>
      <c r="I576" s="9">
        <v>3</v>
      </c>
      <c r="J576" s="9">
        <v>0.2</v>
      </c>
      <c r="K576" s="9">
        <v>0.18179999999999999</v>
      </c>
      <c r="L576" s="9">
        <v>0.86</v>
      </c>
      <c r="M576" s="9">
        <v>0.28360000000000002</v>
      </c>
      <c r="N576" s="9">
        <v>0</v>
      </c>
      <c r="O576" s="9">
        <v>1</v>
      </c>
      <c r="P576" s="9">
        <v>1</v>
      </c>
      <c r="Q576" s="13" t="s">
        <v>98</v>
      </c>
      <c r="R576" s="13" t="s">
        <v>79</v>
      </c>
      <c r="S576" s="9" t="s">
        <v>80</v>
      </c>
      <c r="T576" s="12" t="s">
        <v>96</v>
      </c>
      <c r="U576" s="15" t="s">
        <v>89</v>
      </c>
      <c r="V576" s="12" t="s">
        <v>83</v>
      </c>
      <c r="W576" s="15" t="s">
        <v>84</v>
      </c>
      <c r="X576" s="9" t="s">
        <v>85</v>
      </c>
      <c r="Y576" s="13" t="s">
        <v>99</v>
      </c>
      <c r="Z576">
        <f t="shared" si="49"/>
        <v>285</v>
      </c>
      <c r="AA576" s="39">
        <f t="shared" si="50"/>
        <v>64.353658536585371</v>
      </c>
      <c r="AB576" s="39">
        <f t="shared" si="51"/>
        <v>2819.0703669007339</v>
      </c>
      <c r="AC576">
        <f t="shared" si="54"/>
        <v>0.99983811668292655</v>
      </c>
      <c r="AD576">
        <f t="shared" si="52"/>
        <v>0.99976137094071982</v>
      </c>
      <c r="AE576">
        <f t="shared" si="53"/>
        <v>17999</v>
      </c>
    </row>
    <row r="577" spans="1:31">
      <c r="A577" s="10">
        <v>576</v>
      </c>
      <c r="B577" s="31">
        <v>40569</v>
      </c>
      <c r="C577" s="10">
        <v>1</v>
      </c>
      <c r="D577" s="10">
        <v>0</v>
      </c>
      <c r="E577" s="10">
        <v>1</v>
      </c>
      <c r="F577" s="10">
        <v>6</v>
      </c>
      <c r="G577" s="10" t="b">
        <v>0</v>
      </c>
      <c r="H577" s="10">
        <v>3</v>
      </c>
      <c r="I577" s="10">
        <v>3</v>
      </c>
      <c r="J577" s="10">
        <v>0.2</v>
      </c>
      <c r="K577" s="10">
        <v>0.18179999999999999</v>
      </c>
      <c r="L577" s="10">
        <v>0.86</v>
      </c>
      <c r="M577" s="10">
        <v>0.28360000000000002</v>
      </c>
      <c r="N577" s="10">
        <v>0</v>
      </c>
      <c r="O577" s="10">
        <v>8</v>
      </c>
      <c r="P577" s="10">
        <v>8</v>
      </c>
      <c r="Q577" s="13" t="s">
        <v>98</v>
      </c>
      <c r="R577" s="13" t="s">
        <v>79</v>
      </c>
      <c r="S577" s="10" t="s">
        <v>80</v>
      </c>
      <c r="T577" s="12" t="s">
        <v>96</v>
      </c>
      <c r="U577" s="15" t="s">
        <v>89</v>
      </c>
      <c r="V577" s="12" t="s">
        <v>83</v>
      </c>
      <c r="W577" s="15" t="s">
        <v>84</v>
      </c>
      <c r="X577" s="10" t="s">
        <v>85</v>
      </c>
      <c r="Y577" s="13" t="s">
        <v>99</v>
      </c>
      <c r="Z577">
        <f t="shared" si="49"/>
        <v>284</v>
      </c>
      <c r="AA577" s="39">
        <f t="shared" si="50"/>
        <v>64.353658536585371</v>
      </c>
      <c r="AB577" s="39">
        <f t="shared" si="51"/>
        <v>2822.3688951498361</v>
      </c>
      <c r="AC577">
        <f t="shared" si="54"/>
        <v>0.99983855623375817</v>
      </c>
      <c r="AD577">
        <f t="shared" si="52"/>
        <v>0.99976237881841357</v>
      </c>
      <c r="AE577">
        <f t="shared" si="53"/>
        <v>17998</v>
      </c>
    </row>
    <row r="578" spans="1:31">
      <c r="A578" s="9">
        <v>577</v>
      </c>
      <c r="B578" s="30">
        <v>40569</v>
      </c>
      <c r="C578" s="9">
        <v>1</v>
      </c>
      <c r="D578" s="9">
        <v>0</v>
      </c>
      <c r="E578" s="9">
        <v>1</v>
      </c>
      <c r="F578" s="9">
        <v>7</v>
      </c>
      <c r="G578" s="9" t="b">
        <v>0</v>
      </c>
      <c r="H578" s="9">
        <v>3</v>
      </c>
      <c r="I578" s="9">
        <v>3</v>
      </c>
      <c r="J578" s="9">
        <v>0.22</v>
      </c>
      <c r="K578" s="9">
        <v>0.21210000000000001</v>
      </c>
      <c r="L578" s="9">
        <v>0.87</v>
      </c>
      <c r="M578" s="9">
        <v>0.29849999999999999</v>
      </c>
      <c r="N578" s="9">
        <v>1</v>
      </c>
      <c r="O578" s="9">
        <v>29</v>
      </c>
      <c r="P578" s="9">
        <v>30</v>
      </c>
      <c r="Q578" s="13" t="s">
        <v>98</v>
      </c>
      <c r="R578" s="13" t="s">
        <v>79</v>
      </c>
      <c r="S578" s="9" t="s">
        <v>80</v>
      </c>
      <c r="T578" s="12" t="s">
        <v>96</v>
      </c>
      <c r="U578" s="15" t="s">
        <v>89</v>
      </c>
      <c r="V578" s="11" t="s">
        <v>87</v>
      </c>
      <c r="W578" s="15" t="s">
        <v>84</v>
      </c>
      <c r="X578" s="9" t="s">
        <v>85</v>
      </c>
      <c r="Y578" s="13" t="s">
        <v>99</v>
      </c>
      <c r="Z578">
        <f t="shared" ref="Z578:Z641" si="55">COUNTIF(Q578:Q1577,"Weekday")</f>
        <v>283</v>
      </c>
      <c r="AA578" s="39">
        <f t="shared" ref="AA578:AA641" si="56">AVERAGEIF(T578:T1577,"Clear",P578:P1577)</f>
        <v>64.353658536585371</v>
      </c>
      <c r="AB578" s="39">
        <f t="shared" ref="AB578:AB641" si="57">STDEV(P578:P1577)</f>
        <v>2825.68015993274</v>
      </c>
      <c r="AC578">
        <f t="shared" si="54"/>
        <v>0.99983889180562202</v>
      </c>
      <c r="AD578">
        <f t="shared" ref="AD578:AD641" si="58">CORREL(L578:L1577,P578:P1577)</f>
        <v>0.9997632272490814</v>
      </c>
      <c r="AE578">
        <f t="shared" ref="AE578:AE641" si="59">SUMIF(Q578:Q1577,"Weekday",P578:P1577)</f>
        <v>17990</v>
      </c>
    </row>
    <row r="579" spans="1:31">
      <c r="A579" s="10">
        <v>578</v>
      </c>
      <c r="B579" s="31">
        <v>40569</v>
      </c>
      <c r="C579" s="10">
        <v>1</v>
      </c>
      <c r="D579" s="10">
        <v>0</v>
      </c>
      <c r="E579" s="10">
        <v>1</v>
      </c>
      <c r="F579" s="10">
        <v>8</v>
      </c>
      <c r="G579" s="10" t="b">
        <v>0</v>
      </c>
      <c r="H579" s="10">
        <v>3</v>
      </c>
      <c r="I579" s="10">
        <v>3</v>
      </c>
      <c r="J579" s="10">
        <v>0.22</v>
      </c>
      <c r="K579" s="10">
        <v>0.21210000000000001</v>
      </c>
      <c r="L579" s="10">
        <v>0.87</v>
      </c>
      <c r="M579" s="10">
        <v>0.29849999999999999</v>
      </c>
      <c r="N579" s="10">
        <v>3</v>
      </c>
      <c r="O579" s="10">
        <v>69</v>
      </c>
      <c r="P579" s="10">
        <v>72</v>
      </c>
      <c r="Q579" s="13" t="s">
        <v>98</v>
      </c>
      <c r="R579" s="13" t="s">
        <v>79</v>
      </c>
      <c r="S579" s="10" t="s">
        <v>80</v>
      </c>
      <c r="T579" s="12" t="s">
        <v>96</v>
      </c>
      <c r="U579" s="15" t="s">
        <v>89</v>
      </c>
      <c r="V579" s="13" t="s">
        <v>93</v>
      </c>
      <c r="W579" s="15" t="s">
        <v>84</v>
      </c>
      <c r="X579" s="10" t="s">
        <v>85</v>
      </c>
      <c r="Y579" s="13" t="s">
        <v>99</v>
      </c>
      <c r="Z579">
        <f t="shared" si="55"/>
        <v>282</v>
      </c>
      <c r="AA579" s="39">
        <f t="shared" si="56"/>
        <v>64.353658536585371</v>
      </c>
      <c r="AB579" s="39">
        <f t="shared" si="57"/>
        <v>2829.0064062521301</v>
      </c>
      <c r="AC579">
        <f t="shared" si="54"/>
        <v>0.99983903741698821</v>
      </c>
      <c r="AD579">
        <f t="shared" si="58"/>
        <v>0.99976367299493496</v>
      </c>
      <c r="AE579">
        <f t="shared" si="59"/>
        <v>17960</v>
      </c>
    </row>
    <row r="580" spans="1:31">
      <c r="A580" s="9">
        <v>579</v>
      </c>
      <c r="B580" s="30">
        <v>40569</v>
      </c>
      <c r="C580" s="9">
        <v>1</v>
      </c>
      <c r="D580" s="9">
        <v>0</v>
      </c>
      <c r="E580" s="9">
        <v>1</v>
      </c>
      <c r="F580" s="9">
        <v>9</v>
      </c>
      <c r="G580" s="9" t="b">
        <v>0</v>
      </c>
      <c r="H580" s="9">
        <v>3</v>
      </c>
      <c r="I580" s="9">
        <v>3</v>
      </c>
      <c r="J580" s="9">
        <v>0.22</v>
      </c>
      <c r="K580" s="9">
        <v>0.21210000000000001</v>
      </c>
      <c r="L580" s="9">
        <v>0.87</v>
      </c>
      <c r="M580" s="9">
        <v>0.29849999999999999</v>
      </c>
      <c r="N580" s="9">
        <v>3</v>
      </c>
      <c r="O580" s="9">
        <v>55</v>
      </c>
      <c r="P580" s="9">
        <v>58</v>
      </c>
      <c r="Q580" s="13" t="s">
        <v>98</v>
      </c>
      <c r="R580" s="13" t="s">
        <v>79</v>
      </c>
      <c r="S580" s="9" t="s">
        <v>80</v>
      </c>
      <c r="T580" s="12" t="s">
        <v>96</v>
      </c>
      <c r="U580" s="15" t="s">
        <v>89</v>
      </c>
      <c r="V580" s="11" t="s">
        <v>87</v>
      </c>
      <c r="W580" s="15" t="s">
        <v>84</v>
      </c>
      <c r="X580" s="9" t="s">
        <v>85</v>
      </c>
      <c r="Y580" s="13" t="s">
        <v>99</v>
      </c>
      <c r="Z580">
        <f t="shared" si="55"/>
        <v>281</v>
      </c>
      <c r="AA580" s="39">
        <f t="shared" si="56"/>
        <v>64.353658536585371</v>
      </c>
      <c r="AB580" s="39">
        <f t="shared" si="57"/>
        <v>2832.3496205440219</v>
      </c>
      <c r="AC580">
        <f t="shared" si="54"/>
        <v>0.99983905273537499</v>
      </c>
      <c r="AD580">
        <f t="shared" si="58"/>
        <v>0.99976369735401438</v>
      </c>
      <c r="AE580">
        <f t="shared" si="59"/>
        <v>17888</v>
      </c>
    </row>
    <row r="581" spans="1:31">
      <c r="A581" s="10">
        <v>580</v>
      </c>
      <c r="B581" s="31">
        <v>40569</v>
      </c>
      <c r="C581" s="10">
        <v>1</v>
      </c>
      <c r="D581" s="10">
        <v>0</v>
      </c>
      <c r="E581" s="10">
        <v>1</v>
      </c>
      <c r="F581" s="10">
        <v>10</v>
      </c>
      <c r="G581" s="10" t="b">
        <v>0</v>
      </c>
      <c r="H581" s="10">
        <v>3</v>
      </c>
      <c r="I581" s="10">
        <v>3</v>
      </c>
      <c r="J581" s="10">
        <v>0.22</v>
      </c>
      <c r="K581" s="10">
        <v>0.21210000000000001</v>
      </c>
      <c r="L581" s="10">
        <v>0.93</v>
      </c>
      <c r="M581" s="10">
        <v>0.28360000000000002</v>
      </c>
      <c r="N581" s="10">
        <v>2</v>
      </c>
      <c r="O581" s="10">
        <v>26</v>
      </c>
      <c r="P581" s="10">
        <v>28</v>
      </c>
      <c r="Q581" s="13" t="s">
        <v>98</v>
      </c>
      <c r="R581" s="13" t="s">
        <v>79</v>
      </c>
      <c r="S581" s="10" t="s">
        <v>80</v>
      </c>
      <c r="T581" s="12" t="s">
        <v>96</v>
      </c>
      <c r="U581" s="13" t="s">
        <v>91</v>
      </c>
      <c r="V581" s="12" t="s">
        <v>83</v>
      </c>
      <c r="W581" s="15" t="s">
        <v>84</v>
      </c>
      <c r="X581" s="10" t="s">
        <v>85</v>
      </c>
      <c r="Y581" s="13" t="s">
        <v>99</v>
      </c>
      <c r="Z581">
        <f t="shared" si="55"/>
        <v>280</v>
      </c>
      <c r="AA581" s="39">
        <f t="shared" si="56"/>
        <v>64.353658536585371</v>
      </c>
      <c r="AB581" s="39">
        <f t="shared" si="57"/>
        <v>2835.7031432881822</v>
      </c>
      <c r="AC581">
        <f t="shared" si="54"/>
        <v>0.9998390536614078</v>
      </c>
      <c r="AD581">
        <f t="shared" si="58"/>
        <v>0.99976380510644169</v>
      </c>
      <c r="AE581">
        <f t="shared" si="59"/>
        <v>17830</v>
      </c>
    </row>
    <row r="582" spans="1:31">
      <c r="A582" s="9">
        <v>581</v>
      </c>
      <c r="B582" s="30">
        <v>40569</v>
      </c>
      <c r="C582" s="9">
        <v>1</v>
      </c>
      <c r="D582" s="9">
        <v>0</v>
      </c>
      <c r="E582" s="9">
        <v>1</v>
      </c>
      <c r="F582" s="9">
        <v>11</v>
      </c>
      <c r="G582" s="9" t="b">
        <v>0</v>
      </c>
      <c r="H582" s="9">
        <v>3</v>
      </c>
      <c r="I582" s="9">
        <v>3</v>
      </c>
      <c r="J582" s="9">
        <v>0.22</v>
      </c>
      <c r="K582" s="9">
        <v>0.19700000000000001</v>
      </c>
      <c r="L582" s="9">
        <v>0.93</v>
      </c>
      <c r="M582" s="9">
        <v>0.32840000000000003</v>
      </c>
      <c r="N582" s="9">
        <v>6</v>
      </c>
      <c r="O582" s="9">
        <v>35</v>
      </c>
      <c r="P582" s="9">
        <v>41</v>
      </c>
      <c r="Q582" s="13" t="s">
        <v>98</v>
      </c>
      <c r="R582" s="13" t="s">
        <v>79</v>
      </c>
      <c r="S582" s="9" t="s">
        <v>80</v>
      </c>
      <c r="T582" s="12" t="s">
        <v>96</v>
      </c>
      <c r="U582" s="13" t="s">
        <v>91</v>
      </c>
      <c r="V582" s="11" t="s">
        <v>87</v>
      </c>
      <c r="W582" s="15" t="s">
        <v>84</v>
      </c>
      <c r="X582" s="9" t="s">
        <v>85</v>
      </c>
      <c r="Y582" s="13" t="s">
        <v>99</v>
      </c>
      <c r="Z582">
        <f t="shared" si="55"/>
        <v>279</v>
      </c>
      <c r="AA582" s="39">
        <f t="shared" si="56"/>
        <v>64.353658536585371</v>
      </c>
      <c r="AB582" s="39">
        <f t="shared" si="57"/>
        <v>2839.0646696073818</v>
      </c>
      <c r="AC582">
        <f t="shared" si="54"/>
        <v>0.99983921906048412</v>
      </c>
      <c r="AD582">
        <f t="shared" si="58"/>
        <v>0.99976439487408031</v>
      </c>
      <c r="AE582">
        <f t="shared" si="59"/>
        <v>17802</v>
      </c>
    </row>
    <row r="583" spans="1:31">
      <c r="A583" s="10">
        <v>582</v>
      </c>
      <c r="B583" s="31">
        <v>40569</v>
      </c>
      <c r="C583" s="10">
        <v>1</v>
      </c>
      <c r="D583" s="10">
        <v>0</v>
      </c>
      <c r="E583" s="10">
        <v>1</v>
      </c>
      <c r="F583" s="10">
        <v>12</v>
      </c>
      <c r="G583" s="10" t="b">
        <v>0</v>
      </c>
      <c r="H583" s="10">
        <v>3</v>
      </c>
      <c r="I583" s="10">
        <v>3</v>
      </c>
      <c r="J583" s="10">
        <v>0.22</v>
      </c>
      <c r="K583" s="10">
        <v>0.19700000000000001</v>
      </c>
      <c r="L583" s="10">
        <v>0.93</v>
      </c>
      <c r="M583" s="10">
        <v>0.32840000000000003</v>
      </c>
      <c r="N583" s="10">
        <v>7</v>
      </c>
      <c r="O583" s="10">
        <v>41</v>
      </c>
      <c r="P583" s="10">
        <v>48</v>
      </c>
      <c r="Q583" s="13" t="s">
        <v>98</v>
      </c>
      <c r="R583" s="13" t="s">
        <v>79</v>
      </c>
      <c r="S583" s="10" t="s">
        <v>80</v>
      </c>
      <c r="T583" s="12" t="s">
        <v>96</v>
      </c>
      <c r="U583" s="11" t="s">
        <v>92</v>
      </c>
      <c r="V583" s="11" t="s">
        <v>87</v>
      </c>
      <c r="W583" s="15" t="s">
        <v>84</v>
      </c>
      <c r="X583" s="10" t="s">
        <v>85</v>
      </c>
      <c r="Y583" s="13" t="s">
        <v>99</v>
      </c>
      <c r="Z583">
        <f t="shared" si="55"/>
        <v>278</v>
      </c>
      <c r="AA583" s="39">
        <f t="shared" si="56"/>
        <v>64.353658536585371</v>
      </c>
      <c r="AB583" s="39">
        <f t="shared" si="57"/>
        <v>2842.4399841322188</v>
      </c>
      <c r="AC583">
        <f t="shared" si="54"/>
        <v>0.99983928095991359</v>
      </c>
      <c r="AD583">
        <f t="shared" si="58"/>
        <v>0.99976476880816323</v>
      </c>
      <c r="AE583">
        <f t="shared" si="59"/>
        <v>17761</v>
      </c>
    </row>
    <row r="584" spans="1:31">
      <c r="A584" s="9">
        <v>583</v>
      </c>
      <c r="B584" s="30">
        <v>40569</v>
      </c>
      <c r="C584" s="9">
        <v>1</v>
      </c>
      <c r="D584" s="9">
        <v>0</v>
      </c>
      <c r="E584" s="9">
        <v>1</v>
      </c>
      <c r="F584" s="9">
        <v>13</v>
      </c>
      <c r="G584" s="9" t="b">
        <v>0</v>
      </c>
      <c r="H584" s="9">
        <v>3</v>
      </c>
      <c r="I584" s="9">
        <v>3</v>
      </c>
      <c r="J584" s="9">
        <v>0.22</v>
      </c>
      <c r="K584" s="9">
        <v>0.19700000000000001</v>
      </c>
      <c r="L584" s="9">
        <v>0.93</v>
      </c>
      <c r="M584" s="9">
        <v>0.32840000000000003</v>
      </c>
      <c r="N584" s="9">
        <v>4</v>
      </c>
      <c r="O584" s="9">
        <v>43</v>
      </c>
      <c r="P584" s="9">
        <v>47</v>
      </c>
      <c r="Q584" s="13" t="s">
        <v>98</v>
      </c>
      <c r="R584" s="13" t="s">
        <v>79</v>
      </c>
      <c r="S584" s="9" t="s">
        <v>80</v>
      </c>
      <c r="T584" s="12" t="s">
        <v>96</v>
      </c>
      <c r="U584" s="11" t="s">
        <v>92</v>
      </c>
      <c r="V584" s="11" t="s">
        <v>87</v>
      </c>
      <c r="W584" s="15" t="s">
        <v>84</v>
      </c>
      <c r="X584" s="9" t="s">
        <v>85</v>
      </c>
      <c r="Y584" s="13" t="s">
        <v>99</v>
      </c>
      <c r="Z584">
        <f t="shared" si="55"/>
        <v>277</v>
      </c>
      <c r="AA584" s="39">
        <f t="shared" si="56"/>
        <v>64.353658536585371</v>
      </c>
      <c r="AB584" s="39">
        <f t="shared" si="57"/>
        <v>2845.8282823740319</v>
      </c>
      <c r="AC584">
        <f t="shared" si="54"/>
        <v>0.99983930762059881</v>
      </c>
      <c r="AD584">
        <f t="shared" si="58"/>
        <v>0.99976504726953419</v>
      </c>
      <c r="AE584">
        <f t="shared" si="59"/>
        <v>17713</v>
      </c>
    </row>
    <row r="585" spans="1:31">
      <c r="A585" s="10">
        <v>584</v>
      </c>
      <c r="B585" s="31">
        <v>40569</v>
      </c>
      <c r="C585" s="10">
        <v>1</v>
      </c>
      <c r="D585" s="10">
        <v>0</v>
      </c>
      <c r="E585" s="10">
        <v>1</v>
      </c>
      <c r="F585" s="10">
        <v>14</v>
      </c>
      <c r="G585" s="10" t="b">
        <v>0</v>
      </c>
      <c r="H585" s="10">
        <v>3</v>
      </c>
      <c r="I585" s="10">
        <v>3</v>
      </c>
      <c r="J585" s="10">
        <v>0.22</v>
      </c>
      <c r="K585" s="10">
        <v>0.19700000000000001</v>
      </c>
      <c r="L585" s="10">
        <v>0.93</v>
      </c>
      <c r="M585" s="10">
        <v>0.35820000000000002</v>
      </c>
      <c r="N585" s="10">
        <v>0</v>
      </c>
      <c r="O585" s="10">
        <v>36</v>
      </c>
      <c r="P585" s="10">
        <v>36</v>
      </c>
      <c r="Q585" s="13" t="s">
        <v>98</v>
      </c>
      <c r="R585" s="13" t="s">
        <v>79</v>
      </c>
      <c r="S585" s="10" t="s">
        <v>80</v>
      </c>
      <c r="T585" s="12" t="s">
        <v>96</v>
      </c>
      <c r="U585" s="13" t="s">
        <v>94</v>
      </c>
      <c r="V585" s="11" t="s">
        <v>87</v>
      </c>
      <c r="W585" s="15" t="s">
        <v>84</v>
      </c>
      <c r="X585" s="10" t="s">
        <v>85</v>
      </c>
      <c r="Y585" s="13" t="s">
        <v>99</v>
      </c>
      <c r="Z585">
        <f t="shared" si="55"/>
        <v>276</v>
      </c>
      <c r="AA585" s="39">
        <f t="shared" si="56"/>
        <v>64.353658536585371</v>
      </c>
      <c r="AB585" s="39">
        <f t="shared" si="57"/>
        <v>2849.2285976388289</v>
      </c>
      <c r="AC585">
        <f t="shared" si="54"/>
        <v>0.9998393386076283</v>
      </c>
      <c r="AD585">
        <f t="shared" si="58"/>
        <v>0.99976534010688223</v>
      </c>
      <c r="AE585">
        <f t="shared" si="59"/>
        <v>17666</v>
      </c>
    </row>
    <row r="586" spans="1:31">
      <c r="A586" s="9">
        <v>585</v>
      </c>
      <c r="B586" s="30">
        <v>40569</v>
      </c>
      <c r="C586" s="9">
        <v>1</v>
      </c>
      <c r="D586" s="9">
        <v>0</v>
      </c>
      <c r="E586" s="9">
        <v>1</v>
      </c>
      <c r="F586" s="9">
        <v>15</v>
      </c>
      <c r="G586" s="9" t="b">
        <v>0</v>
      </c>
      <c r="H586" s="9">
        <v>3</v>
      </c>
      <c r="I586" s="9">
        <v>3</v>
      </c>
      <c r="J586" s="9">
        <v>0.22</v>
      </c>
      <c r="K586" s="9">
        <v>0.18179999999999999</v>
      </c>
      <c r="L586" s="9">
        <v>0.93</v>
      </c>
      <c r="M586" s="9">
        <v>0.4627</v>
      </c>
      <c r="N586" s="9">
        <v>1</v>
      </c>
      <c r="O586" s="9">
        <v>42</v>
      </c>
      <c r="P586" s="9">
        <v>43</v>
      </c>
      <c r="Q586" s="13" t="s">
        <v>98</v>
      </c>
      <c r="R586" s="13" t="s">
        <v>79</v>
      </c>
      <c r="S586" s="9" t="s">
        <v>80</v>
      </c>
      <c r="T586" s="12" t="s">
        <v>96</v>
      </c>
      <c r="U586" s="13" t="s">
        <v>94</v>
      </c>
      <c r="V586" s="11" t="s">
        <v>87</v>
      </c>
      <c r="W586" s="15" t="s">
        <v>84</v>
      </c>
      <c r="X586" s="9" t="s">
        <v>85</v>
      </c>
      <c r="Y586" s="13" t="s">
        <v>99</v>
      </c>
      <c r="Z586">
        <f t="shared" si="55"/>
        <v>275</v>
      </c>
      <c r="AA586" s="39">
        <f t="shared" si="56"/>
        <v>64.353658536585371</v>
      </c>
      <c r="AB586" s="39">
        <f t="shared" si="57"/>
        <v>2852.6396522478831</v>
      </c>
      <c r="AC586">
        <f t="shared" si="54"/>
        <v>0.99983943557870969</v>
      </c>
      <c r="AD586">
        <f t="shared" si="58"/>
        <v>0.99976579766030715</v>
      </c>
      <c r="AE586">
        <f t="shared" si="59"/>
        <v>17630</v>
      </c>
    </row>
    <row r="587" spans="1:31">
      <c r="A587" s="10">
        <v>586</v>
      </c>
      <c r="B587" s="31">
        <v>40569</v>
      </c>
      <c r="C587" s="10">
        <v>1</v>
      </c>
      <c r="D587" s="10">
        <v>0</v>
      </c>
      <c r="E587" s="10">
        <v>1</v>
      </c>
      <c r="F587" s="10">
        <v>16</v>
      </c>
      <c r="G587" s="10" t="b">
        <v>0</v>
      </c>
      <c r="H587" s="10">
        <v>3</v>
      </c>
      <c r="I587" s="10">
        <v>4</v>
      </c>
      <c r="J587" s="10">
        <v>0.22</v>
      </c>
      <c r="K587" s="10">
        <v>0.19700000000000001</v>
      </c>
      <c r="L587" s="10">
        <v>0.93</v>
      </c>
      <c r="M587" s="10">
        <v>0.32840000000000003</v>
      </c>
      <c r="N587" s="10">
        <v>1</v>
      </c>
      <c r="O587" s="10">
        <v>35</v>
      </c>
      <c r="P587" s="10">
        <v>36</v>
      </c>
      <c r="Q587" s="13" t="s">
        <v>98</v>
      </c>
      <c r="R587" s="13" t="s">
        <v>79</v>
      </c>
      <c r="S587" s="10" t="s">
        <v>80</v>
      </c>
      <c r="T587" s="17" t="s">
        <v>101</v>
      </c>
      <c r="U587" s="13" t="s">
        <v>94</v>
      </c>
      <c r="V587" s="11" t="s">
        <v>87</v>
      </c>
      <c r="W587" s="15" t="s">
        <v>84</v>
      </c>
      <c r="X587" s="10" t="s">
        <v>85</v>
      </c>
      <c r="Y587" s="13" t="s">
        <v>99</v>
      </c>
      <c r="Z587">
        <f t="shared" si="55"/>
        <v>274</v>
      </c>
      <c r="AA587" s="39">
        <f t="shared" si="56"/>
        <v>64.353658536585371</v>
      </c>
      <c r="AB587" s="39">
        <f t="shared" si="57"/>
        <v>2856.0639432914663</v>
      </c>
      <c r="AC587">
        <f t="shared" si="54"/>
        <v>0.99983948685020263</v>
      </c>
      <c r="AD587">
        <f t="shared" si="58"/>
        <v>0.99976614907894323</v>
      </c>
      <c r="AE587">
        <f t="shared" si="59"/>
        <v>17587</v>
      </c>
    </row>
    <row r="588" spans="1:31">
      <c r="A588" s="9">
        <v>587</v>
      </c>
      <c r="B588" s="30">
        <v>40569</v>
      </c>
      <c r="C588" s="9">
        <v>1</v>
      </c>
      <c r="D588" s="9">
        <v>0</v>
      </c>
      <c r="E588" s="9">
        <v>1</v>
      </c>
      <c r="F588" s="9">
        <v>17</v>
      </c>
      <c r="G588" s="9" t="b">
        <v>0</v>
      </c>
      <c r="H588" s="9">
        <v>3</v>
      </c>
      <c r="I588" s="9">
        <v>3</v>
      </c>
      <c r="J588" s="9">
        <v>0.2</v>
      </c>
      <c r="K588" s="9">
        <v>0.18179999999999999</v>
      </c>
      <c r="L588" s="9">
        <v>0.93</v>
      </c>
      <c r="M588" s="9">
        <v>0.35820000000000002</v>
      </c>
      <c r="N588" s="9">
        <v>0</v>
      </c>
      <c r="O588" s="9">
        <v>26</v>
      </c>
      <c r="P588" s="9">
        <v>26</v>
      </c>
      <c r="Q588" s="13" t="s">
        <v>98</v>
      </c>
      <c r="R588" s="13" t="s">
        <v>79</v>
      </c>
      <c r="S588" s="9" t="s">
        <v>80</v>
      </c>
      <c r="T588" s="12" t="s">
        <v>96</v>
      </c>
      <c r="U588" s="15" t="s">
        <v>95</v>
      </c>
      <c r="V588" s="12" t="s">
        <v>83</v>
      </c>
      <c r="W588" s="15" t="s">
        <v>84</v>
      </c>
      <c r="X588" s="9" t="s">
        <v>85</v>
      </c>
      <c r="Y588" s="13" t="s">
        <v>99</v>
      </c>
      <c r="Z588">
        <f t="shared" si="55"/>
        <v>273</v>
      </c>
      <c r="AA588" s="39">
        <f t="shared" si="56"/>
        <v>64.353658536585371</v>
      </c>
      <c r="AB588" s="39">
        <f t="shared" si="57"/>
        <v>2859.4996359726265</v>
      </c>
      <c r="AC588">
        <f t="shared" si="54"/>
        <v>0.99983958463305223</v>
      </c>
      <c r="AD588">
        <f t="shared" si="58"/>
        <v>0.99976661078878681</v>
      </c>
      <c r="AE588">
        <f t="shared" si="59"/>
        <v>17551</v>
      </c>
    </row>
    <row r="589" spans="1:31">
      <c r="A589" s="10">
        <v>588</v>
      </c>
      <c r="B589" s="31">
        <v>40570</v>
      </c>
      <c r="C589" s="10">
        <v>1</v>
      </c>
      <c r="D589" s="10">
        <v>0</v>
      </c>
      <c r="E589" s="10">
        <v>1</v>
      </c>
      <c r="F589" s="10">
        <v>16</v>
      </c>
      <c r="G589" s="10" t="b">
        <v>0</v>
      </c>
      <c r="H589" s="10">
        <v>4</v>
      </c>
      <c r="I589" s="10">
        <v>1</v>
      </c>
      <c r="J589" s="10">
        <v>0.22</v>
      </c>
      <c r="K589" s="10">
        <v>0.2273</v>
      </c>
      <c r="L589" s="10">
        <v>0.55000000000000004</v>
      </c>
      <c r="M589" s="10">
        <v>0.19400000000000001</v>
      </c>
      <c r="N589" s="10">
        <v>1</v>
      </c>
      <c r="O589" s="10">
        <v>23</v>
      </c>
      <c r="P589" s="10">
        <v>24</v>
      </c>
      <c r="Q589" s="13" t="s">
        <v>98</v>
      </c>
      <c r="R589" s="13" t="s">
        <v>79</v>
      </c>
      <c r="S589" s="10" t="s">
        <v>80</v>
      </c>
      <c r="T589" s="13" t="s">
        <v>81</v>
      </c>
      <c r="U589" s="13" t="s">
        <v>94</v>
      </c>
      <c r="V589" s="12" t="s">
        <v>83</v>
      </c>
      <c r="W589" s="15" t="s">
        <v>84</v>
      </c>
      <c r="X589" s="10" t="s">
        <v>85</v>
      </c>
      <c r="Y589" s="13" t="s">
        <v>99</v>
      </c>
      <c r="Z589">
        <f t="shared" si="55"/>
        <v>272</v>
      </c>
      <c r="AA589" s="39">
        <f t="shared" si="56"/>
        <v>64.353658536585371</v>
      </c>
      <c r="AB589" s="39">
        <f t="shared" si="57"/>
        <v>2862.9463095425485</v>
      </c>
      <c r="AC589">
        <f t="shared" si="54"/>
        <v>0.99983971881817657</v>
      </c>
      <c r="AD589">
        <f t="shared" si="58"/>
        <v>0.99976725543509604</v>
      </c>
      <c r="AE589">
        <f t="shared" si="59"/>
        <v>17525</v>
      </c>
    </row>
    <row r="590" spans="1:31">
      <c r="A590" s="9">
        <v>589</v>
      </c>
      <c r="B590" s="30">
        <v>40570</v>
      </c>
      <c r="C590" s="9">
        <v>1</v>
      </c>
      <c r="D590" s="9">
        <v>0</v>
      </c>
      <c r="E590" s="9">
        <v>1</v>
      </c>
      <c r="F590" s="9">
        <v>17</v>
      </c>
      <c r="G590" s="9" t="b">
        <v>0</v>
      </c>
      <c r="H590" s="9">
        <v>4</v>
      </c>
      <c r="I590" s="9">
        <v>1</v>
      </c>
      <c r="J590" s="9">
        <v>0.22</v>
      </c>
      <c r="K590" s="9">
        <v>0.2424</v>
      </c>
      <c r="L590" s="9">
        <v>0.55000000000000004</v>
      </c>
      <c r="M590" s="9">
        <v>0.1045</v>
      </c>
      <c r="N590" s="9">
        <v>2</v>
      </c>
      <c r="O590" s="9">
        <v>82</v>
      </c>
      <c r="P590" s="9">
        <v>84</v>
      </c>
      <c r="Q590" s="13" t="s">
        <v>98</v>
      </c>
      <c r="R590" s="13" t="s">
        <v>79</v>
      </c>
      <c r="S590" s="9" t="s">
        <v>80</v>
      </c>
      <c r="T590" s="13" t="s">
        <v>81</v>
      </c>
      <c r="U590" s="15" t="s">
        <v>95</v>
      </c>
      <c r="V590" s="13" t="s">
        <v>93</v>
      </c>
      <c r="W590" s="15" t="s">
        <v>84</v>
      </c>
      <c r="X590" s="9" t="s">
        <v>85</v>
      </c>
      <c r="Y590" s="13" t="s">
        <v>99</v>
      </c>
      <c r="Z590">
        <f t="shared" si="55"/>
        <v>271</v>
      </c>
      <c r="AA590" s="39">
        <f t="shared" si="56"/>
        <v>64.518367346938774</v>
      </c>
      <c r="AB590" s="39">
        <f t="shared" si="57"/>
        <v>2866.4051755748947</v>
      </c>
      <c r="AC590">
        <f t="shared" si="54"/>
        <v>0.9998399311810281</v>
      </c>
      <c r="AD590">
        <f t="shared" si="58"/>
        <v>0.99976738842331236</v>
      </c>
      <c r="AE590">
        <f t="shared" si="59"/>
        <v>17501</v>
      </c>
    </row>
    <row r="591" spans="1:31">
      <c r="A591" s="10">
        <v>590</v>
      </c>
      <c r="B591" s="31">
        <v>40570</v>
      </c>
      <c r="C591" s="10">
        <v>1</v>
      </c>
      <c r="D591" s="10">
        <v>0</v>
      </c>
      <c r="E591" s="10">
        <v>1</v>
      </c>
      <c r="F591" s="10">
        <v>18</v>
      </c>
      <c r="G591" s="10" t="b">
        <v>0</v>
      </c>
      <c r="H591" s="10">
        <v>4</v>
      </c>
      <c r="I591" s="10">
        <v>1</v>
      </c>
      <c r="J591" s="10">
        <v>0.2</v>
      </c>
      <c r="K591" s="10">
        <v>0.2273</v>
      </c>
      <c r="L591" s="10">
        <v>0.69</v>
      </c>
      <c r="M591" s="10">
        <v>8.9599999999999999E-2</v>
      </c>
      <c r="N591" s="10">
        <v>3</v>
      </c>
      <c r="O591" s="10">
        <v>101</v>
      </c>
      <c r="P591" s="10">
        <v>104</v>
      </c>
      <c r="Q591" s="13" t="s">
        <v>98</v>
      </c>
      <c r="R591" s="13" t="s">
        <v>79</v>
      </c>
      <c r="S591" s="10" t="s">
        <v>80</v>
      </c>
      <c r="T591" s="13" t="s">
        <v>81</v>
      </c>
      <c r="U591" s="15" t="s">
        <v>95</v>
      </c>
      <c r="V591" s="13" t="s">
        <v>93</v>
      </c>
      <c r="W591" s="15" t="s">
        <v>84</v>
      </c>
      <c r="X591" s="10" t="s">
        <v>85</v>
      </c>
      <c r="Y591" s="13" t="s">
        <v>99</v>
      </c>
      <c r="Z591">
        <f t="shared" si="55"/>
        <v>270</v>
      </c>
      <c r="AA591" s="39">
        <f t="shared" si="56"/>
        <v>64.438524590163937</v>
      </c>
      <c r="AB591" s="39">
        <f t="shared" si="57"/>
        <v>2869.8841874589925</v>
      </c>
      <c r="AC591">
        <f t="shared" si="54"/>
        <v>0.99984000157148978</v>
      </c>
      <c r="AD591">
        <f t="shared" si="58"/>
        <v>0.99976751822276044</v>
      </c>
      <c r="AE591">
        <f t="shared" si="59"/>
        <v>17417</v>
      </c>
    </row>
    <row r="592" spans="1:31">
      <c r="A592" s="9">
        <v>591</v>
      </c>
      <c r="B592" s="30">
        <v>40570</v>
      </c>
      <c r="C592" s="9">
        <v>1</v>
      </c>
      <c r="D592" s="9">
        <v>0</v>
      </c>
      <c r="E592" s="9">
        <v>1</v>
      </c>
      <c r="F592" s="9">
        <v>19</v>
      </c>
      <c r="G592" s="9" t="b">
        <v>0</v>
      </c>
      <c r="H592" s="9">
        <v>4</v>
      </c>
      <c r="I592" s="9">
        <v>1</v>
      </c>
      <c r="J592" s="9">
        <v>0.2</v>
      </c>
      <c r="K592" s="9">
        <v>0.2273</v>
      </c>
      <c r="L592" s="9">
        <v>0.69</v>
      </c>
      <c r="M592" s="9">
        <v>8.9599999999999999E-2</v>
      </c>
      <c r="N592" s="9">
        <v>3</v>
      </c>
      <c r="O592" s="9">
        <v>76</v>
      </c>
      <c r="P592" s="9">
        <v>79</v>
      </c>
      <c r="Q592" s="13" t="s">
        <v>98</v>
      </c>
      <c r="R592" s="13" t="s">
        <v>79</v>
      </c>
      <c r="S592" s="9" t="s">
        <v>80</v>
      </c>
      <c r="T592" s="13" t="s">
        <v>81</v>
      </c>
      <c r="U592" s="15" t="s">
        <v>95</v>
      </c>
      <c r="V592" s="13" t="s">
        <v>93</v>
      </c>
      <c r="W592" s="15" t="s">
        <v>84</v>
      </c>
      <c r="X592" s="9" t="s">
        <v>85</v>
      </c>
      <c r="Y592" s="13" t="s">
        <v>99</v>
      </c>
      <c r="Z592">
        <f t="shared" si="55"/>
        <v>269</v>
      </c>
      <c r="AA592" s="39">
        <f t="shared" si="56"/>
        <v>64.275720164609055</v>
      </c>
      <c r="AB592" s="39">
        <f t="shared" si="57"/>
        <v>2873.3777514675867</v>
      </c>
      <c r="AC592">
        <f t="shared" ref="AC592:AC655" si="60">CORREL(J592:J1591,P592:P1591)</f>
        <v>0.99984033695021401</v>
      </c>
      <c r="AD592">
        <f t="shared" si="58"/>
        <v>0.99976770709461382</v>
      </c>
      <c r="AE592">
        <f t="shared" si="59"/>
        <v>17313</v>
      </c>
    </row>
    <row r="593" spans="1:31">
      <c r="A593" s="10">
        <v>592</v>
      </c>
      <c r="B593" s="31">
        <v>40570</v>
      </c>
      <c r="C593" s="10">
        <v>1</v>
      </c>
      <c r="D593" s="10">
        <v>0</v>
      </c>
      <c r="E593" s="10">
        <v>1</v>
      </c>
      <c r="F593" s="10">
        <v>20</v>
      </c>
      <c r="G593" s="10" t="b">
        <v>0</v>
      </c>
      <c r="H593" s="10">
        <v>4</v>
      </c>
      <c r="I593" s="10">
        <v>1</v>
      </c>
      <c r="J593" s="10">
        <v>0.18</v>
      </c>
      <c r="K593" s="10">
        <v>0.21210000000000001</v>
      </c>
      <c r="L593" s="10">
        <v>0.74</v>
      </c>
      <c r="M593" s="10">
        <v>8.9599999999999999E-2</v>
      </c>
      <c r="N593" s="10">
        <v>4</v>
      </c>
      <c r="O593" s="10">
        <v>55</v>
      </c>
      <c r="P593" s="10">
        <v>59</v>
      </c>
      <c r="Q593" s="13" t="s">
        <v>98</v>
      </c>
      <c r="R593" s="13" t="s">
        <v>79</v>
      </c>
      <c r="S593" s="10" t="s">
        <v>80</v>
      </c>
      <c r="T593" s="13" t="s">
        <v>81</v>
      </c>
      <c r="U593" s="16" t="s">
        <v>97</v>
      </c>
      <c r="V593" s="11" t="s">
        <v>87</v>
      </c>
      <c r="W593" s="15" t="s">
        <v>84</v>
      </c>
      <c r="X593" s="10" t="s">
        <v>85</v>
      </c>
      <c r="Y593" s="13" t="s">
        <v>99</v>
      </c>
      <c r="Z593">
        <f t="shared" si="55"/>
        <v>268</v>
      </c>
      <c r="AA593" s="39">
        <f t="shared" si="56"/>
        <v>64.214876033057848</v>
      </c>
      <c r="AB593" s="39">
        <f t="shared" si="57"/>
        <v>2876.8817267123309</v>
      </c>
      <c r="AC593">
        <f t="shared" si="60"/>
        <v>0.99984041278566971</v>
      </c>
      <c r="AD593">
        <f t="shared" si="58"/>
        <v>0.99976772350774645</v>
      </c>
      <c r="AE593">
        <f t="shared" si="59"/>
        <v>17234</v>
      </c>
    </row>
    <row r="594" spans="1:31">
      <c r="A594" s="9">
        <v>593</v>
      </c>
      <c r="B594" s="30">
        <v>40570</v>
      </c>
      <c r="C594" s="9">
        <v>1</v>
      </c>
      <c r="D594" s="9">
        <v>0</v>
      </c>
      <c r="E594" s="9">
        <v>1</v>
      </c>
      <c r="F594" s="9">
        <v>21</v>
      </c>
      <c r="G594" s="9" t="b">
        <v>0</v>
      </c>
      <c r="H594" s="9">
        <v>4</v>
      </c>
      <c r="I594" s="9">
        <v>1</v>
      </c>
      <c r="J594" s="9">
        <v>0.18</v>
      </c>
      <c r="K594" s="9">
        <v>0.21210000000000001</v>
      </c>
      <c r="L594" s="9">
        <v>0.74</v>
      </c>
      <c r="M594" s="9">
        <v>8.9599999999999999E-2</v>
      </c>
      <c r="N594" s="9">
        <v>2</v>
      </c>
      <c r="O594" s="9">
        <v>36</v>
      </c>
      <c r="P594" s="9">
        <v>38</v>
      </c>
      <c r="Q594" s="13" t="s">
        <v>98</v>
      </c>
      <c r="R594" s="13" t="s">
        <v>79</v>
      </c>
      <c r="S594" s="9" t="s">
        <v>80</v>
      </c>
      <c r="T594" s="13" t="s">
        <v>81</v>
      </c>
      <c r="U594" s="16" t="s">
        <v>97</v>
      </c>
      <c r="V594" s="11" t="s">
        <v>87</v>
      </c>
      <c r="W594" s="15" t="s">
        <v>84</v>
      </c>
      <c r="X594" s="9" t="s">
        <v>85</v>
      </c>
      <c r="Y594" s="13" t="s">
        <v>99</v>
      </c>
      <c r="Z594">
        <f t="shared" si="55"/>
        <v>267</v>
      </c>
      <c r="AA594" s="39">
        <f t="shared" si="56"/>
        <v>64.236514522821579</v>
      </c>
      <c r="AB594" s="39">
        <f t="shared" si="57"/>
        <v>2880.3962582324211</v>
      </c>
      <c r="AC594">
        <f t="shared" si="60"/>
        <v>0.99984042239013171</v>
      </c>
      <c r="AD594">
        <f t="shared" si="58"/>
        <v>0.99976775158297182</v>
      </c>
      <c r="AE594">
        <f t="shared" si="59"/>
        <v>17175</v>
      </c>
    </row>
    <row r="595" spans="1:31">
      <c r="A595" s="10">
        <v>594</v>
      </c>
      <c r="B595" s="31">
        <v>40570</v>
      </c>
      <c r="C595" s="10">
        <v>1</v>
      </c>
      <c r="D595" s="10">
        <v>0</v>
      </c>
      <c r="E595" s="10">
        <v>1</v>
      </c>
      <c r="F595" s="10">
        <v>22</v>
      </c>
      <c r="G595" s="10" t="b">
        <v>0</v>
      </c>
      <c r="H595" s="10">
        <v>4</v>
      </c>
      <c r="I595" s="10">
        <v>1</v>
      </c>
      <c r="J595" s="10">
        <v>0.18</v>
      </c>
      <c r="K595" s="10">
        <v>0.21210000000000001</v>
      </c>
      <c r="L595" s="10">
        <v>0.74</v>
      </c>
      <c r="M595" s="10">
        <v>8.9599999999999999E-2</v>
      </c>
      <c r="N595" s="10">
        <v>0</v>
      </c>
      <c r="O595" s="10">
        <v>27</v>
      </c>
      <c r="P595" s="10">
        <v>27</v>
      </c>
      <c r="Q595" s="13" t="s">
        <v>98</v>
      </c>
      <c r="R595" s="13" t="s">
        <v>79</v>
      </c>
      <c r="S595" s="10" t="s">
        <v>80</v>
      </c>
      <c r="T595" s="13" t="s">
        <v>81</v>
      </c>
      <c r="U595" s="16" t="s">
        <v>97</v>
      </c>
      <c r="V595" s="12" t="s">
        <v>83</v>
      </c>
      <c r="W595" s="15" t="s">
        <v>84</v>
      </c>
      <c r="X595" s="10" t="s">
        <v>85</v>
      </c>
      <c r="Y595" s="13" t="s">
        <v>99</v>
      </c>
      <c r="Z595">
        <f t="shared" si="55"/>
        <v>266</v>
      </c>
      <c r="AA595" s="39">
        <f t="shared" si="56"/>
        <v>64.345833333333331</v>
      </c>
      <c r="AB595" s="39">
        <f t="shared" si="57"/>
        <v>2883.9209161745653</v>
      </c>
      <c r="AC595">
        <f t="shared" si="60"/>
        <v>0.99984044431459973</v>
      </c>
      <c r="AD595">
        <f t="shared" si="58"/>
        <v>0.99976793268556574</v>
      </c>
      <c r="AE595">
        <f t="shared" si="59"/>
        <v>17137</v>
      </c>
    </row>
    <row r="596" spans="1:31">
      <c r="A596" s="9">
        <v>595</v>
      </c>
      <c r="B596" s="30">
        <v>40570</v>
      </c>
      <c r="C596" s="9">
        <v>1</v>
      </c>
      <c r="D596" s="9">
        <v>0</v>
      </c>
      <c r="E596" s="9">
        <v>1</v>
      </c>
      <c r="F596" s="9">
        <v>23</v>
      </c>
      <c r="G596" s="9" t="b">
        <v>0</v>
      </c>
      <c r="H596" s="9">
        <v>4</v>
      </c>
      <c r="I596" s="9">
        <v>1</v>
      </c>
      <c r="J596" s="9">
        <v>0.18</v>
      </c>
      <c r="K596" s="9">
        <v>0.19700000000000001</v>
      </c>
      <c r="L596" s="9">
        <v>0.8</v>
      </c>
      <c r="M596" s="9">
        <v>0.16420000000000001</v>
      </c>
      <c r="N596" s="9">
        <v>0</v>
      </c>
      <c r="O596" s="9">
        <v>16</v>
      </c>
      <c r="P596" s="9">
        <v>16</v>
      </c>
      <c r="Q596" s="13" t="s">
        <v>98</v>
      </c>
      <c r="R596" s="13" t="s">
        <v>79</v>
      </c>
      <c r="S596" s="9" t="s">
        <v>80</v>
      </c>
      <c r="T596" s="13" t="s">
        <v>81</v>
      </c>
      <c r="U596" s="16" t="s">
        <v>97</v>
      </c>
      <c r="V596" s="12" t="s">
        <v>83</v>
      </c>
      <c r="W596" s="15" t="s">
        <v>84</v>
      </c>
      <c r="X596" s="9" t="s">
        <v>85</v>
      </c>
      <c r="Y596" s="13" t="s">
        <v>99</v>
      </c>
      <c r="Z596">
        <f t="shared" si="55"/>
        <v>265</v>
      </c>
      <c r="AA596" s="39">
        <f t="shared" si="56"/>
        <v>64.5020920502092</v>
      </c>
      <c r="AB596" s="39">
        <f t="shared" si="57"/>
        <v>2887.4569295868</v>
      </c>
      <c r="AC596">
        <f t="shared" si="60"/>
        <v>0.99984052499010412</v>
      </c>
      <c r="AD596">
        <f t="shared" si="58"/>
        <v>0.99976824716010526</v>
      </c>
      <c r="AE596">
        <f t="shared" si="59"/>
        <v>17110</v>
      </c>
    </row>
    <row r="597" spans="1:31">
      <c r="A597" s="10">
        <v>596</v>
      </c>
      <c r="B597" s="31">
        <v>40571</v>
      </c>
      <c r="C597" s="10">
        <v>1</v>
      </c>
      <c r="D597" s="10">
        <v>0</v>
      </c>
      <c r="E597" s="10">
        <v>1</v>
      </c>
      <c r="F597" s="10">
        <v>0</v>
      </c>
      <c r="G597" s="10" t="b">
        <v>0</v>
      </c>
      <c r="H597" s="10">
        <v>5</v>
      </c>
      <c r="I597" s="10">
        <v>2</v>
      </c>
      <c r="J597" s="10">
        <v>0.2</v>
      </c>
      <c r="K597" s="10">
        <v>0.21210000000000001</v>
      </c>
      <c r="L597" s="10">
        <v>0.75</v>
      </c>
      <c r="M597" s="10">
        <v>0.1343</v>
      </c>
      <c r="N597" s="10">
        <v>0</v>
      </c>
      <c r="O597" s="10">
        <v>9</v>
      </c>
      <c r="P597" s="10">
        <v>9</v>
      </c>
      <c r="Q597" s="13" t="s">
        <v>98</v>
      </c>
      <c r="R597" s="13" t="s">
        <v>79</v>
      </c>
      <c r="S597" s="10" t="s">
        <v>80</v>
      </c>
      <c r="T597" s="11" t="s">
        <v>88</v>
      </c>
      <c r="U597" s="14" t="s">
        <v>82</v>
      </c>
      <c r="V597" s="12" t="s">
        <v>83</v>
      </c>
      <c r="W597" s="15" t="s">
        <v>84</v>
      </c>
      <c r="X597" s="10" t="s">
        <v>85</v>
      </c>
      <c r="Y597" s="13" t="s">
        <v>99</v>
      </c>
      <c r="Z597">
        <f t="shared" si="55"/>
        <v>264</v>
      </c>
      <c r="AA597" s="39">
        <f t="shared" si="56"/>
        <v>64.705882352941174</v>
      </c>
      <c r="AB597" s="39">
        <f t="shared" si="57"/>
        <v>2891.0042565416975</v>
      </c>
      <c r="AC597">
        <f t="shared" si="60"/>
        <v>0.99984070072709741</v>
      </c>
      <c r="AD597">
        <f t="shared" si="58"/>
        <v>0.99976883923217907</v>
      </c>
      <c r="AE597">
        <f t="shared" si="59"/>
        <v>17094</v>
      </c>
    </row>
    <row r="598" spans="1:31">
      <c r="A598" s="9">
        <v>597</v>
      </c>
      <c r="B598" s="30">
        <v>40571</v>
      </c>
      <c r="C598" s="9">
        <v>1</v>
      </c>
      <c r="D598" s="9">
        <v>0</v>
      </c>
      <c r="E598" s="9">
        <v>1</v>
      </c>
      <c r="F598" s="9">
        <v>1</v>
      </c>
      <c r="G598" s="9" t="b">
        <v>0</v>
      </c>
      <c r="H598" s="9">
        <v>5</v>
      </c>
      <c r="I598" s="9">
        <v>2</v>
      </c>
      <c r="J598" s="9">
        <v>0.2</v>
      </c>
      <c r="K598" s="9">
        <v>0.21210000000000001</v>
      </c>
      <c r="L598" s="9">
        <v>0.75</v>
      </c>
      <c r="M598" s="9">
        <v>0.1343</v>
      </c>
      <c r="N598" s="9">
        <v>1</v>
      </c>
      <c r="O598" s="9">
        <v>2</v>
      </c>
      <c r="P598" s="9">
        <v>3</v>
      </c>
      <c r="Q598" s="13" t="s">
        <v>98</v>
      </c>
      <c r="R598" s="13" t="s">
        <v>79</v>
      </c>
      <c r="S598" s="9" t="s">
        <v>80</v>
      </c>
      <c r="T598" s="11" t="s">
        <v>88</v>
      </c>
      <c r="U598" s="14" t="s">
        <v>82</v>
      </c>
      <c r="V598" s="12" t="s">
        <v>83</v>
      </c>
      <c r="W598" s="15" t="s">
        <v>84</v>
      </c>
      <c r="X598" s="9" t="s">
        <v>85</v>
      </c>
      <c r="Y598" s="13" t="s">
        <v>99</v>
      </c>
      <c r="Z598">
        <f t="shared" si="55"/>
        <v>263</v>
      </c>
      <c r="AA598" s="39">
        <f t="shared" si="56"/>
        <v>64.705882352941174</v>
      </c>
      <c r="AB598" s="39">
        <f t="shared" si="57"/>
        <v>2894.5635336605174</v>
      </c>
      <c r="AC598">
        <f t="shared" si="60"/>
        <v>0.99984103110710787</v>
      </c>
      <c r="AD598">
        <f t="shared" si="58"/>
        <v>0.99976947219685641</v>
      </c>
      <c r="AE598">
        <f t="shared" si="59"/>
        <v>17085</v>
      </c>
    </row>
    <row r="599" spans="1:31">
      <c r="A599" s="10">
        <v>598</v>
      </c>
      <c r="B599" s="31">
        <v>40571</v>
      </c>
      <c r="C599" s="10">
        <v>1</v>
      </c>
      <c r="D599" s="10">
        <v>0</v>
      </c>
      <c r="E599" s="10">
        <v>1</v>
      </c>
      <c r="F599" s="10">
        <v>2</v>
      </c>
      <c r="G599" s="10" t="b">
        <v>0</v>
      </c>
      <c r="H599" s="10">
        <v>5</v>
      </c>
      <c r="I599" s="10">
        <v>2</v>
      </c>
      <c r="J599" s="10">
        <v>0.2</v>
      </c>
      <c r="K599" s="10">
        <v>0.21210000000000001</v>
      </c>
      <c r="L599" s="10">
        <v>0.75</v>
      </c>
      <c r="M599" s="10">
        <v>0.16420000000000001</v>
      </c>
      <c r="N599" s="10">
        <v>0</v>
      </c>
      <c r="O599" s="10">
        <v>2</v>
      </c>
      <c r="P599" s="10">
        <v>2</v>
      </c>
      <c r="Q599" s="13" t="s">
        <v>98</v>
      </c>
      <c r="R599" s="13" t="s">
        <v>79</v>
      </c>
      <c r="S599" s="10" t="s">
        <v>80</v>
      </c>
      <c r="T599" s="11" t="s">
        <v>88</v>
      </c>
      <c r="U599" s="14" t="s">
        <v>82</v>
      </c>
      <c r="V599" s="12" t="s">
        <v>83</v>
      </c>
      <c r="W599" s="15" t="s">
        <v>84</v>
      </c>
      <c r="X599" s="10" t="s">
        <v>85</v>
      </c>
      <c r="Y599" s="13" t="s">
        <v>99</v>
      </c>
      <c r="Z599">
        <f t="shared" si="55"/>
        <v>262</v>
      </c>
      <c r="AA599" s="39">
        <f t="shared" si="56"/>
        <v>64.705882352941174</v>
      </c>
      <c r="AB599" s="39">
        <f t="shared" si="57"/>
        <v>2898.1349611553683</v>
      </c>
      <c r="AC599">
        <f t="shared" si="60"/>
        <v>0.99984145273427849</v>
      </c>
      <c r="AD599">
        <f t="shared" si="58"/>
        <v>0.99977023020632438</v>
      </c>
      <c r="AE599">
        <f t="shared" si="59"/>
        <v>17082</v>
      </c>
    </row>
    <row r="600" spans="1:31">
      <c r="A600" s="9">
        <v>599</v>
      </c>
      <c r="B600" s="30">
        <v>40571</v>
      </c>
      <c r="C600" s="9">
        <v>1</v>
      </c>
      <c r="D600" s="9">
        <v>0</v>
      </c>
      <c r="E600" s="9">
        <v>1</v>
      </c>
      <c r="F600" s="9">
        <v>3</v>
      </c>
      <c r="G600" s="9" t="b">
        <v>0</v>
      </c>
      <c r="H600" s="9">
        <v>5</v>
      </c>
      <c r="I600" s="9">
        <v>2</v>
      </c>
      <c r="J600" s="9">
        <v>0.2</v>
      </c>
      <c r="K600" s="9">
        <v>0.2273</v>
      </c>
      <c r="L600" s="9">
        <v>0.75</v>
      </c>
      <c r="M600" s="9">
        <v>0.1045</v>
      </c>
      <c r="N600" s="9">
        <v>1</v>
      </c>
      <c r="O600" s="9">
        <v>0</v>
      </c>
      <c r="P600" s="9">
        <v>1</v>
      </c>
      <c r="Q600" s="13" t="s">
        <v>98</v>
      </c>
      <c r="R600" s="13" t="s">
        <v>79</v>
      </c>
      <c r="S600" s="9" t="s">
        <v>80</v>
      </c>
      <c r="T600" s="11" t="s">
        <v>88</v>
      </c>
      <c r="U600" s="14" t="s">
        <v>82</v>
      </c>
      <c r="V600" s="12" t="s">
        <v>83</v>
      </c>
      <c r="W600" s="15" t="s">
        <v>84</v>
      </c>
      <c r="X600" s="9" t="s">
        <v>85</v>
      </c>
      <c r="Y600" s="13" t="s">
        <v>99</v>
      </c>
      <c r="Z600">
        <f t="shared" si="55"/>
        <v>261</v>
      </c>
      <c r="AA600" s="39">
        <f t="shared" si="56"/>
        <v>64.705882352941174</v>
      </c>
      <c r="AB600" s="39">
        <f t="shared" si="57"/>
        <v>2901.7194658659691</v>
      </c>
      <c r="AC600">
        <f t="shared" si="60"/>
        <v>0.99984189247898847</v>
      </c>
      <c r="AD600">
        <f t="shared" si="58"/>
        <v>0.99977101340793662</v>
      </c>
      <c r="AE600">
        <f t="shared" si="59"/>
        <v>17080</v>
      </c>
    </row>
    <row r="601" spans="1:31">
      <c r="A601" s="10">
        <v>600</v>
      </c>
      <c r="B601" s="31">
        <v>40571</v>
      </c>
      <c r="C601" s="10">
        <v>1</v>
      </c>
      <c r="D601" s="10">
        <v>0</v>
      </c>
      <c r="E601" s="10">
        <v>1</v>
      </c>
      <c r="F601" s="10">
        <v>5</v>
      </c>
      <c r="G601" s="10" t="b">
        <v>0</v>
      </c>
      <c r="H601" s="10">
        <v>5</v>
      </c>
      <c r="I601" s="10">
        <v>2</v>
      </c>
      <c r="J601" s="10">
        <v>0.18</v>
      </c>
      <c r="K601" s="10">
        <v>0.21210000000000001</v>
      </c>
      <c r="L601" s="10">
        <v>0.8</v>
      </c>
      <c r="M601" s="10">
        <v>0.1045</v>
      </c>
      <c r="N601" s="10">
        <v>0</v>
      </c>
      <c r="O601" s="10">
        <v>4</v>
      </c>
      <c r="P601" s="10">
        <v>4</v>
      </c>
      <c r="Q601" s="13" t="s">
        <v>98</v>
      </c>
      <c r="R601" s="13" t="s">
        <v>79</v>
      </c>
      <c r="S601" s="10" t="s">
        <v>80</v>
      </c>
      <c r="T601" s="11" t="s">
        <v>88</v>
      </c>
      <c r="U601" s="15" t="s">
        <v>89</v>
      </c>
      <c r="V601" s="12" t="s">
        <v>83</v>
      </c>
      <c r="W601" s="15" t="s">
        <v>84</v>
      </c>
      <c r="X601" s="10" t="s">
        <v>85</v>
      </c>
      <c r="Y601" s="13" t="s">
        <v>99</v>
      </c>
      <c r="Z601">
        <f t="shared" si="55"/>
        <v>260</v>
      </c>
      <c r="AA601" s="39">
        <f t="shared" si="56"/>
        <v>64.705882352941174</v>
      </c>
      <c r="AB601" s="39">
        <f t="shared" si="57"/>
        <v>2905.3171271241936</v>
      </c>
      <c r="AC601">
        <f t="shared" si="60"/>
        <v>0.99984235077411709</v>
      </c>
      <c r="AD601">
        <f t="shared" si="58"/>
        <v>0.99977182228772776</v>
      </c>
      <c r="AE601">
        <f t="shared" si="59"/>
        <v>17079</v>
      </c>
    </row>
    <row r="602" spans="1:31">
      <c r="A602" s="9">
        <v>601</v>
      </c>
      <c r="B602" s="30">
        <v>40571</v>
      </c>
      <c r="C602" s="9">
        <v>1</v>
      </c>
      <c r="D602" s="9">
        <v>0</v>
      </c>
      <c r="E602" s="9">
        <v>1</v>
      </c>
      <c r="F602" s="9">
        <v>6</v>
      </c>
      <c r="G602" s="9" t="b">
        <v>0</v>
      </c>
      <c r="H602" s="9">
        <v>5</v>
      </c>
      <c r="I602" s="9">
        <v>2</v>
      </c>
      <c r="J602" s="9">
        <v>0.18</v>
      </c>
      <c r="K602" s="9">
        <v>0.19700000000000001</v>
      </c>
      <c r="L602" s="9">
        <v>0.8</v>
      </c>
      <c r="M602" s="9">
        <v>0.1343</v>
      </c>
      <c r="N602" s="9">
        <v>0</v>
      </c>
      <c r="O602" s="9">
        <v>16</v>
      </c>
      <c r="P602" s="9">
        <v>16</v>
      </c>
      <c r="Q602" s="13" t="s">
        <v>98</v>
      </c>
      <c r="R602" s="13" t="s">
        <v>79</v>
      </c>
      <c r="S602" s="9" t="s">
        <v>80</v>
      </c>
      <c r="T602" s="11" t="s">
        <v>88</v>
      </c>
      <c r="U602" s="15" t="s">
        <v>89</v>
      </c>
      <c r="V602" s="12" t="s">
        <v>83</v>
      </c>
      <c r="W602" s="15" t="s">
        <v>84</v>
      </c>
      <c r="X602" s="9" t="s">
        <v>85</v>
      </c>
      <c r="Y602" s="13" t="s">
        <v>99</v>
      </c>
      <c r="Z602">
        <f t="shared" si="55"/>
        <v>259</v>
      </c>
      <c r="AA602" s="39">
        <f t="shared" si="56"/>
        <v>64.705882352941174</v>
      </c>
      <c r="AB602" s="39">
        <f t="shared" si="57"/>
        <v>2908.9287318714482</v>
      </c>
      <c r="AC602">
        <f t="shared" si="60"/>
        <v>0.99984267912860014</v>
      </c>
      <c r="AD602">
        <f t="shared" si="58"/>
        <v>0.99977267997455732</v>
      </c>
      <c r="AE602">
        <f t="shared" si="59"/>
        <v>17075</v>
      </c>
    </row>
    <row r="603" spans="1:31">
      <c r="A603" s="10">
        <v>602</v>
      </c>
      <c r="B603" s="31">
        <v>40571</v>
      </c>
      <c r="C603" s="10">
        <v>1</v>
      </c>
      <c r="D603" s="10">
        <v>0</v>
      </c>
      <c r="E603" s="10">
        <v>1</v>
      </c>
      <c r="F603" s="10">
        <v>7</v>
      </c>
      <c r="G603" s="10" t="b">
        <v>0</v>
      </c>
      <c r="H603" s="10">
        <v>5</v>
      </c>
      <c r="I603" s="10">
        <v>2</v>
      </c>
      <c r="J603" s="10">
        <v>0.16</v>
      </c>
      <c r="K603" s="10">
        <v>0.19700000000000001</v>
      </c>
      <c r="L603" s="10">
        <v>0.86</v>
      </c>
      <c r="M603" s="10">
        <v>8.9599999999999999E-2</v>
      </c>
      <c r="N603" s="10">
        <v>2</v>
      </c>
      <c r="O603" s="10">
        <v>58</v>
      </c>
      <c r="P603" s="10">
        <v>60</v>
      </c>
      <c r="Q603" s="13" t="s">
        <v>98</v>
      </c>
      <c r="R603" s="13" t="s">
        <v>79</v>
      </c>
      <c r="S603" s="10" t="s">
        <v>80</v>
      </c>
      <c r="T603" s="11" t="s">
        <v>88</v>
      </c>
      <c r="U603" s="15" t="s">
        <v>89</v>
      </c>
      <c r="V603" s="11" t="s">
        <v>87</v>
      </c>
      <c r="W603" s="15" t="s">
        <v>84</v>
      </c>
      <c r="X603" s="10" t="s">
        <v>85</v>
      </c>
      <c r="Y603" s="13" t="s">
        <v>99</v>
      </c>
      <c r="Z603">
        <f t="shared" si="55"/>
        <v>258</v>
      </c>
      <c r="AA603" s="39">
        <f t="shared" si="56"/>
        <v>64.705882352941174</v>
      </c>
      <c r="AB603" s="39">
        <f t="shared" si="57"/>
        <v>2912.5558846532149</v>
      </c>
      <c r="AC603">
        <f t="shared" si="60"/>
        <v>0.99984286240264242</v>
      </c>
      <c r="AD603">
        <f t="shared" si="58"/>
        <v>0.99977329199268794</v>
      </c>
      <c r="AE603">
        <f t="shared" si="59"/>
        <v>17059</v>
      </c>
    </row>
    <row r="604" spans="1:31">
      <c r="A604" s="9">
        <v>603</v>
      </c>
      <c r="B604" s="30">
        <v>40571</v>
      </c>
      <c r="C604" s="9">
        <v>1</v>
      </c>
      <c r="D604" s="9">
        <v>0</v>
      </c>
      <c r="E604" s="9">
        <v>1</v>
      </c>
      <c r="F604" s="9">
        <v>8</v>
      </c>
      <c r="G604" s="9" t="b">
        <v>0</v>
      </c>
      <c r="H604" s="9">
        <v>5</v>
      </c>
      <c r="I604" s="9">
        <v>2</v>
      </c>
      <c r="J604" s="9">
        <v>0.16</v>
      </c>
      <c r="K604" s="9">
        <v>0.19700000000000001</v>
      </c>
      <c r="L604" s="9">
        <v>0.86</v>
      </c>
      <c r="M604" s="9">
        <v>8.9599999999999999E-2</v>
      </c>
      <c r="N604" s="9">
        <v>2</v>
      </c>
      <c r="O604" s="9">
        <v>155</v>
      </c>
      <c r="P604" s="9">
        <v>157</v>
      </c>
      <c r="Q604" s="13" t="s">
        <v>98</v>
      </c>
      <c r="R604" s="13" t="s">
        <v>79</v>
      </c>
      <c r="S604" s="9" t="s">
        <v>80</v>
      </c>
      <c r="T604" s="11" t="s">
        <v>88</v>
      </c>
      <c r="U604" s="15" t="s">
        <v>89</v>
      </c>
      <c r="V604" s="13" t="s">
        <v>93</v>
      </c>
      <c r="W604" s="15" t="s">
        <v>84</v>
      </c>
      <c r="X604" s="9" t="s">
        <v>85</v>
      </c>
      <c r="Y604" s="13" t="s">
        <v>99</v>
      </c>
      <c r="Z604">
        <f t="shared" si="55"/>
        <v>257</v>
      </c>
      <c r="AA604" s="39">
        <f t="shared" si="56"/>
        <v>64.705882352941174</v>
      </c>
      <c r="AB604" s="39">
        <f t="shared" si="57"/>
        <v>2916.2031045385133</v>
      </c>
      <c r="AC604">
        <f t="shared" si="60"/>
        <v>0.99984289139386273</v>
      </c>
      <c r="AD604">
        <f t="shared" si="58"/>
        <v>0.99977339512999785</v>
      </c>
      <c r="AE604">
        <f t="shared" si="59"/>
        <v>16999</v>
      </c>
    </row>
    <row r="605" spans="1:31">
      <c r="A605" s="10">
        <v>604</v>
      </c>
      <c r="B605" s="31">
        <v>40571</v>
      </c>
      <c r="C605" s="10">
        <v>1</v>
      </c>
      <c r="D605" s="10">
        <v>0</v>
      </c>
      <c r="E605" s="10">
        <v>1</v>
      </c>
      <c r="F605" s="10">
        <v>9</v>
      </c>
      <c r="G605" s="10" t="b">
        <v>0</v>
      </c>
      <c r="H605" s="10">
        <v>5</v>
      </c>
      <c r="I605" s="10">
        <v>3</v>
      </c>
      <c r="J605" s="10">
        <v>0.18</v>
      </c>
      <c r="K605" s="10">
        <v>0.21210000000000001</v>
      </c>
      <c r="L605" s="10">
        <v>0.86</v>
      </c>
      <c r="M605" s="10">
        <v>8.9599999999999999E-2</v>
      </c>
      <c r="N605" s="10">
        <v>6</v>
      </c>
      <c r="O605" s="10">
        <v>95</v>
      </c>
      <c r="P605" s="10">
        <v>101</v>
      </c>
      <c r="Q605" s="13" t="s">
        <v>98</v>
      </c>
      <c r="R605" s="13" t="s">
        <v>79</v>
      </c>
      <c r="S605" s="10" t="s">
        <v>80</v>
      </c>
      <c r="T605" s="12" t="s">
        <v>96</v>
      </c>
      <c r="U605" s="15" t="s">
        <v>89</v>
      </c>
      <c r="V605" s="13" t="s">
        <v>93</v>
      </c>
      <c r="W605" s="15" t="s">
        <v>84</v>
      </c>
      <c r="X605" s="10" t="s">
        <v>85</v>
      </c>
      <c r="Y605" s="13" t="s">
        <v>99</v>
      </c>
      <c r="Z605">
        <f t="shared" si="55"/>
        <v>256</v>
      </c>
      <c r="AA605" s="39">
        <f t="shared" si="56"/>
        <v>64.705882352941174</v>
      </c>
      <c r="AB605" s="39">
        <f t="shared" si="57"/>
        <v>2919.8724482093621</v>
      </c>
      <c r="AC605">
        <f t="shared" si="60"/>
        <v>0.99984472515474931</v>
      </c>
      <c r="AD605">
        <f t="shared" si="58"/>
        <v>0.9997741282422179</v>
      </c>
      <c r="AE605">
        <f t="shared" si="59"/>
        <v>16842</v>
      </c>
    </row>
    <row r="606" spans="1:31">
      <c r="A606" s="9">
        <v>605</v>
      </c>
      <c r="B606" s="30">
        <v>40571</v>
      </c>
      <c r="C606" s="9">
        <v>1</v>
      </c>
      <c r="D606" s="9">
        <v>0</v>
      </c>
      <c r="E606" s="9">
        <v>1</v>
      </c>
      <c r="F606" s="9">
        <v>10</v>
      </c>
      <c r="G606" s="9" t="b">
        <v>0</v>
      </c>
      <c r="H606" s="9">
        <v>5</v>
      </c>
      <c r="I606" s="9">
        <v>3</v>
      </c>
      <c r="J606" s="9">
        <v>0.18</v>
      </c>
      <c r="K606" s="9">
        <v>0.21210000000000001</v>
      </c>
      <c r="L606" s="9">
        <v>0.86</v>
      </c>
      <c r="M606" s="9">
        <v>0.1045</v>
      </c>
      <c r="N606" s="9">
        <v>0</v>
      </c>
      <c r="O606" s="9">
        <v>49</v>
      </c>
      <c r="P606" s="9">
        <v>49</v>
      </c>
      <c r="Q606" s="13" t="s">
        <v>98</v>
      </c>
      <c r="R606" s="13" t="s">
        <v>79</v>
      </c>
      <c r="S606" s="9" t="s">
        <v>80</v>
      </c>
      <c r="T606" s="12" t="s">
        <v>96</v>
      </c>
      <c r="U606" s="13" t="s">
        <v>91</v>
      </c>
      <c r="V606" s="11" t="s">
        <v>87</v>
      </c>
      <c r="W606" s="15" t="s">
        <v>84</v>
      </c>
      <c r="X606" s="9" t="s">
        <v>85</v>
      </c>
      <c r="Y606" s="13" t="s">
        <v>99</v>
      </c>
      <c r="Z606">
        <f t="shared" si="55"/>
        <v>255</v>
      </c>
      <c r="AA606" s="39">
        <f t="shared" si="56"/>
        <v>64.705882352941174</v>
      </c>
      <c r="AB606" s="39">
        <f t="shared" si="57"/>
        <v>2923.5518170571722</v>
      </c>
      <c r="AC606">
        <f t="shared" si="60"/>
        <v>0.99984509326129334</v>
      </c>
      <c r="AD606">
        <f t="shared" si="58"/>
        <v>0.99977415876528453</v>
      </c>
      <c r="AE606">
        <f t="shared" si="59"/>
        <v>16741</v>
      </c>
    </row>
    <row r="607" spans="1:31">
      <c r="A607" s="10">
        <v>606</v>
      </c>
      <c r="B607" s="31">
        <v>40571</v>
      </c>
      <c r="C607" s="10">
        <v>1</v>
      </c>
      <c r="D607" s="10">
        <v>0</v>
      </c>
      <c r="E607" s="10">
        <v>1</v>
      </c>
      <c r="F607" s="10">
        <v>11</v>
      </c>
      <c r="G607" s="10" t="b">
        <v>0</v>
      </c>
      <c r="H607" s="10">
        <v>5</v>
      </c>
      <c r="I607" s="10">
        <v>3</v>
      </c>
      <c r="J607" s="10">
        <v>0.18</v>
      </c>
      <c r="K607" s="10">
        <v>0.21210000000000001</v>
      </c>
      <c r="L607" s="10">
        <v>0.93</v>
      </c>
      <c r="M607" s="10">
        <v>0.1045</v>
      </c>
      <c r="N607" s="10">
        <v>0</v>
      </c>
      <c r="O607" s="10">
        <v>30</v>
      </c>
      <c r="P607" s="10">
        <v>30</v>
      </c>
      <c r="Q607" s="13" t="s">
        <v>98</v>
      </c>
      <c r="R607" s="13" t="s">
        <v>79</v>
      </c>
      <c r="S607" s="10" t="s">
        <v>80</v>
      </c>
      <c r="T607" s="12" t="s">
        <v>96</v>
      </c>
      <c r="U607" s="13" t="s">
        <v>91</v>
      </c>
      <c r="V607" s="11" t="s">
        <v>87</v>
      </c>
      <c r="W607" s="15" t="s">
        <v>84</v>
      </c>
      <c r="X607" s="10" t="s">
        <v>85</v>
      </c>
      <c r="Y607" s="13" t="s">
        <v>99</v>
      </c>
      <c r="Z607">
        <f t="shared" si="55"/>
        <v>254</v>
      </c>
      <c r="AA607" s="39">
        <f t="shared" si="56"/>
        <v>64.705882352941174</v>
      </c>
      <c r="AB607" s="39">
        <f t="shared" si="57"/>
        <v>2927.2390939109059</v>
      </c>
      <c r="AC607">
        <f t="shared" si="60"/>
        <v>0.99984509267270594</v>
      </c>
      <c r="AD607">
        <f t="shared" si="58"/>
        <v>0.99977436456405977</v>
      </c>
      <c r="AE607">
        <f t="shared" si="59"/>
        <v>16692</v>
      </c>
    </row>
    <row r="608" spans="1:31">
      <c r="A608" s="9">
        <v>607</v>
      </c>
      <c r="B608" s="30">
        <v>40571</v>
      </c>
      <c r="C608" s="9">
        <v>1</v>
      </c>
      <c r="D608" s="9">
        <v>0</v>
      </c>
      <c r="E608" s="9">
        <v>1</v>
      </c>
      <c r="F608" s="9">
        <v>12</v>
      </c>
      <c r="G608" s="9" t="b">
        <v>0</v>
      </c>
      <c r="H608" s="9">
        <v>5</v>
      </c>
      <c r="I608" s="9">
        <v>3</v>
      </c>
      <c r="J608" s="9">
        <v>0.18</v>
      </c>
      <c r="K608" s="9">
        <v>0.21210000000000001</v>
      </c>
      <c r="L608" s="9">
        <v>0.93</v>
      </c>
      <c r="M608" s="9">
        <v>0.1045</v>
      </c>
      <c r="N608" s="9">
        <v>1</v>
      </c>
      <c r="O608" s="9">
        <v>28</v>
      </c>
      <c r="P608" s="9">
        <v>29</v>
      </c>
      <c r="Q608" s="13" t="s">
        <v>98</v>
      </c>
      <c r="R608" s="13" t="s">
        <v>79</v>
      </c>
      <c r="S608" s="9" t="s">
        <v>80</v>
      </c>
      <c r="T608" s="12" t="s">
        <v>96</v>
      </c>
      <c r="U608" s="11" t="s">
        <v>92</v>
      </c>
      <c r="V608" s="11" t="s">
        <v>87</v>
      </c>
      <c r="W608" s="15" t="s">
        <v>84</v>
      </c>
      <c r="X608" s="9" t="s">
        <v>85</v>
      </c>
      <c r="Y608" s="13" t="s">
        <v>99</v>
      </c>
      <c r="Z608">
        <f t="shared" si="55"/>
        <v>253</v>
      </c>
      <c r="AA608" s="39">
        <f t="shared" si="56"/>
        <v>64.705882352941174</v>
      </c>
      <c r="AB608" s="39">
        <f t="shared" si="57"/>
        <v>2930.9375568872656</v>
      </c>
      <c r="AC608">
        <f t="shared" si="60"/>
        <v>0.99984515646743644</v>
      </c>
      <c r="AD608">
        <f t="shared" si="58"/>
        <v>0.99977496026826862</v>
      </c>
      <c r="AE608">
        <f t="shared" si="59"/>
        <v>16662</v>
      </c>
    </row>
    <row r="609" spans="1:31">
      <c r="A609" s="10">
        <v>608</v>
      </c>
      <c r="B609" s="31">
        <v>40571</v>
      </c>
      <c r="C609" s="10">
        <v>1</v>
      </c>
      <c r="D609" s="10">
        <v>0</v>
      </c>
      <c r="E609" s="10">
        <v>1</v>
      </c>
      <c r="F609" s="10">
        <v>13</v>
      </c>
      <c r="G609" s="10" t="b">
        <v>0</v>
      </c>
      <c r="H609" s="10">
        <v>5</v>
      </c>
      <c r="I609" s="10">
        <v>3</v>
      </c>
      <c r="J609" s="10">
        <v>0.18</v>
      </c>
      <c r="K609" s="10">
        <v>0.21210000000000001</v>
      </c>
      <c r="L609" s="10">
        <v>0.93</v>
      </c>
      <c r="M609" s="10">
        <v>0.1045</v>
      </c>
      <c r="N609" s="10">
        <v>0</v>
      </c>
      <c r="O609" s="10">
        <v>31</v>
      </c>
      <c r="P609" s="10">
        <v>31</v>
      </c>
      <c r="Q609" s="13" t="s">
        <v>98</v>
      </c>
      <c r="R609" s="13" t="s">
        <v>79</v>
      </c>
      <c r="S609" s="10" t="s">
        <v>80</v>
      </c>
      <c r="T609" s="12" t="s">
        <v>96</v>
      </c>
      <c r="U609" s="11" t="s">
        <v>92</v>
      </c>
      <c r="V609" s="11" t="s">
        <v>87</v>
      </c>
      <c r="W609" s="15" t="s">
        <v>84</v>
      </c>
      <c r="X609" s="10" t="s">
        <v>85</v>
      </c>
      <c r="Y609" s="13" t="s">
        <v>99</v>
      </c>
      <c r="Z609">
        <f t="shared" si="55"/>
        <v>252</v>
      </c>
      <c r="AA609" s="39">
        <f t="shared" si="56"/>
        <v>64.705882352941174</v>
      </c>
      <c r="AB609" s="39">
        <f t="shared" si="57"/>
        <v>2934.6499172447457</v>
      </c>
      <c r="AC609">
        <f t="shared" si="60"/>
        <v>0.99984522695439926</v>
      </c>
      <c r="AD609">
        <f t="shared" si="58"/>
        <v>0.99977557800598427</v>
      </c>
      <c r="AE609">
        <f t="shared" si="59"/>
        <v>16633</v>
      </c>
    </row>
    <row r="610" spans="1:31">
      <c r="A610" s="9">
        <v>609</v>
      </c>
      <c r="B610" s="30">
        <v>40571</v>
      </c>
      <c r="C610" s="9">
        <v>1</v>
      </c>
      <c r="D610" s="9">
        <v>0</v>
      </c>
      <c r="E610" s="9">
        <v>1</v>
      </c>
      <c r="F610" s="9">
        <v>14</v>
      </c>
      <c r="G610" s="9" t="b">
        <v>0</v>
      </c>
      <c r="H610" s="9">
        <v>5</v>
      </c>
      <c r="I610" s="9">
        <v>3</v>
      </c>
      <c r="J610" s="9">
        <v>0.22</v>
      </c>
      <c r="K610" s="9">
        <v>0.2727</v>
      </c>
      <c r="L610" s="9">
        <v>0.8</v>
      </c>
      <c r="M610" s="9">
        <v>0</v>
      </c>
      <c r="N610" s="9">
        <v>2</v>
      </c>
      <c r="O610" s="9">
        <v>36</v>
      </c>
      <c r="P610" s="9">
        <v>38</v>
      </c>
      <c r="Q610" s="13" t="s">
        <v>98</v>
      </c>
      <c r="R610" s="13" t="s">
        <v>79</v>
      </c>
      <c r="S610" s="9" t="s">
        <v>80</v>
      </c>
      <c r="T610" s="12" t="s">
        <v>96</v>
      </c>
      <c r="U610" s="13" t="s">
        <v>94</v>
      </c>
      <c r="V610" s="11" t="s">
        <v>87</v>
      </c>
      <c r="W610" s="15" t="s">
        <v>84</v>
      </c>
      <c r="X610" s="9" t="s">
        <v>85</v>
      </c>
      <c r="Y610" s="13" t="s">
        <v>99</v>
      </c>
      <c r="Z610">
        <f t="shared" si="55"/>
        <v>251</v>
      </c>
      <c r="AA610" s="39">
        <f t="shared" si="56"/>
        <v>64.705882352941174</v>
      </c>
      <c r="AB610" s="39">
        <f t="shared" si="57"/>
        <v>2938.3767333891228</v>
      </c>
      <c r="AC610">
        <f t="shared" si="60"/>
        <v>0.99984528533290096</v>
      </c>
      <c r="AD610">
        <f t="shared" si="58"/>
        <v>0.99977616111461631</v>
      </c>
      <c r="AE610">
        <f t="shared" si="59"/>
        <v>16602</v>
      </c>
    </row>
    <row r="611" spans="1:31">
      <c r="A611" s="10">
        <v>610</v>
      </c>
      <c r="B611" s="31">
        <v>40571</v>
      </c>
      <c r="C611" s="10">
        <v>1</v>
      </c>
      <c r="D611" s="10">
        <v>0</v>
      </c>
      <c r="E611" s="10">
        <v>1</v>
      </c>
      <c r="F611" s="10">
        <v>15</v>
      </c>
      <c r="G611" s="10" t="b">
        <v>0</v>
      </c>
      <c r="H611" s="10">
        <v>5</v>
      </c>
      <c r="I611" s="10">
        <v>2</v>
      </c>
      <c r="J611" s="10">
        <v>0.2</v>
      </c>
      <c r="K611" s="10">
        <v>0.2576</v>
      </c>
      <c r="L611" s="10">
        <v>0.86</v>
      </c>
      <c r="M611" s="10">
        <v>0</v>
      </c>
      <c r="N611" s="10">
        <v>1</v>
      </c>
      <c r="O611" s="10">
        <v>40</v>
      </c>
      <c r="P611" s="10">
        <v>41</v>
      </c>
      <c r="Q611" s="13" t="s">
        <v>98</v>
      </c>
      <c r="R611" s="13" t="s">
        <v>79</v>
      </c>
      <c r="S611" s="10" t="s">
        <v>80</v>
      </c>
      <c r="T611" s="11" t="s">
        <v>88</v>
      </c>
      <c r="U611" s="13" t="s">
        <v>94</v>
      </c>
      <c r="V611" s="11" t="s">
        <v>87</v>
      </c>
      <c r="W611" s="15" t="s">
        <v>84</v>
      </c>
      <c r="X611" s="10" t="s">
        <v>85</v>
      </c>
      <c r="Y611" s="13" t="s">
        <v>99</v>
      </c>
      <c r="Z611">
        <f t="shared" si="55"/>
        <v>250</v>
      </c>
      <c r="AA611" s="39">
        <f t="shared" si="56"/>
        <v>64.705882352941174</v>
      </c>
      <c r="AB611" s="39">
        <f t="shared" si="57"/>
        <v>2942.1188587178572</v>
      </c>
      <c r="AC611">
        <f t="shared" si="60"/>
        <v>0.99984537272736873</v>
      </c>
      <c r="AD611">
        <f t="shared" si="58"/>
        <v>0.9997764330898995</v>
      </c>
      <c r="AE611">
        <f t="shared" si="59"/>
        <v>16564</v>
      </c>
    </row>
    <row r="612" spans="1:31">
      <c r="A612" s="9">
        <v>611</v>
      </c>
      <c r="B612" s="30">
        <v>40571</v>
      </c>
      <c r="C612" s="9">
        <v>1</v>
      </c>
      <c r="D612" s="9">
        <v>0</v>
      </c>
      <c r="E612" s="9">
        <v>1</v>
      </c>
      <c r="F612" s="9">
        <v>16</v>
      </c>
      <c r="G612" s="9" t="b">
        <v>0</v>
      </c>
      <c r="H612" s="9">
        <v>5</v>
      </c>
      <c r="I612" s="9">
        <v>1</v>
      </c>
      <c r="J612" s="9">
        <v>0.22</v>
      </c>
      <c r="K612" s="9">
        <v>0.2727</v>
      </c>
      <c r="L612" s="9">
        <v>0.8</v>
      </c>
      <c r="M612" s="9">
        <v>0</v>
      </c>
      <c r="N612" s="9">
        <v>10</v>
      </c>
      <c r="O612" s="9">
        <v>70</v>
      </c>
      <c r="P612" s="9">
        <v>80</v>
      </c>
      <c r="Q612" s="13" t="s">
        <v>98</v>
      </c>
      <c r="R612" s="13" t="s">
        <v>79</v>
      </c>
      <c r="S612" s="9" t="s">
        <v>80</v>
      </c>
      <c r="T612" s="13" t="s">
        <v>81</v>
      </c>
      <c r="U612" s="13" t="s">
        <v>94</v>
      </c>
      <c r="V612" s="13" t="s">
        <v>93</v>
      </c>
      <c r="W612" s="15" t="s">
        <v>84</v>
      </c>
      <c r="X612" s="9" t="s">
        <v>85</v>
      </c>
      <c r="Y612" s="13" t="s">
        <v>99</v>
      </c>
      <c r="Z612">
        <f t="shared" si="55"/>
        <v>249</v>
      </c>
      <c r="AA612" s="39">
        <f t="shared" si="56"/>
        <v>64.705882352941174</v>
      </c>
      <c r="AB612" s="39">
        <f t="shared" si="57"/>
        <v>2945.8757669089255</v>
      </c>
      <c r="AC612">
        <f t="shared" si="60"/>
        <v>0.99984540874806249</v>
      </c>
      <c r="AD612">
        <f t="shared" si="58"/>
        <v>0.99977674625715429</v>
      </c>
      <c r="AE612">
        <f t="shared" si="59"/>
        <v>16523</v>
      </c>
    </row>
    <row r="613" spans="1:31">
      <c r="A613" s="10">
        <v>612</v>
      </c>
      <c r="B613" s="31">
        <v>40571</v>
      </c>
      <c r="C613" s="10">
        <v>1</v>
      </c>
      <c r="D613" s="10">
        <v>0</v>
      </c>
      <c r="E613" s="10">
        <v>1</v>
      </c>
      <c r="F613" s="10">
        <v>17</v>
      </c>
      <c r="G613" s="10" t="b">
        <v>0</v>
      </c>
      <c r="H613" s="10">
        <v>5</v>
      </c>
      <c r="I613" s="10">
        <v>1</v>
      </c>
      <c r="J613" s="10">
        <v>0.24</v>
      </c>
      <c r="K613" s="10">
        <v>0.2424</v>
      </c>
      <c r="L613" s="10">
        <v>0.75</v>
      </c>
      <c r="M613" s="10">
        <v>0.1343</v>
      </c>
      <c r="N613" s="10">
        <v>2</v>
      </c>
      <c r="O613" s="10">
        <v>147</v>
      </c>
      <c r="P613" s="10">
        <v>149</v>
      </c>
      <c r="Q613" s="13" t="s">
        <v>98</v>
      </c>
      <c r="R613" s="13" t="s">
        <v>79</v>
      </c>
      <c r="S613" s="10" t="s">
        <v>80</v>
      </c>
      <c r="T613" s="13" t="s">
        <v>81</v>
      </c>
      <c r="U613" s="15" t="s">
        <v>95</v>
      </c>
      <c r="V613" s="13" t="s">
        <v>93</v>
      </c>
      <c r="W613" s="15" t="s">
        <v>84</v>
      </c>
      <c r="X613" s="10" t="s">
        <v>85</v>
      </c>
      <c r="Y613" s="13" t="s">
        <v>99</v>
      </c>
      <c r="Z613">
        <f t="shared" si="55"/>
        <v>248</v>
      </c>
      <c r="AA613" s="39">
        <f t="shared" si="56"/>
        <v>64.641350210970458</v>
      </c>
      <c r="AB613" s="39">
        <f t="shared" si="57"/>
        <v>2949.6522506854321</v>
      </c>
      <c r="AC613">
        <f t="shared" si="60"/>
        <v>0.99984545289882865</v>
      </c>
      <c r="AD613">
        <f t="shared" si="58"/>
        <v>0.99977674533733329</v>
      </c>
      <c r="AE613">
        <f t="shared" si="59"/>
        <v>16443</v>
      </c>
    </row>
    <row r="614" spans="1:31">
      <c r="A614" s="9">
        <v>613</v>
      </c>
      <c r="B614" s="30">
        <v>40571</v>
      </c>
      <c r="C614" s="9">
        <v>1</v>
      </c>
      <c r="D614" s="9">
        <v>0</v>
      </c>
      <c r="E614" s="9">
        <v>1</v>
      </c>
      <c r="F614" s="9">
        <v>18</v>
      </c>
      <c r="G614" s="9" t="b">
        <v>0</v>
      </c>
      <c r="H614" s="9">
        <v>5</v>
      </c>
      <c r="I614" s="9">
        <v>1</v>
      </c>
      <c r="J614" s="9">
        <v>0.24</v>
      </c>
      <c r="K614" s="9">
        <v>0.2273</v>
      </c>
      <c r="L614" s="9">
        <v>0.75</v>
      </c>
      <c r="M614" s="9">
        <v>0.19400000000000001</v>
      </c>
      <c r="N614" s="9">
        <v>2</v>
      </c>
      <c r="O614" s="9">
        <v>107</v>
      </c>
      <c r="P614" s="9">
        <v>109</v>
      </c>
      <c r="Q614" s="13" t="s">
        <v>98</v>
      </c>
      <c r="R614" s="13" t="s">
        <v>79</v>
      </c>
      <c r="S614" s="9" t="s">
        <v>80</v>
      </c>
      <c r="T614" s="13" t="s">
        <v>81</v>
      </c>
      <c r="U614" s="15" t="s">
        <v>95</v>
      </c>
      <c r="V614" s="13" t="s">
        <v>93</v>
      </c>
      <c r="W614" s="15" t="s">
        <v>84</v>
      </c>
      <c r="X614" s="9" t="s">
        <v>85</v>
      </c>
      <c r="Y614" s="13" t="s">
        <v>99</v>
      </c>
      <c r="Z614">
        <f t="shared" si="55"/>
        <v>247</v>
      </c>
      <c r="AA614" s="39">
        <f t="shared" si="56"/>
        <v>64.283898305084747</v>
      </c>
      <c r="AB614" s="39">
        <f t="shared" si="57"/>
        <v>2953.4491737756666</v>
      </c>
      <c r="AC614">
        <f t="shared" si="60"/>
        <v>0.99984641984387745</v>
      </c>
      <c r="AD614">
        <f t="shared" si="58"/>
        <v>0.9997775295878184</v>
      </c>
      <c r="AE614">
        <f t="shared" si="59"/>
        <v>16294</v>
      </c>
    </row>
    <row r="615" spans="1:31">
      <c r="A615" s="10">
        <v>614</v>
      </c>
      <c r="B615" s="31">
        <v>40571</v>
      </c>
      <c r="C615" s="10">
        <v>1</v>
      </c>
      <c r="D615" s="10">
        <v>0</v>
      </c>
      <c r="E615" s="10">
        <v>1</v>
      </c>
      <c r="F615" s="10">
        <v>19</v>
      </c>
      <c r="G615" s="10" t="b">
        <v>0</v>
      </c>
      <c r="H615" s="10">
        <v>5</v>
      </c>
      <c r="I615" s="10">
        <v>2</v>
      </c>
      <c r="J615" s="10">
        <v>0.24</v>
      </c>
      <c r="K615" s="10">
        <v>0.2424</v>
      </c>
      <c r="L615" s="10">
        <v>0.75</v>
      </c>
      <c r="M615" s="10">
        <v>0.1343</v>
      </c>
      <c r="N615" s="10">
        <v>5</v>
      </c>
      <c r="O615" s="10">
        <v>84</v>
      </c>
      <c r="P615" s="10">
        <v>89</v>
      </c>
      <c r="Q615" s="13" t="s">
        <v>98</v>
      </c>
      <c r="R615" s="13" t="s">
        <v>79</v>
      </c>
      <c r="S615" s="10" t="s">
        <v>80</v>
      </c>
      <c r="T615" s="11" t="s">
        <v>88</v>
      </c>
      <c r="U615" s="15" t="s">
        <v>95</v>
      </c>
      <c r="V615" s="13" t="s">
        <v>93</v>
      </c>
      <c r="W615" s="15" t="s">
        <v>84</v>
      </c>
      <c r="X615" s="10" t="s">
        <v>85</v>
      </c>
      <c r="Y615" s="13" t="s">
        <v>99</v>
      </c>
      <c r="Z615">
        <f t="shared" si="55"/>
        <v>246</v>
      </c>
      <c r="AA615" s="39">
        <f t="shared" si="56"/>
        <v>64.0936170212766</v>
      </c>
      <c r="AB615" s="39">
        <f t="shared" si="57"/>
        <v>2957.2578878576164</v>
      </c>
      <c r="AC615">
        <f t="shared" si="60"/>
        <v>0.99984666847737125</v>
      </c>
      <c r="AD615">
        <f t="shared" si="58"/>
        <v>0.99977768980743442</v>
      </c>
      <c r="AE615">
        <f t="shared" si="59"/>
        <v>16185</v>
      </c>
    </row>
    <row r="616" spans="1:31">
      <c r="A616" s="9">
        <v>615</v>
      </c>
      <c r="B616" s="30">
        <v>40571</v>
      </c>
      <c r="C616" s="9">
        <v>1</v>
      </c>
      <c r="D616" s="9">
        <v>0</v>
      </c>
      <c r="E616" s="9">
        <v>1</v>
      </c>
      <c r="F616" s="9">
        <v>20</v>
      </c>
      <c r="G616" s="9" t="b">
        <v>0</v>
      </c>
      <c r="H616" s="9">
        <v>5</v>
      </c>
      <c r="I616" s="9">
        <v>2</v>
      </c>
      <c r="J616" s="9">
        <v>0.24</v>
      </c>
      <c r="K616" s="9">
        <v>0.2273</v>
      </c>
      <c r="L616" s="9">
        <v>0.7</v>
      </c>
      <c r="M616" s="9">
        <v>0.19400000000000001</v>
      </c>
      <c r="N616" s="9">
        <v>1</v>
      </c>
      <c r="O616" s="9">
        <v>61</v>
      </c>
      <c r="P616" s="9">
        <v>62</v>
      </c>
      <c r="Q616" s="13" t="s">
        <v>98</v>
      </c>
      <c r="R616" s="13" t="s">
        <v>79</v>
      </c>
      <c r="S616" s="9" t="s">
        <v>80</v>
      </c>
      <c r="T616" s="11" t="s">
        <v>88</v>
      </c>
      <c r="U616" s="16" t="s">
        <v>97</v>
      </c>
      <c r="V616" s="11" t="s">
        <v>87</v>
      </c>
      <c r="W616" s="15" t="s">
        <v>84</v>
      </c>
      <c r="X616" s="9" t="s">
        <v>85</v>
      </c>
      <c r="Y616" s="13" t="s">
        <v>99</v>
      </c>
      <c r="Z616">
        <f t="shared" si="55"/>
        <v>245</v>
      </c>
      <c r="AA616" s="39">
        <f t="shared" si="56"/>
        <v>64.0936170212766</v>
      </c>
      <c r="AB616" s="39">
        <f t="shared" si="57"/>
        <v>2961.0793873760472</v>
      </c>
      <c r="AC616">
        <f t="shared" si="60"/>
        <v>0.99984673382668898</v>
      </c>
      <c r="AD616">
        <f t="shared" si="58"/>
        <v>0.99977771400829518</v>
      </c>
      <c r="AE616">
        <f t="shared" si="59"/>
        <v>16096</v>
      </c>
    </row>
    <row r="617" spans="1:31">
      <c r="A617" s="10">
        <v>616</v>
      </c>
      <c r="B617" s="31">
        <v>40571</v>
      </c>
      <c r="C617" s="10">
        <v>1</v>
      </c>
      <c r="D617" s="10">
        <v>0</v>
      </c>
      <c r="E617" s="10">
        <v>1</v>
      </c>
      <c r="F617" s="10">
        <v>21</v>
      </c>
      <c r="G617" s="10" t="b">
        <v>0</v>
      </c>
      <c r="H617" s="10">
        <v>5</v>
      </c>
      <c r="I617" s="10">
        <v>2</v>
      </c>
      <c r="J617" s="10">
        <v>0.22</v>
      </c>
      <c r="K617" s="10">
        <v>0.2273</v>
      </c>
      <c r="L617" s="10">
        <v>0.75</v>
      </c>
      <c r="M617" s="10">
        <v>0.1343</v>
      </c>
      <c r="N617" s="10">
        <v>1</v>
      </c>
      <c r="O617" s="10">
        <v>57</v>
      </c>
      <c r="P617" s="10">
        <v>58</v>
      </c>
      <c r="Q617" s="13" t="s">
        <v>98</v>
      </c>
      <c r="R617" s="13" t="s">
        <v>79</v>
      </c>
      <c r="S617" s="10" t="s">
        <v>80</v>
      </c>
      <c r="T617" s="11" t="s">
        <v>88</v>
      </c>
      <c r="U617" s="16" t="s">
        <v>97</v>
      </c>
      <c r="V617" s="11" t="s">
        <v>87</v>
      </c>
      <c r="W617" s="15" t="s">
        <v>84</v>
      </c>
      <c r="X617" s="10" t="s">
        <v>85</v>
      </c>
      <c r="Y617" s="13" t="s">
        <v>99</v>
      </c>
      <c r="Z617">
        <f t="shared" si="55"/>
        <v>244</v>
      </c>
      <c r="AA617" s="39">
        <f t="shared" si="56"/>
        <v>64.0936170212766</v>
      </c>
      <c r="AB617" s="39">
        <f t="shared" si="57"/>
        <v>2964.9124885693514</v>
      </c>
      <c r="AC617">
        <f t="shared" si="60"/>
        <v>0.99984673783436684</v>
      </c>
      <c r="AD617">
        <f t="shared" si="58"/>
        <v>0.999777724300144</v>
      </c>
      <c r="AE617">
        <f t="shared" si="59"/>
        <v>16034</v>
      </c>
    </row>
    <row r="618" spans="1:31">
      <c r="A618" s="9">
        <v>617</v>
      </c>
      <c r="B618" s="30">
        <v>40571</v>
      </c>
      <c r="C618" s="9">
        <v>1</v>
      </c>
      <c r="D618" s="9">
        <v>0</v>
      </c>
      <c r="E618" s="9">
        <v>1</v>
      </c>
      <c r="F618" s="9">
        <v>22</v>
      </c>
      <c r="G618" s="9" t="b">
        <v>0</v>
      </c>
      <c r="H618" s="9">
        <v>5</v>
      </c>
      <c r="I618" s="9">
        <v>1</v>
      </c>
      <c r="J618" s="9">
        <v>0.24</v>
      </c>
      <c r="K618" s="9">
        <v>0.21210000000000001</v>
      </c>
      <c r="L618" s="9">
        <v>0.65</v>
      </c>
      <c r="M618" s="9">
        <v>0.35820000000000002</v>
      </c>
      <c r="N618" s="9">
        <v>0</v>
      </c>
      <c r="O618" s="9">
        <v>26</v>
      </c>
      <c r="P618" s="9">
        <v>26</v>
      </c>
      <c r="Q618" s="13" t="s">
        <v>98</v>
      </c>
      <c r="R618" s="13" t="s">
        <v>79</v>
      </c>
      <c r="S618" s="9" t="s">
        <v>80</v>
      </c>
      <c r="T618" s="13" t="s">
        <v>81</v>
      </c>
      <c r="U618" s="16" t="s">
        <v>97</v>
      </c>
      <c r="V618" s="12" t="s">
        <v>83</v>
      </c>
      <c r="W618" s="15" t="s">
        <v>84</v>
      </c>
      <c r="X618" s="9" t="s">
        <v>85</v>
      </c>
      <c r="Y618" s="13" t="s">
        <v>99</v>
      </c>
      <c r="Z618">
        <f t="shared" si="55"/>
        <v>243</v>
      </c>
      <c r="AA618" s="39">
        <f t="shared" si="56"/>
        <v>64.0936170212766</v>
      </c>
      <c r="AB618" s="39">
        <f t="shared" si="57"/>
        <v>2968.7599759299237</v>
      </c>
      <c r="AC618">
        <f t="shared" si="60"/>
        <v>0.99984673933600132</v>
      </c>
      <c r="AD618">
        <f t="shared" si="58"/>
        <v>0.99977777043584426</v>
      </c>
      <c r="AE618">
        <f t="shared" si="59"/>
        <v>15976</v>
      </c>
    </row>
    <row r="619" spans="1:31">
      <c r="A619" s="10">
        <v>618</v>
      </c>
      <c r="B619" s="31">
        <v>40571</v>
      </c>
      <c r="C619" s="10">
        <v>1</v>
      </c>
      <c r="D619" s="10">
        <v>0</v>
      </c>
      <c r="E619" s="10">
        <v>1</v>
      </c>
      <c r="F619" s="10">
        <v>23</v>
      </c>
      <c r="G619" s="10" t="b">
        <v>0</v>
      </c>
      <c r="H619" s="10">
        <v>5</v>
      </c>
      <c r="I619" s="10">
        <v>1</v>
      </c>
      <c r="J619" s="10">
        <v>0.24</v>
      </c>
      <c r="K619" s="10">
        <v>0.2273</v>
      </c>
      <c r="L619" s="10">
        <v>0.6</v>
      </c>
      <c r="M619" s="10">
        <v>0.22389999999999999</v>
      </c>
      <c r="N619" s="10">
        <v>1</v>
      </c>
      <c r="O619" s="10">
        <v>22</v>
      </c>
      <c r="P619" s="10">
        <v>23</v>
      </c>
      <c r="Q619" s="13" t="s">
        <v>98</v>
      </c>
      <c r="R619" s="13" t="s">
        <v>79</v>
      </c>
      <c r="S619" s="10" t="s">
        <v>80</v>
      </c>
      <c r="T619" s="13" t="s">
        <v>81</v>
      </c>
      <c r="U619" s="16" t="s">
        <v>97</v>
      </c>
      <c r="V619" s="12" t="s">
        <v>83</v>
      </c>
      <c r="W619" s="15" t="s">
        <v>84</v>
      </c>
      <c r="X619" s="10" t="s">
        <v>85</v>
      </c>
      <c r="Y619" s="13" t="s">
        <v>99</v>
      </c>
      <c r="Z619">
        <f t="shared" si="55"/>
        <v>242</v>
      </c>
      <c r="AA619" s="39">
        <f t="shared" si="56"/>
        <v>64.256410256410263</v>
      </c>
      <c r="AB619" s="39">
        <f t="shared" si="57"/>
        <v>2972.6176502569183</v>
      </c>
      <c r="AC619">
        <f t="shared" si="60"/>
        <v>0.99984699730191351</v>
      </c>
      <c r="AD619">
        <f t="shared" si="58"/>
        <v>0.99977800499397418</v>
      </c>
      <c r="AE619">
        <f t="shared" si="59"/>
        <v>15950</v>
      </c>
    </row>
    <row r="620" spans="1:31">
      <c r="A620" s="9">
        <v>619</v>
      </c>
      <c r="B620" s="30">
        <v>40572</v>
      </c>
      <c r="C620" s="9">
        <v>1</v>
      </c>
      <c r="D620" s="9">
        <v>0</v>
      </c>
      <c r="E620" s="9">
        <v>1</v>
      </c>
      <c r="F620" s="9">
        <v>0</v>
      </c>
      <c r="G620" s="9" t="b">
        <v>0</v>
      </c>
      <c r="H620" s="9">
        <v>6</v>
      </c>
      <c r="I620" s="9">
        <v>1</v>
      </c>
      <c r="J620" s="9">
        <v>0.22</v>
      </c>
      <c r="K620" s="9">
        <v>0.19700000000000001</v>
      </c>
      <c r="L620" s="9">
        <v>0.64</v>
      </c>
      <c r="M620" s="9">
        <v>0.35820000000000002</v>
      </c>
      <c r="N620" s="9">
        <v>2</v>
      </c>
      <c r="O620" s="9">
        <v>26</v>
      </c>
      <c r="P620" s="9">
        <v>28</v>
      </c>
      <c r="Q620" s="12" t="s">
        <v>78</v>
      </c>
      <c r="R620" s="13" t="s">
        <v>79</v>
      </c>
      <c r="S620" s="9" t="s">
        <v>80</v>
      </c>
      <c r="T620" s="13" t="s">
        <v>81</v>
      </c>
      <c r="U620" s="14" t="s">
        <v>82</v>
      </c>
      <c r="V620" s="12" t="s">
        <v>83</v>
      </c>
      <c r="W620" s="15" t="s">
        <v>84</v>
      </c>
      <c r="X620" s="9" t="s">
        <v>85</v>
      </c>
      <c r="Y620" s="12" t="s">
        <v>86</v>
      </c>
      <c r="Z620">
        <f t="shared" si="55"/>
        <v>241</v>
      </c>
      <c r="AA620" s="39">
        <f t="shared" si="56"/>
        <v>64.433476394849791</v>
      </c>
      <c r="AB620" s="39">
        <f t="shared" si="57"/>
        <v>2976.4899008803159</v>
      </c>
      <c r="AC620">
        <f t="shared" si="60"/>
        <v>0.99984729520953308</v>
      </c>
      <c r="AD620">
        <f t="shared" si="58"/>
        <v>0.99977821749608242</v>
      </c>
      <c r="AE620">
        <f t="shared" si="59"/>
        <v>15927</v>
      </c>
    </row>
    <row r="621" spans="1:31">
      <c r="A621" s="10">
        <v>620</v>
      </c>
      <c r="B621" s="31">
        <v>40572</v>
      </c>
      <c r="C621" s="10">
        <v>1</v>
      </c>
      <c r="D621" s="10">
        <v>0</v>
      </c>
      <c r="E621" s="10">
        <v>1</v>
      </c>
      <c r="F621" s="10">
        <v>1</v>
      </c>
      <c r="G621" s="10" t="b">
        <v>0</v>
      </c>
      <c r="H621" s="10">
        <v>6</v>
      </c>
      <c r="I621" s="10">
        <v>1</v>
      </c>
      <c r="J621" s="10">
        <v>0.22</v>
      </c>
      <c r="K621" s="10">
        <v>0.2273</v>
      </c>
      <c r="L621" s="10">
        <v>0.64</v>
      </c>
      <c r="M621" s="10">
        <v>0.19400000000000001</v>
      </c>
      <c r="N621" s="10">
        <v>0</v>
      </c>
      <c r="O621" s="10">
        <v>20</v>
      </c>
      <c r="P621" s="10">
        <v>20</v>
      </c>
      <c r="Q621" s="12" t="s">
        <v>78</v>
      </c>
      <c r="R621" s="13" t="s">
        <v>79</v>
      </c>
      <c r="S621" s="10" t="s">
        <v>80</v>
      </c>
      <c r="T621" s="13" t="s">
        <v>81</v>
      </c>
      <c r="U621" s="14" t="s">
        <v>82</v>
      </c>
      <c r="V621" s="12" t="s">
        <v>83</v>
      </c>
      <c r="W621" s="15" t="s">
        <v>84</v>
      </c>
      <c r="X621" s="10" t="s">
        <v>85</v>
      </c>
      <c r="Y621" s="12" t="s">
        <v>86</v>
      </c>
      <c r="Z621">
        <f t="shared" si="55"/>
        <v>241</v>
      </c>
      <c r="AA621" s="39">
        <f t="shared" si="56"/>
        <v>64.590517241379317</v>
      </c>
      <c r="AB621" s="39">
        <f t="shared" si="57"/>
        <v>2980.3781572899902</v>
      </c>
      <c r="AC621">
        <f t="shared" si="60"/>
        <v>0.999847469171249</v>
      </c>
      <c r="AD621">
        <f t="shared" si="58"/>
        <v>0.99977842011325624</v>
      </c>
      <c r="AE621">
        <f t="shared" si="59"/>
        <v>15927</v>
      </c>
    </row>
    <row r="622" spans="1:31">
      <c r="A622" s="9">
        <v>621</v>
      </c>
      <c r="B622" s="30">
        <v>40572</v>
      </c>
      <c r="C622" s="9">
        <v>1</v>
      </c>
      <c r="D622" s="9">
        <v>0</v>
      </c>
      <c r="E622" s="9">
        <v>1</v>
      </c>
      <c r="F622" s="9">
        <v>2</v>
      </c>
      <c r="G622" s="9" t="b">
        <v>0</v>
      </c>
      <c r="H622" s="9">
        <v>6</v>
      </c>
      <c r="I622" s="9">
        <v>1</v>
      </c>
      <c r="J622" s="9">
        <v>0.22</v>
      </c>
      <c r="K622" s="9">
        <v>0.2273</v>
      </c>
      <c r="L622" s="9">
        <v>0.64</v>
      </c>
      <c r="M622" s="9">
        <v>0.16420000000000001</v>
      </c>
      <c r="N622" s="9">
        <v>0</v>
      </c>
      <c r="O622" s="9">
        <v>15</v>
      </c>
      <c r="P622" s="9">
        <v>15</v>
      </c>
      <c r="Q622" s="12" t="s">
        <v>78</v>
      </c>
      <c r="R622" s="13" t="s">
        <v>79</v>
      </c>
      <c r="S622" s="9" t="s">
        <v>80</v>
      </c>
      <c r="T622" s="13" t="s">
        <v>81</v>
      </c>
      <c r="U622" s="14" t="s">
        <v>82</v>
      </c>
      <c r="V622" s="12" t="s">
        <v>83</v>
      </c>
      <c r="W622" s="15" t="s">
        <v>84</v>
      </c>
      <c r="X622" s="9" t="s">
        <v>85</v>
      </c>
      <c r="Y622" s="12" t="s">
        <v>86</v>
      </c>
      <c r="Z622">
        <f t="shared" si="55"/>
        <v>241</v>
      </c>
      <c r="AA622" s="39">
        <f t="shared" si="56"/>
        <v>64.783549783549788</v>
      </c>
      <c r="AB622" s="39">
        <f t="shared" si="57"/>
        <v>2984.280341333681</v>
      </c>
      <c r="AC622">
        <f t="shared" si="60"/>
        <v>0.99984773520492032</v>
      </c>
      <c r="AD622">
        <f t="shared" si="58"/>
        <v>0.99977872147364522</v>
      </c>
      <c r="AE622">
        <f t="shared" si="59"/>
        <v>15927</v>
      </c>
    </row>
    <row r="623" spans="1:31">
      <c r="A623" s="10">
        <v>622</v>
      </c>
      <c r="B623" s="31">
        <v>40572</v>
      </c>
      <c r="C623" s="10">
        <v>1</v>
      </c>
      <c r="D623" s="10">
        <v>0</v>
      </c>
      <c r="E623" s="10">
        <v>1</v>
      </c>
      <c r="F623" s="10">
        <v>3</v>
      </c>
      <c r="G623" s="10" t="b">
        <v>0</v>
      </c>
      <c r="H623" s="10">
        <v>6</v>
      </c>
      <c r="I623" s="10">
        <v>1</v>
      </c>
      <c r="J623" s="10">
        <v>0.2</v>
      </c>
      <c r="K623" s="10">
        <v>0.21210000000000001</v>
      </c>
      <c r="L623" s="10">
        <v>0.64</v>
      </c>
      <c r="M623" s="10">
        <v>0.1343</v>
      </c>
      <c r="N623" s="10">
        <v>3</v>
      </c>
      <c r="O623" s="10">
        <v>5</v>
      </c>
      <c r="P623" s="10">
        <v>8</v>
      </c>
      <c r="Q623" s="12" t="s">
        <v>78</v>
      </c>
      <c r="R623" s="13" t="s">
        <v>79</v>
      </c>
      <c r="S623" s="10" t="s">
        <v>80</v>
      </c>
      <c r="T623" s="13" t="s">
        <v>81</v>
      </c>
      <c r="U623" s="14" t="s">
        <v>82</v>
      </c>
      <c r="V623" s="12" t="s">
        <v>83</v>
      </c>
      <c r="W623" s="15" t="s">
        <v>84</v>
      </c>
      <c r="X623" s="10" t="s">
        <v>85</v>
      </c>
      <c r="Y623" s="12" t="s">
        <v>86</v>
      </c>
      <c r="Z623">
        <f t="shared" si="55"/>
        <v>241</v>
      </c>
      <c r="AA623" s="39">
        <f t="shared" si="56"/>
        <v>65</v>
      </c>
      <c r="AB623" s="39">
        <f t="shared" si="57"/>
        <v>2988.1970167723339</v>
      </c>
      <c r="AC623">
        <f t="shared" si="60"/>
        <v>0.99984806941298809</v>
      </c>
      <c r="AD623">
        <f t="shared" si="58"/>
        <v>0.99977909528059539</v>
      </c>
      <c r="AE623">
        <f t="shared" si="59"/>
        <v>15927</v>
      </c>
    </row>
    <row r="624" spans="1:31">
      <c r="A624" s="9">
        <v>623</v>
      </c>
      <c r="B624" s="30">
        <v>40572</v>
      </c>
      <c r="C624" s="9">
        <v>1</v>
      </c>
      <c r="D624" s="9">
        <v>0</v>
      </c>
      <c r="E624" s="9">
        <v>1</v>
      </c>
      <c r="F624" s="9">
        <v>4</v>
      </c>
      <c r="G624" s="9" t="b">
        <v>0</v>
      </c>
      <c r="H624" s="9">
        <v>6</v>
      </c>
      <c r="I624" s="9">
        <v>1</v>
      </c>
      <c r="J624" s="9">
        <v>0.16</v>
      </c>
      <c r="K624" s="9">
        <v>0.18179999999999999</v>
      </c>
      <c r="L624" s="9">
        <v>0.69</v>
      </c>
      <c r="M624" s="9">
        <v>0.1045</v>
      </c>
      <c r="N624" s="9">
        <v>1</v>
      </c>
      <c r="O624" s="9">
        <v>2</v>
      </c>
      <c r="P624" s="9">
        <v>3</v>
      </c>
      <c r="Q624" s="12" t="s">
        <v>78</v>
      </c>
      <c r="R624" s="13" t="s">
        <v>79</v>
      </c>
      <c r="S624" s="9" t="s">
        <v>80</v>
      </c>
      <c r="T624" s="13" t="s">
        <v>81</v>
      </c>
      <c r="U624" s="14" t="s">
        <v>82</v>
      </c>
      <c r="V624" s="12" t="s">
        <v>83</v>
      </c>
      <c r="W624" s="15" t="s">
        <v>84</v>
      </c>
      <c r="X624" s="9" t="s">
        <v>85</v>
      </c>
      <c r="Y624" s="12" t="s">
        <v>86</v>
      </c>
      <c r="Z624">
        <f t="shared" si="55"/>
        <v>241</v>
      </c>
      <c r="AA624" s="39">
        <f t="shared" si="56"/>
        <v>65.248908296943227</v>
      </c>
      <c r="AB624" s="39">
        <f t="shared" si="57"/>
        <v>2992.127885241177</v>
      </c>
      <c r="AC624">
        <f t="shared" si="60"/>
        <v>0.99984842444815281</v>
      </c>
      <c r="AD624">
        <f t="shared" si="58"/>
        <v>0.99977958298199621</v>
      </c>
      <c r="AE624">
        <f t="shared" si="59"/>
        <v>15927</v>
      </c>
    </row>
    <row r="625" spans="1:31">
      <c r="A625" s="10">
        <v>624</v>
      </c>
      <c r="B625" s="31">
        <v>40572</v>
      </c>
      <c r="C625" s="10">
        <v>1</v>
      </c>
      <c r="D625" s="10">
        <v>0</v>
      </c>
      <c r="E625" s="10">
        <v>1</v>
      </c>
      <c r="F625" s="10">
        <v>6</v>
      </c>
      <c r="G625" s="10" t="b">
        <v>0</v>
      </c>
      <c r="H625" s="10">
        <v>6</v>
      </c>
      <c r="I625" s="10">
        <v>1</v>
      </c>
      <c r="J625" s="10">
        <v>0.16</v>
      </c>
      <c r="K625" s="10">
        <v>0.18179999999999999</v>
      </c>
      <c r="L625" s="10">
        <v>0.64</v>
      </c>
      <c r="M625" s="10">
        <v>0.1343</v>
      </c>
      <c r="N625" s="10">
        <v>0</v>
      </c>
      <c r="O625" s="10">
        <v>2</v>
      </c>
      <c r="P625" s="10">
        <v>2</v>
      </c>
      <c r="Q625" s="12" t="s">
        <v>78</v>
      </c>
      <c r="R625" s="13" t="s">
        <v>79</v>
      </c>
      <c r="S625" s="10" t="s">
        <v>80</v>
      </c>
      <c r="T625" s="13" t="s">
        <v>81</v>
      </c>
      <c r="U625" s="15" t="s">
        <v>89</v>
      </c>
      <c r="V625" s="12" t="s">
        <v>83</v>
      </c>
      <c r="W625" s="15" t="s">
        <v>84</v>
      </c>
      <c r="X625" s="10" t="s">
        <v>85</v>
      </c>
      <c r="Y625" s="12" t="s">
        <v>86</v>
      </c>
      <c r="Z625">
        <f t="shared" si="55"/>
        <v>241</v>
      </c>
      <c r="AA625" s="39">
        <f t="shared" si="56"/>
        <v>65.521929824561397</v>
      </c>
      <c r="AB625" s="39">
        <f t="shared" si="57"/>
        <v>2996.0733707950067</v>
      </c>
      <c r="AC625">
        <f t="shared" si="60"/>
        <v>0.99984869494859163</v>
      </c>
      <c r="AD625">
        <f t="shared" si="58"/>
        <v>0.99978025900959611</v>
      </c>
      <c r="AE625">
        <f t="shared" si="59"/>
        <v>15927</v>
      </c>
    </row>
    <row r="626" spans="1:31">
      <c r="A626" s="9">
        <v>625</v>
      </c>
      <c r="B626" s="30">
        <v>40572</v>
      </c>
      <c r="C626" s="9">
        <v>1</v>
      </c>
      <c r="D626" s="9">
        <v>0</v>
      </c>
      <c r="E626" s="9">
        <v>1</v>
      </c>
      <c r="F626" s="9">
        <v>7</v>
      </c>
      <c r="G626" s="9" t="b">
        <v>0</v>
      </c>
      <c r="H626" s="9">
        <v>6</v>
      </c>
      <c r="I626" s="9">
        <v>1</v>
      </c>
      <c r="J626" s="9">
        <v>0.16</v>
      </c>
      <c r="K626" s="9">
        <v>0.18179999999999999</v>
      </c>
      <c r="L626" s="9">
        <v>0.59</v>
      </c>
      <c r="M626" s="9">
        <v>0.1045</v>
      </c>
      <c r="N626" s="9">
        <v>1</v>
      </c>
      <c r="O626" s="9">
        <v>4</v>
      </c>
      <c r="P626" s="9">
        <v>5</v>
      </c>
      <c r="Q626" s="12" t="s">
        <v>78</v>
      </c>
      <c r="R626" s="13" t="s">
        <v>79</v>
      </c>
      <c r="S626" s="9" t="s">
        <v>80</v>
      </c>
      <c r="T626" s="13" t="s">
        <v>81</v>
      </c>
      <c r="U626" s="15" t="s">
        <v>89</v>
      </c>
      <c r="V626" s="12" t="s">
        <v>83</v>
      </c>
      <c r="W626" s="15" t="s">
        <v>84</v>
      </c>
      <c r="X626" s="9" t="s">
        <v>85</v>
      </c>
      <c r="Y626" s="12" t="s">
        <v>86</v>
      </c>
      <c r="Z626">
        <f t="shared" si="55"/>
        <v>241</v>
      </c>
      <c r="AA626" s="39">
        <f t="shared" si="56"/>
        <v>65.801762114537439</v>
      </c>
      <c r="AB626" s="39">
        <f t="shared" si="57"/>
        <v>3000.0343144753861</v>
      </c>
      <c r="AC626">
        <f t="shared" si="60"/>
        <v>0.99984897976831411</v>
      </c>
      <c r="AD626">
        <f t="shared" si="58"/>
        <v>0.99978086045514047</v>
      </c>
      <c r="AE626">
        <f t="shared" si="59"/>
        <v>15927</v>
      </c>
    </row>
    <row r="627" spans="1:31">
      <c r="A627" s="10">
        <v>626</v>
      </c>
      <c r="B627" s="31">
        <v>40572</v>
      </c>
      <c r="C627" s="10">
        <v>1</v>
      </c>
      <c r="D627" s="10">
        <v>0</v>
      </c>
      <c r="E627" s="10">
        <v>1</v>
      </c>
      <c r="F627" s="10">
        <v>8</v>
      </c>
      <c r="G627" s="10" t="b">
        <v>0</v>
      </c>
      <c r="H627" s="10">
        <v>6</v>
      </c>
      <c r="I627" s="10">
        <v>1</v>
      </c>
      <c r="J627" s="10">
        <v>0.18</v>
      </c>
      <c r="K627" s="10">
        <v>0.19700000000000001</v>
      </c>
      <c r="L627" s="10">
        <v>0.55000000000000004</v>
      </c>
      <c r="M627" s="10">
        <v>0.16420000000000001</v>
      </c>
      <c r="N627" s="10">
        <v>3</v>
      </c>
      <c r="O627" s="10">
        <v>31</v>
      </c>
      <c r="P627" s="10">
        <v>34</v>
      </c>
      <c r="Q627" s="12" t="s">
        <v>78</v>
      </c>
      <c r="R627" s="13" t="s">
        <v>79</v>
      </c>
      <c r="S627" s="10" t="s">
        <v>80</v>
      </c>
      <c r="T627" s="13" t="s">
        <v>81</v>
      </c>
      <c r="U627" s="15" t="s">
        <v>89</v>
      </c>
      <c r="V627" s="11" t="s">
        <v>87</v>
      </c>
      <c r="W627" s="15" t="s">
        <v>84</v>
      </c>
      <c r="X627" s="10" t="s">
        <v>85</v>
      </c>
      <c r="Y627" s="12" t="s">
        <v>86</v>
      </c>
      <c r="Z627">
        <f t="shared" si="55"/>
        <v>241</v>
      </c>
      <c r="AA627" s="39">
        <f t="shared" si="56"/>
        <v>66.070796460176993</v>
      </c>
      <c r="AB627" s="39">
        <f t="shared" si="57"/>
        <v>3004.0115808757232</v>
      </c>
      <c r="AC627">
        <f t="shared" si="60"/>
        <v>0.9998492282830127</v>
      </c>
      <c r="AD627">
        <f t="shared" si="58"/>
        <v>0.99978132279255183</v>
      </c>
      <c r="AE627">
        <f t="shared" si="59"/>
        <v>15927</v>
      </c>
    </row>
    <row r="628" spans="1:31">
      <c r="A628" s="9">
        <v>627</v>
      </c>
      <c r="B628" s="30">
        <v>40572</v>
      </c>
      <c r="C628" s="9">
        <v>1</v>
      </c>
      <c r="D628" s="9">
        <v>0</v>
      </c>
      <c r="E628" s="9">
        <v>1</v>
      </c>
      <c r="F628" s="9">
        <v>9</v>
      </c>
      <c r="G628" s="9" t="b">
        <v>0</v>
      </c>
      <c r="H628" s="9">
        <v>6</v>
      </c>
      <c r="I628" s="9">
        <v>1</v>
      </c>
      <c r="J628" s="9">
        <v>0.18</v>
      </c>
      <c r="K628" s="9">
        <v>0.21210000000000001</v>
      </c>
      <c r="L628" s="9">
        <v>0.59</v>
      </c>
      <c r="M628" s="9">
        <v>8.9599999999999999E-2</v>
      </c>
      <c r="N628" s="9">
        <v>0</v>
      </c>
      <c r="O628" s="9">
        <v>34</v>
      </c>
      <c r="P628" s="9">
        <v>34</v>
      </c>
      <c r="Q628" s="12" t="s">
        <v>78</v>
      </c>
      <c r="R628" s="13" t="s">
        <v>79</v>
      </c>
      <c r="S628" s="9" t="s">
        <v>80</v>
      </c>
      <c r="T628" s="13" t="s">
        <v>81</v>
      </c>
      <c r="U628" s="15" t="s">
        <v>89</v>
      </c>
      <c r="V628" s="11" t="s">
        <v>87</v>
      </c>
      <c r="W628" s="15" t="s">
        <v>84</v>
      </c>
      <c r="X628" s="9" t="s">
        <v>85</v>
      </c>
      <c r="Y628" s="12" t="s">
        <v>86</v>
      </c>
      <c r="Z628">
        <f t="shared" si="55"/>
        <v>241</v>
      </c>
      <c r="AA628" s="39">
        <f t="shared" si="56"/>
        <v>66.213333333333338</v>
      </c>
      <c r="AB628" s="39">
        <f t="shared" si="57"/>
        <v>3008.0098425712217</v>
      </c>
      <c r="AC628">
        <f t="shared" si="60"/>
        <v>0.99984927420753267</v>
      </c>
      <c r="AD628">
        <f t="shared" si="58"/>
        <v>0.99978140022248463</v>
      </c>
      <c r="AE628">
        <f t="shared" si="59"/>
        <v>15927</v>
      </c>
    </row>
    <row r="629" spans="1:31">
      <c r="A629" s="10">
        <v>628</v>
      </c>
      <c r="B629" s="31">
        <v>40572</v>
      </c>
      <c r="C629" s="10">
        <v>1</v>
      </c>
      <c r="D629" s="10">
        <v>0</v>
      </c>
      <c r="E629" s="10">
        <v>1</v>
      </c>
      <c r="F629" s="10">
        <v>10</v>
      </c>
      <c r="G629" s="10" t="b">
        <v>0</v>
      </c>
      <c r="H629" s="10">
        <v>6</v>
      </c>
      <c r="I629" s="10">
        <v>2</v>
      </c>
      <c r="J629" s="10">
        <v>0.18</v>
      </c>
      <c r="K629" s="10">
        <v>0.21210000000000001</v>
      </c>
      <c r="L629" s="10">
        <v>0.64</v>
      </c>
      <c r="M629" s="10">
        <v>0.1045</v>
      </c>
      <c r="N629" s="10">
        <v>4</v>
      </c>
      <c r="O629" s="10">
        <v>51</v>
      </c>
      <c r="P629" s="10">
        <v>55</v>
      </c>
      <c r="Q629" s="12" t="s">
        <v>78</v>
      </c>
      <c r="R629" s="13" t="s">
        <v>79</v>
      </c>
      <c r="S629" s="10" t="s">
        <v>80</v>
      </c>
      <c r="T629" s="11" t="s">
        <v>88</v>
      </c>
      <c r="U629" s="13" t="s">
        <v>91</v>
      </c>
      <c r="V629" s="11" t="s">
        <v>87</v>
      </c>
      <c r="W629" s="15" t="s">
        <v>84</v>
      </c>
      <c r="X629" s="10" t="s">
        <v>85</v>
      </c>
      <c r="Y629" s="12" t="s">
        <v>86</v>
      </c>
      <c r="Z629">
        <f t="shared" si="55"/>
        <v>241</v>
      </c>
      <c r="AA629" s="39">
        <f t="shared" si="56"/>
        <v>66.357142857142861</v>
      </c>
      <c r="AB629" s="39">
        <f t="shared" si="57"/>
        <v>3012.0241115411741</v>
      </c>
      <c r="AC629">
        <f t="shared" si="60"/>
        <v>0.99984932037935004</v>
      </c>
      <c r="AD629">
        <f t="shared" si="58"/>
        <v>0.99978150802149679</v>
      </c>
      <c r="AE629">
        <f t="shared" si="59"/>
        <v>15927</v>
      </c>
    </row>
    <row r="630" spans="1:31">
      <c r="A630" s="9">
        <v>629</v>
      </c>
      <c r="B630" s="30">
        <v>40572</v>
      </c>
      <c r="C630" s="9">
        <v>1</v>
      </c>
      <c r="D630" s="9">
        <v>0</v>
      </c>
      <c r="E630" s="9">
        <v>1</v>
      </c>
      <c r="F630" s="9">
        <v>11</v>
      </c>
      <c r="G630" s="9" t="b">
        <v>0</v>
      </c>
      <c r="H630" s="9">
        <v>6</v>
      </c>
      <c r="I630" s="9">
        <v>2</v>
      </c>
      <c r="J630" s="9">
        <v>0.18</v>
      </c>
      <c r="K630" s="9">
        <v>0.19700000000000001</v>
      </c>
      <c r="L630" s="9">
        <v>0.64</v>
      </c>
      <c r="M630" s="9">
        <v>0.1343</v>
      </c>
      <c r="N630" s="9">
        <v>4</v>
      </c>
      <c r="O630" s="9">
        <v>60</v>
      </c>
      <c r="P630" s="9">
        <v>64</v>
      </c>
      <c r="Q630" s="12" t="s">
        <v>78</v>
      </c>
      <c r="R630" s="13" t="s">
        <v>79</v>
      </c>
      <c r="S630" s="9" t="s">
        <v>80</v>
      </c>
      <c r="T630" s="11" t="s">
        <v>88</v>
      </c>
      <c r="U630" s="13" t="s">
        <v>91</v>
      </c>
      <c r="V630" s="11" t="s">
        <v>87</v>
      </c>
      <c r="W630" s="15" t="s">
        <v>84</v>
      </c>
      <c r="X630" s="9" t="s">
        <v>85</v>
      </c>
      <c r="Y630" s="12" t="s">
        <v>86</v>
      </c>
      <c r="Z630">
        <f t="shared" si="55"/>
        <v>241</v>
      </c>
      <c r="AA630" s="39">
        <f t="shared" si="56"/>
        <v>66.357142857142861</v>
      </c>
      <c r="AB630" s="39">
        <f t="shared" si="57"/>
        <v>3016.0577727196282</v>
      </c>
      <c r="AC630">
        <f t="shared" si="60"/>
        <v>0.99984932051929354</v>
      </c>
      <c r="AD630">
        <f t="shared" si="58"/>
        <v>0.99978152527831599</v>
      </c>
      <c r="AE630">
        <f t="shared" si="59"/>
        <v>15927</v>
      </c>
    </row>
    <row r="631" spans="1:31">
      <c r="A631" s="10">
        <v>630</v>
      </c>
      <c r="B631" s="31">
        <v>40572</v>
      </c>
      <c r="C631" s="10">
        <v>1</v>
      </c>
      <c r="D631" s="10">
        <v>0</v>
      </c>
      <c r="E631" s="10">
        <v>1</v>
      </c>
      <c r="F631" s="10">
        <v>12</v>
      </c>
      <c r="G631" s="10" t="b">
        <v>0</v>
      </c>
      <c r="H631" s="10">
        <v>6</v>
      </c>
      <c r="I631" s="10">
        <v>2</v>
      </c>
      <c r="J631" s="10">
        <v>0.2</v>
      </c>
      <c r="K631" s="10">
        <v>0.19700000000000001</v>
      </c>
      <c r="L631" s="10">
        <v>0.59</v>
      </c>
      <c r="M631" s="10">
        <v>0.19400000000000001</v>
      </c>
      <c r="N631" s="10">
        <v>12</v>
      </c>
      <c r="O631" s="10">
        <v>66</v>
      </c>
      <c r="P631" s="10">
        <v>78</v>
      </c>
      <c r="Q631" s="12" t="s">
        <v>78</v>
      </c>
      <c r="R631" s="13" t="s">
        <v>79</v>
      </c>
      <c r="S631" s="10" t="s">
        <v>80</v>
      </c>
      <c r="T631" s="11" t="s">
        <v>88</v>
      </c>
      <c r="U631" s="11" t="s">
        <v>92</v>
      </c>
      <c r="V631" s="13" t="s">
        <v>93</v>
      </c>
      <c r="W631" s="15" t="s">
        <v>84</v>
      </c>
      <c r="X631" s="10" t="s">
        <v>85</v>
      </c>
      <c r="Y631" s="12" t="s">
        <v>86</v>
      </c>
      <c r="Z631">
        <f t="shared" si="55"/>
        <v>241</v>
      </c>
      <c r="AA631" s="39">
        <f t="shared" si="56"/>
        <v>66.357142857142861</v>
      </c>
      <c r="AB631" s="39">
        <f t="shared" si="57"/>
        <v>3020.108972303964</v>
      </c>
      <c r="AC631">
        <f t="shared" si="60"/>
        <v>0.99984934084312804</v>
      </c>
      <c r="AD631">
        <f t="shared" si="58"/>
        <v>0.99978152453213898</v>
      </c>
      <c r="AE631">
        <f t="shared" si="59"/>
        <v>15927</v>
      </c>
    </row>
    <row r="632" spans="1:31">
      <c r="A632" s="9">
        <v>631</v>
      </c>
      <c r="B632" s="30">
        <v>40572</v>
      </c>
      <c r="C632" s="9">
        <v>1</v>
      </c>
      <c r="D632" s="9">
        <v>0</v>
      </c>
      <c r="E632" s="9">
        <v>1</v>
      </c>
      <c r="F632" s="9">
        <v>13</v>
      </c>
      <c r="G632" s="9" t="b">
        <v>0</v>
      </c>
      <c r="H632" s="9">
        <v>6</v>
      </c>
      <c r="I632" s="9">
        <v>2</v>
      </c>
      <c r="J632" s="9">
        <v>0.22</v>
      </c>
      <c r="K632" s="9">
        <v>0.2273</v>
      </c>
      <c r="L632" s="9">
        <v>0.55000000000000004</v>
      </c>
      <c r="M632" s="9">
        <v>0.16420000000000001</v>
      </c>
      <c r="N632" s="9">
        <v>9</v>
      </c>
      <c r="O632" s="9">
        <v>56</v>
      </c>
      <c r="P632" s="9">
        <v>65</v>
      </c>
      <c r="Q632" s="12" t="s">
        <v>78</v>
      </c>
      <c r="R632" s="13" t="s">
        <v>79</v>
      </c>
      <c r="S632" s="9" t="s">
        <v>80</v>
      </c>
      <c r="T632" s="11" t="s">
        <v>88</v>
      </c>
      <c r="U632" s="11" t="s">
        <v>92</v>
      </c>
      <c r="V632" s="11" t="s">
        <v>87</v>
      </c>
      <c r="W632" s="15" t="s">
        <v>84</v>
      </c>
      <c r="X632" s="9" t="s">
        <v>85</v>
      </c>
      <c r="Y632" s="12" t="s">
        <v>86</v>
      </c>
      <c r="Z632">
        <f t="shared" si="55"/>
        <v>241</v>
      </c>
      <c r="AA632" s="39">
        <f t="shared" si="56"/>
        <v>66.357142857142861</v>
      </c>
      <c r="AB632" s="39">
        <f t="shared" si="57"/>
        <v>3024.1784101880435</v>
      </c>
      <c r="AC632">
        <f t="shared" si="60"/>
        <v>0.99984940153778867</v>
      </c>
      <c r="AD632">
        <f t="shared" si="58"/>
        <v>0.9997815642767065</v>
      </c>
      <c r="AE632">
        <f t="shared" si="59"/>
        <v>15927</v>
      </c>
    </row>
    <row r="633" spans="1:31">
      <c r="A633" s="10">
        <v>632</v>
      </c>
      <c r="B633" s="31">
        <v>40572</v>
      </c>
      <c r="C633" s="10">
        <v>1</v>
      </c>
      <c r="D633" s="10">
        <v>0</v>
      </c>
      <c r="E633" s="10">
        <v>1</v>
      </c>
      <c r="F633" s="10">
        <v>14</v>
      </c>
      <c r="G633" s="10" t="b">
        <v>0</v>
      </c>
      <c r="H633" s="10">
        <v>6</v>
      </c>
      <c r="I633" s="10">
        <v>2</v>
      </c>
      <c r="J633" s="10">
        <v>0.22</v>
      </c>
      <c r="K633" s="10">
        <v>0.2273</v>
      </c>
      <c r="L633" s="10">
        <v>0.6</v>
      </c>
      <c r="M633" s="10">
        <v>0.1343</v>
      </c>
      <c r="N633" s="10">
        <v>10</v>
      </c>
      <c r="O633" s="10">
        <v>89</v>
      </c>
      <c r="P633" s="10">
        <v>99</v>
      </c>
      <c r="Q633" s="12" t="s">
        <v>78</v>
      </c>
      <c r="R633" s="13" t="s">
        <v>79</v>
      </c>
      <c r="S633" s="10" t="s">
        <v>80</v>
      </c>
      <c r="T633" s="11" t="s">
        <v>88</v>
      </c>
      <c r="U633" s="13" t="s">
        <v>94</v>
      </c>
      <c r="V633" s="13" t="s">
        <v>93</v>
      </c>
      <c r="W633" s="15" t="s">
        <v>84</v>
      </c>
      <c r="X633" s="10" t="s">
        <v>85</v>
      </c>
      <c r="Y633" s="12" t="s">
        <v>86</v>
      </c>
      <c r="Z633">
        <f t="shared" si="55"/>
        <v>241</v>
      </c>
      <c r="AA633" s="39">
        <f t="shared" si="56"/>
        <v>66.357142857142861</v>
      </c>
      <c r="AB633" s="39">
        <f t="shared" si="57"/>
        <v>3028.262605662725</v>
      </c>
      <c r="AC633">
        <f t="shared" si="60"/>
        <v>0.99984940092961849</v>
      </c>
      <c r="AD633">
        <f t="shared" si="58"/>
        <v>0.99978157148152047</v>
      </c>
      <c r="AE633">
        <f t="shared" si="59"/>
        <v>15927</v>
      </c>
    </row>
    <row r="634" spans="1:31">
      <c r="A634" s="9">
        <v>633</v>
      </c>
      <c r="B634" s="30">
        <v>40572</v>
      </c>
      <c r="C634" s="9">
        <v>1</v>
      </c>
      <c r="D634" s="9">
        <v>0</v>
      </c>
      <c r="E634" s="9">
        <v>1</v>
      </c>
      <c r="F634" s="9">
        <v>15</v>
      </c>
      <c r="G634" s="9" t="b">
        <v>0</v>
      </c>
      <c r="H634" s="9">
        <v>6</v>
      </c>
      <c r="I634" s="9">
        <v>1</v>
      </c>
      <c r="J634" s="9">
        <v>0.22</v>
      </c>
      <c r="K634" s="9">
        <v>0.21210000000000001</v>
      </c>
      <c r="L634" s="9">
        <v>0.69</v>
      </c>
      <c r="M634" s="9">
        <v>0.25369999999999998</v>
      </c>
      <c r="N634" s="9">
        <v>22</v>
      </c>
      <c r="O634" s="9">
        <v>98</v>
      </c>
      <c r="P634" s="9">
        <v>120</v>
      </c>
      <c r="Q634" s="12" t="s">
        <v>78</v>
      </c>
      <c r="R634" s="13" t="s">
        <v>79</v>
      </c>
      <c r="S634" s="9" t="s">
        <v>80</v>
      </c>
      <c r="T634" s="13" t="s">
        <v>81</v>
      </c>
      <c r="U634" s="13" t="s">
        <v>94</v>
      </c>
      <c r="V634" s="13" t="s">
        <v>93</v>
      </c>
      <c r="W634" s="15" t="s">
        <v>84</v>
      </c>
      <c r="X634" s="9" t="s">
        <v>85</v>
      </c>
      <c r="Y634" s="12" t="s">
        <v>86</v>
      </c>
      <c r="Z634">
        <f t="shared" si="55"/>
        <v>241</v>
      </c>
      <c r="AA634" s="39">
        <f t="shared" si="56"/>
        <v>66.357142857142861</v>
      </c>
      <c r="AB634" s="39">
        <f t="shared" si="57"/>
        <v>3032.3676343034508</v>
      </c>
      <c r="AC634">
        <f t="shared" si="60"/>
        <v>0.99984959002642781</v>
      </c>
      <c r="AD634">
        <f t="shared" si="58"/>
        <v>0.99978177021641756</v>
      </c>
      <c r="AE634">
        <f t="shared" si="59"/>
        <v>15927</v>
      </c>
    </row>
    <row r="635" spans="1:31">
      <c r="A635" s="10">
        <v>634</v>
      </c>
      <c r="B635" s="31">
        <v>40572</v>
      </c>
      <c r="C635" s="10">
        <v>1</v>
      </c>
      <c r="D635" s="10">
        <v>0</v>
      </c>
      <c r="E635" s="10">
        <v>1</v>
      </c>
      <c r="F635" s="10">
        <v>16</v>
      </c>
      <c r="G635" s="10" t="b">
        <v>0</v>
      </c>
      <c r="H635" s="10">
        <v>6</v>
      </c>
      <c r="I635" s="10">
        <v>1</v>
      </c>
      <c r="J635" s="10">
        <v>0.24</v>
      </c>
      <c r="K635" s="10">
        <v>0.2424</v>
      </c>
      <c r="L635" s="10">
        <v>0.6</v>
      </c>
      <c r="M635" s="10">
        <v>0.16420000000000001</v>
      </c>
      <c r="N635" s="10">
        <v>19</v>
      </c>
      <c r="O635" s="10">
        <v>88</v>
      </c>
      <c r="P635" s="10">
        <v>107</v>
      </c>
      <c r="Q635" s="12" t="s">
        <v>78</v>
      </c>
      <c r="R635" s="13" t="s">
        <v>79</v>
      </c>
      <c r="S635" s="10" t="s">
        <v>80</v>
      </c>
      <c r="T635" s="13" t="s">
        <v>81</v>
      </c>
      <c r="U635" s="13" t="s">
        <v>94</v>
      </c>
      <c r="V635" s="13" t="s">
        <v>93</v>
      </c>
      <c r="W635" s="15" t="s">
        <v>84</v>
      </c>
      <c r="X635" s="10" t="s">
        <v>85</v>
      </c>
      <c r="Y635" s="12" t="s">
        <v>86</v>
      </c>
      <c r="Z635">
        <f t="shared" si="55"/>
        <v>241</v>
      </c>
      <c r="AA635" s="39">
        <f t="shared" si="56"/>
        <v>66.116591928251125</v>
      </c>
      <c r="AB635" s="39">
        <f t="shared" si="57"/>
        <v>3036.4915120319151</v>
      </c>
      <c r="AC635">
        <f t="shared" si="60"/>
        <v>0.99985006903774454</v>
      </c>
      <c r="AD635">
        <f t="shared" si="58"/>
        <v>0.99978212248600562</v>
      </c>
      <c r="AE635">
        <f t="shared" si="59"/>
        <v>15927</v>
      </c>
    </row>
    <row r="636" spans="1:31">
      <c r="A636" s="9">
        <v>635</v>
      </c>
      <c r="B636" s="30">
        <v>40572</v>
      </c>
      <c r="C636" s="9">
        <v>1</v>
      </c>
      <c r="D636" s="9">
        <v>0</v>
      </c>
      <c r="E636" s="9">
        <v>1</v>
      </c>
      <c r="F636" s="9">
        <v>17</v>
      </c>
      <c r="G636" s="9" t="b">
        <v>0</v>
      </c>
      <c r="H636" s="9">
        <v>6</v>
      </c>
      <c r="I636" s="9">
        <v>1</v>
      </c>
      <c r="J636" s="9">
        <v>0.24</v>
      </c>
      <c r="K636" s="9">
        <v>0.28789999999999999</v>
      </c>
      <c r="L636" s="9">
        <v>0.6</v>
      </c>
      <c r="M636" s="9">
        <v>0</v>
      </c>
      <c r="N636" s="9">
        <v>9</v>
      </c>
      <c r="O636" s="9">
        <v>82</v>
      </c>
      <c r="P636" s="9">
        <v>91</v>
      </c>
      <c r="Q636" s="12" t="s">
        <v>78</v>
      </c>
      <c r="R636" s="13" t="s">
        <v>79</v>
      </c>
      <c r="S636" s="9" t="s">
        <v>80</v>
      </c>
      <c r="T636" s="13" t="s">
        <v>81</v>
      </c>
      <c r="U636" s="15" t="s">
        <v>95</v>
      </c>
      <c r="V636" s="13" t="s">
        <v>93</v>
      </c>
      <c r="W636" s="15" t="s">
        <v>84</v>
      </c>
      <c r="X636" s="9" t="s">
        <v>85</v>
      </c>
      <c r="Y636" s="12" t="s">
        <v>86</v>
      </c>
      <c r="Z636">
        <f t="shared" si="55"/>
        <v>241</v>
      </c>
      <c r="AA636" s="39">
        <f t="shared" si="56"/>
        <v>65.932432432432435</v>
      </c>
      <c r="AB636" s="39">
        <f t="shared" si="57"/>
        <v>3040.630996385687</v>
      </c>
      <c r="AC636">
        <f t="shared" si="60"/>
        <v>0.9998502866713036</v>
      </c>
      <c r="AD636">
        <f t="shared" si="58"/>
        <v>0.99978242095884529</v>
      </c>
      <c r="AE636">
        <f t="shared" si="59"/>
        <v>15927</v>
      </c>
    </row>
    <row r="637" spans="1:31">
      <c r="A637" s="10">
        <v>636</v>
      </c>
      <c r="B637" s="31">
        <v>40572</v>
      </c>
      <c r="C637" s="10">
        <v>1</v>
      </c>
      <c r="D637" s="10">
        <v>0</v>
      </c>
      <c r="E637" s="10">
        <v>1</v>
      </c>
      <c r="F637" s="10">
        <v>18</v>
      </c>
      <c r="G637" s="10" t="b">
        <v>0</v>
      </c>
      <c r="H637" s="10">
        <v>6</v>
      </c>
      <c r="I637" s="10">
        <v>1</v>
      </c>
      <c r="J637" s="10">
        <v>0.22</v>
      </c>
      <c r="K637" s="10">
        <v>0.2273</v>
      </c>
      <c r="L637" s="10">
        <v>0.69</v>
      </c>
      <c r="M637" s="10">
        <v>0.1343</v>
      </c>
      <c r="N637" s="10">
        <v>9</v>
      </c>
      <c r="O637" s="10">
        <v>59</v>
      </c>
      <c r="P637" s="10">
        <v>68</v>
      </c>
      <c r="Q637" s="12" t="s">
        <v>78</v>
      </c>
      <c r="R637" s="13" t="s">
        <v>79</v>
      </c>
      <c r="S637" s="10" t="s">
        <v>80</v>
      </c>
      <c r="T637" s="13" t="s">
        <v>81</v>
      </c>
      <c r="U637" s="15" t="s">
        <v>95</v>
      </c>
      <c r="V637" s="11" t="s">
        <v>87</v>
      </c>
      <c r="W637" s="15" t="s">
        <v>84</v>
      </c>
      <c r="X637" s="10" t="s">
        <v>85</v>
      </c>
      <c r="Y637" s="12" t="s">
        <v>86</v>
      </c>
      <c r="Z637">
        <f t="shared" si="55"/>
        <v>241</v>
      </c>
      <c r="AA637" s="39">
        <f t="shared" si="56"/>
        <v>65.819004524886878</v>
      </c>
      <c r="AB637" s="39">
        <f t="shared" si="57"/>
        <v>3044.7856846286013</v>
      </c>
      <c r="AC637">
        <f t="shared" si="60"/>
        <v>0.99985036079257872</v>
      </c>
      <c r="AD637">
        <f t="shared" si="58"/>
        <v>0.99978254504433539</v>
      </c>
      <c r="AE637">
        <f t="shared" si="59"/>
        <v>15927</v>
      </c>
    </row>
    <row r="638" spans="1:31">
      <c r="A638" s="9">
        <v>637</v>
      </c>
      <c r="B638" s="30">
        <v>40572</v>
      </c>
      <c r="C638" s="9">
        <v>1</v>
      </c>
      <c r="D638" s="9">
        <v>0</v>
      </c>
      <c r="E638" s="9">
        <v>1</v>
      </c>
      <c r="F638" s="9">
        <v>19</v>
      </c>
      <c r="G638" s="9" t="b">
        <v>0</v>
      </c>
      <c r="H638" s="9">
        <v>6</v>
      </c>
      <c r="I638" s="9">
        <v>2</v>
      </c>
      <c r="J638" s="9">
        <v>0.22</v>
      </c>
      <c r="K638" s="9">
        <v>0.21210000000000001</v>
      </c>
      <c r="L638" s="9">
        <v>0.69</v>
      </c>
      <c r="M638" s="9">
        <v>0.25369999999999998</v>
      </c>
      <c r="N638" s="9">
        <v>6</v>
      </c>
      <c r="O638" s="9">
        <v>52</v>
      </c>
      <c r="P638" s="9">
        <v>58</v>
      </c>
      <c r="Q638" s="12" t="s">
        <v>78</v>
      </c>
      <c r="R638" s="13" t="s">
        <v>79</v>
      </c>
      <c r="S638" s="9" t="s">
        <v>80</v>
      </c>
      <c r="T638" s="11" t="s">
        <v>88</v>
      </c>
      <c r="U638" s="15" t="s">
        <v>95</v>
      </c>
      <c r="V638" s="11" t="s">
        <v>87</v>
      </c>
      <c r="W638" s="15" t="s">
        <v>84</v>
      </c>
      <c r="X638" s="9" t="s">
        <v>85</v>
      </c>
      <c r="Y638" s="12" t="s">
        <v>86</v>
      </c>
      <c r="Z638">
        <f t="shared" si="55"/>
        <v>241</v>
      </c>
      <c r="AA638" s="39">
        <f t="shared" si="56"/>
        <v>65.809090909090912</v>
      </c>
      <c r="AB638" s="39">
        <f t="shared" si="57"/>
        <v>3048.9544871553662</v>
      </c>
      <c r="AC638">
        <f t="shared" si="60"/>
        <v>0.99985036375219261</v>
      </c>
      <c r="AD638">
        <f t="shared" si="58"/>
        <v>0.99978254472956496</v>
      </c>
      <c r="AE638">
        <f t="shared" si="59"/>
        <v>15927</v>
      </c>
    </row>
    <row r="639" spans="1:31">
      <c r="A639" s="10">
        <v>638</v>
      </c>
      <c r="B639" s="31">
        <v>40572</v>
      </c>
      <c r="C639" s="10">
        <v>1</v>
      </c>
      <c r="D639" s="10">
        <v>0</v>
      </c>
      <c r="E639" s="10">
        <v>1</v>
      </c>
      <c r="F639" s="10">
        <v>20</v>
      </c>
      <c r="G639" s="10" t="b">
        <v>0</v>
      </c>
      <c r="H639" s="10">
        <v>6</v>
      </c>
      <c r="I639" s="10">
        <v>1</v>
      </c>
      <c r="J639" s="10">
        <v>0.18</v>
      </c>
      <c r="K639" s="10">
        <v>0.21210000000000001</v>
      </c>
      <c r="L639" s="10">
        <v>0.74</v>
      </c>
      <c r="M639" s="10">
        <v>8.9599999999999999E-2</v>
      </c>
      <c r="N639" s="10">
        <v>1</v>
      </c>
      <c r="O639" s="10">
        <v>42</v>
      </c>
      <c r="P639" s="10">
        <v>43</v>
      </c>
      <c r="Q639" s="12" t="s">
        <v>78</v>
      </c>
      <c r="R639" s="13" t="s">
        <v>79</v>
      </c>
      <c r="S639" s="10" t="s">
        <v>80</v>
      </c>
      <c r="T639" s="13" t="s">
        <v>81</v>
      </c>
      <c r="U639" s="16" t="s">
        <v>97</v>
      </c>
      <c r="V639" s="11" t="s">
        <v>87</v>
      </c>
      <c r="W639" s="15" t="s">
        <v>84</v>
      </c>
      <c r="X639" s="10" t="s">
        <v>85</v>
      </c>
      <c r="Y639" s="12" t="s">
        <v>86</v>
      </c>
      <c r="Z639">
        <f t="shared" si="55"/>
        <v>241</v>
      </c>
      <c r="AA639" s="39">
        <f t="shared" si="56"/>
        <v>65.809090909090912</v>
      </c>
      <c r="AB639" s="39">
        <f t="shared" si="57"/>
        <v>3053.1390167595532</v>
      </c>
      <c r="AC639">
        <f t="shared" si="60"/>
        <v>0.99985036594094512</v>
      </c>
      <c r="AD639">
        <f t="shared" si="58"/>
        <v>0.99978256753982153</v>
      </c>
      <c r="AE639">
        <f t="shared" si="59"/>
        <v>15927</v>
      </c>
    </row>
    <row r="640" spans="1:31">
      <c r="A640" s="9">
        <v>639</v>
      </c>
      <c r="B640" s="30">
        <v>40572</v>
      </c>
      <c r="C640" s="9">
        <v>1</v>
      </c>
      <c r="D640" s="9">
        <v>0</v>
      </c>
      <c r="E640" s="9">
        <v>1</v>
      </c>
      <c r="F640" s="9">
        <v>21</v>
      </c>
      <c r="G640" s="9" t="b">
        <v>0</v>
      </c>
      <c r="H640" s="9">
        <v>6</v>
      </c>
      <c r="I640" s="9">
        <v>1</v>
      </c>
      <c r="J640" s="9">
        <v>0.18</v>
      </c>
      <c r="K640" s="9">
        <v>0.21210000000000001</v>
      </c>
      <c r="L640" s="9">
        <v>0.74</v>
      </c>
      <c r="M640" s="9">
        <v>8.9599999999999999E-2</v>
      </c>
      <c r="N640" s="9">
        <v>1</v>
      </c>
      <c r="O640" s="9">
        <v>35</v>
      </c>
      <c r="P640" s="9">
        <v>36</v>
      </c>
      <c r="Q640" s="12" t="s">
        <v>78</v>
      </c>
      <c r="R640" s="13" t="s">
        <v>79</v>
      </c>
      <c r="S640" s="9" t="s">
        <v>80</v>
      </c>
      <c r="T640" s="13" t="s">
        <v>81</v>
      </c>
      <c r="U640" s="16" t="s">
        <v>97</v>
      </c>
      <c r="V640" s="11" t="s">
        <v>87</v>
      </c>
      <c r="W640" s="15" t="s">
        <v>84</v>
      </c>
      <c r="X640" s="9" t="s">
        <v>85</v>
      </c>
      <c r="Y640" s="12" t="s">
        <v>86</v>
      </c>
      <c r="Z640">
        <f t="shared" si="55"/>
        <v>241</v>
      </c>
      <c r="AA640" s="39">
        <f t="shared" si="56"/>
        <v>65.913242009132418</v>
      </c>
      <c r="AB640" s="39">
        <f t="shared" si="57"/>
        <v>3057.338479015782</v>
      </c>
      <c r="AC640">
        <f t="shared" si="60"/>
        <v>0.99985037513369135</v>
      </c>
      <c r="AD640">
        <f t="shared" si="58"/>
        <v>0.99978272598367679</v>
      </c>
      <c r="AE640">
        <f t="shared" si="59"/>
        <v>15927</v>
      </c>
    </row>
    <row r="641" spans="1:31">
      <c r="A641" s="10">
        <v>640</v>
      </c>
      <c r="B641" s="31">
        <v>40572</v>
      </c>
      <c r="C641" s="10">
        <v>1</v>
      </c>
      <c r="D641" s="10">
        <v>0</v>
      </c>
      <c r="E641" s="10">
        <v>1</v>
      </c>
      <c r="F641" s="10">
        <v>22</v>
      </c>
      <c r="G641" s="10" t="b">
        <v>0</v>
      </c>
      <c r="H641" s="10">
        <v>6</v>
      </c>
      <c r="I641" s="10">
        <v>1</v>
      </c>
      <c r="J641" s="10">
        <v>0.16</v>
      </c>
      <c r="K641" s="10">
        <v>0.19700000000000001</v>
      </c>
      <c r="L641" s="10">
        <v>0.8</v>
      </c>
      <c r="M641" s="10">
        <v>8.9599999999999999E-2</v>
      </c>
      <c r="N641" s="10">
        <v>4</v>
      </c>
      <c r="O641" s="10">
        <v>28</v>
      </c>
      <c r="P641" s="10">
        <v>32</v>
      </c>
      <c r="Q641" s="12" t="s">
        <v>78</v>
      </c>
      <c r="R641" s="13" t="s">
        <v>79</v>
      </c>
      <c r="S641" s="10" t="s">
        <v>80</v>
      </c>
      <c r="T641" s="13" t="s">
        <v>81</v>
      </c>
      <c r="U641" s="16" t="s">
        <v>97</v>
      </c>
      <c r="V641" s="11" t="s">
        <v>87</v>
      </c>
      <c r="W641" s="15" t="s">
        <v>84</v>
      </c>
      <c r="X641" s="10" t="s">
        <v>85</v>
      </c>
      <c r="Y641" s="12" t="s">
        <v>86</v>
      </c>
      <c r="Z641">
        <f t="shared" si="55"/>
        <v>241</v>
      </c>
      <c r="AA641" s="39">
        <f t="shared" si="56"/>
        <v>66.050458715596335</v>
      </c>
      <c r="AB641" s="39">
        <f t="shared" si="57"/>
        <v>3061.5541492009102</v>
      </c>
      <c r="AC641">
        <f t="shared" si="60"/>
        <v>0.99985040914493695</v>
      </c>
      <c r="AD641">
        <f t="shared" si="58"/>
        <v>0.99978296088172269</v>
      </c>
      <c r="AE641">
        <f t="shared" si="59"/>
        <v>15927</v>
      </c>
    </row>
    <row r="642" spans="1:31">
      <c r="A642" s="9">
        <v>641</v>
      </c>
      <c r="B642" s="30">
        <v>40572</v>
      </c>
      <c r="C642" s="9">
        <v>1</v>
      </c>
      <c r="D642" s="9">
        <v>0</v>
      </c>
      <c r="E642" s="9">
        <v>1</v>
      </c>
      <c r="F642" s="9">
        <v>23</v>
      </c>
      <c r="G642" s="9" t="b">
        <v>0</v>
      </c>
      <c r="H642" s="9">
        <v>6</v>
      </c>
      <c r="I642" s="9">
        <v>1</v>
      </c>
      <c r="J642" s="9">
        <v>0.16</v>
      </c>
      <c r="K642" s="9">
        <v>0.19700000000000001</v>
      </c>
      <c r="L642" s="9">
        <v>0.8</v>
      </c>
      <c r="M642" s="9">
        <v>8.9599999999999999E-2</v>
      </c>
      <c r="N642" s="9">
        <v>3</v>
      </c>
      <c r="O642" s="9">
        <v>30</v>
      </c>
      <c r="P642" s="9">
        <v>33</v>
      </c>
      <c r="Q642" s="12" t="s">
        <v>78</v>
      </c>
      <c r="R642" s="13" t="s">
        <v>79</v>
      </c>
      <c r="S642" s="9" t="s">
        <v>80</v>
      </c>
      <c r="T642" s="13" t="s">
        <v>81</v>
      </c>
      <c r="U642" s="16" t="s">
        <v>97</v>
      </c>
      <c r="V642" s="11" t="s">
        <v>87</v>
      </c>
      <c r="W642" s="15" t="s">
        <v>84</v>
      </c>
      <c r="X642" s="9" t="s">
        <v>85</v>
      </c>
      <c r="Y642" s="12" t="s">
        <v>86</v>
      </c>
      <c r="Z642">
        <f t="shared" ref="Z642:Z705" si="61">COUNTIF(Q642:Q1641,"Weekday")</f>
        <v>241</v>
      </c>
      <c r="AA642" s="39">
        <f t="shared" ref="AA642:AA705" si="62">AVERAGEIF(T642:T1641,"Clear",P642:P1641)</f>
        <v>66.207373271889395</v>
      </c>
      <c r="AB642" s="39">
        <f t="shared" ref="AB642:AB705" si="63">STDEV(P642:P1641)</f>
        <v>3065.7866156601394</v>
      </c>
      <c r="AC642">
        <f t="shared" si="60"/>
        <v>0.99985043603008794</v>
      </c>
      <c r="AD642">
        <f t="shared" ref="AD642:AD705" si="64">CORREL(L642:L1641,P642:P1641)</f>
        <v>0.99978333079181669</v>
      </c>
      <c r="AE642">
        <f t="shared" ref="AE642:AE705" si="65">SUMIF(Q642:Q1641,"Weekday",P642:P1641)</f>
        <v>15927</v>
      </c>
    </row>
    <row r="643" spans="1:31">
      <c r="A643" s="10">
        <v>642</v>
      </c>
      <c r="B643" s="31">
        <v>40573</v>
      </c>
      <c r="C643" s="10">
        <v>1</v>
      </c>
      <c r="D643" s="10">
        <v>0</v>
      </c>
      <c r="E643" s="10">
        <v>1</v>
      </c>
      <c r="F643" s="10">
        <v>0</v>
      </c>
      <c r="G643" s="10" t="b">
        <v>0</v>
      </c>
      <c r="H643" s="10">
        <v>0</v>
      </c>
      <c r="I643" s="10">
        <v>1</v>
      </c>
      <c r="J643" s="10">
        <v>0.16</v>
      </c>
      <c r="K643" s="10">
        <v>0.18179999999999999</v>
      </c>
      <c r="L643" s="10">
        <v>0.8</v>
      </c>
      <c r="M643" s="10">
        <v>0.1045</v>
      </c>
      <c r="N643" s="10">
        <v>0</v>
      </c>
      <c r="O643" s="10">
        <v>33</v>
      </c>
      <c r="P643" s="10">
        <v>33</v>
      </c>
      <c r="Q643" s="12" t="s">
        <v>78</v>
      </c>
      <c r="R643" s="13" t="s">
        <v>79</v>
      </c>
      <c r="S643" s="10" t="s">
        <v>80</v>
      </c>
      <c r="T643" s="13" t="s">
        <v>81</v>
      </c>
      <c r="U643" s="14" t="s">
        <v>82</v>
      </c>
      <c r="V643" s="11" t="s">
        <v>87</v>
      </c>
      <c r="W643" s="15" t="s">
        <v>84</v>
      </c>
      <c r="X643" s="10" t="s">
        <v>85</v>
      </c>
      <c r="Y643" s="12" t="s">
        <v>86</v>
      </c>
      <c r="Z643">
        <f t="shared" si="61"/>
        <v>241</v>
      </c>
      <c r="AA643" s="39">
        <f t="shared" si="62"/>
        <v>66.361111111111114</v>
      </c>
      <c r="AB643" s="39">
        <f t="shared" si="63"/>
        <v>3070.0368589917507</v>
      </c>
      <c r="AC643">
        <f t="shared" si="60"/>
        <v>0.99985045910771186</v>
      </c>
      <c r="AD643">
        <f t="shared" si="64"/>
        <v>0.99978368804462781</v>
      </c>
      <c r="AE643">
        <f t="shared" si="65"/>
        <v>15927</v>
      </c>
    </row>
    <row r="644" spans="1:31">
      <c r="A644" s="9">
        <v>643</v>
      </c>
      <c r="B644" s="30">
        <v>40573</v>
      </c>
      <c r="C644" s="9">
        <v>1</v>
      </c>
      <c r="D644" s="9">
        <v>0</v>
      </c>
      <c r="E644" s="9">
        <v>1</v>
      </c>
      <c r="F644" s="9">
        <v>1</v>
      </c>
      <c r="G644" s="9" t="b">
        <v>0</v>
      </c>
      <c r="H644" s="9">
        <v>0</v>
      </c>
      <c r="I644" s="9">
        <v>1</v>
      </c>
      <c r="J644" s="9">
        <v>0.14000000000000001</v>
      </c>
      <c r="K644" s="9">
        <v>0.21210000000000001</v>
      </c>
      <c r="L644" s="9">
        <v>0.8</v>
      </c>
      <c r="M644" s="9">
        <v>0</v>
      </c>
      <c r="N644" s="9">
        <v>7</v>
      </c>
      <c r="O644" s="9">
        <v>22</v>
      </c>
      <c r="P644" s="9">
        <v>29</v>
      </c>
      <c r="Q644" s="12" t="s">
        <v>78</v>
      </c>
      <c r="R644" s="13" t="s">
        <v>79</v>
      </c>
      <c r="S644" s="9" t="s">
        <v>80</v>
      </c>
      <c r="T644" s="13" t="s">
        <v>81</v>
      </c>
      <c r="U644" s="14" t="s">
        <v>82</v>
      </c>
      <c r="V644" s="11" t="s">
        <v>87</v>
      </c>
      <c r="W644" s="15" t="s">
        <v>84</v>
      </c>
      <c r="X644" s="9" t="s">
        <v>85</v>
      </c>
      <c r="Y644" s="12" t="s">
        <v>86</v>
      </c>
      <c r="Z644">
        <f t="shared" si="61"/>
        <v>241</v>
      </c>
      <c r="AA644" s="39">
        <f t="shared" si="62"/>
        <v>66.516279069767435</v>
      </c>
      <c r="AB644" s="39">
        <f t="shared" si="63"/>
        <v>3074.3048283049761</v>
      </c>
      <c r="AC644">
        <f t="shared" si="60"/>
        <v>0.99985048231487839</v>
      </c>
      <c r="AD644">
        <f t="shared" si="64"/>
        <v>0.99978404729976</v>
      </c>
      <c r="AE644">
        <f t="shared" si="65"/>
        <v>15927</v>
      </c>
    </row>
    <row r="645" spans="1:31">
      <c r="A645" s="10">
        <v>644</v>
      </c>
      <c r="B645" s="31">
        <v>40573</v>
      </c>
      <c r="C645" s="10">
        <v>1</v>
      </c>
      <c r="D645" s="10">
        <v>0</v>
      </c>
      <c r="E645" s="10">
        <v>1</v>
      </c>
      <c r="F645" s="10">
        <v>2</v>
      </c>
      <c r="G645" s="10" t="b">
        <v>0</v>
      </c>
      <c r="H645" s="10">
        <v>0</v>
      </c>
      <c r="I645" s="10">
        <v>1</v>
      </c>
      <c r="J645" s="10">
        <v>0.16</v>
      </c>
      <c r="K645" s="10">
        <v>0.2273</v>
      </c>
      <c r="L645" s="10">
        <v>0.8</v>
      </c>
      <c r="M645" s="10">
        <v>0</v>
      </c>
      <c r="N645" s="10">
        <v>1</v>
      </c>
      <c r="O645" s="10">
        <v>10</v>
      </c>
      <c r="P645" s="10">
        <v>11</v>
      </c>
      <c r="Q645" s="12" t="s">
        <v>78</v>
      </c>
      <c r="R645" s="13" t="s">
        <v>79</v>
      </c>
      <c r="S645" s="10" t="s">
        <v>80</v>
      </c>
      <c r="T645" s="13" t="s">
        <v>81</v>
      </c>
      <c r="U645" s="14" t="s">
        <v>82</v>
      </c>
      <c r="V645" s="12" t="s">
        <v>83</v>
      </c>
      <c r="W645" s="15" t="s">
        <v>84</v>
      </c>
      <c r="X645" s="10" t="s">
        <v>85</v>
      </c>
      <c r="Y645" s="12" t="s">
        <v>86</v>
      </c>
      <c r="Z645">
        <f t="shared" si="61"/>
        <v>241</v>
      </c>
      <c r="AA645" s="39">
        <f t="shared" si="62"/>
        <v>66.691588785046733</v>
      </c>
      <c r="AB645" s="39">
        <f t="shared" si="63"/>
        <v>3078.5899370085617</v>
      </c>
      <c r="AC645">
        <f t="shared" si="60"/>
        <v>0.99985049959319283</v>
      </c>
      <c r="AD645">
        <f t="shared" si="64"/>
        <v>0.99978446957933764</v>
      </c>
      <c r="AE645">
        <f t="shared" si="65"/>
        <v>15927</v>
      </c>
    </row>
    <row r="646" spans="1:31">
      <c r="A646" s="9">
        <v>645</v>
      </c>
      <c r="B646" s="30">
        <v>40573</v>
      </c>
      <c r="C646" s="9">
        <v>1</v>
      </c>
      <c r="D646" s="9">
        <v>0</v>
      </c>
      <c r="E646" s="9">
        <v>1</v>
      </c>
      <c r="F646" s="9">
        <v>3</v>
      </c>
      <c r="G646" s="9" t="b">
        <v>0</v>
      </c>
      <c r="H646" s="9">
        <v>0</v>
      </c>
      <c r="I646" s="9">
        <v>1</v>
      </c>
      <c r="J646" s="9">
        <v>0.14000000000000001</v>
      </c>
      <c r="K646" s="9">
        <v>0.21210000000000001</v>
      </c>
      <c r="L646" s="9">
        <v>0.93</v>
      </c>
      <c r="M646" s="9">
        <v>0</v>
      </c>
      <c r="N646" s="9">
        <v>1</v>
      </c>
      <c r="O646" s="9">
        <v>7</v>
      </c>
      <c r="P646" s="9">
        <v>8</v>
      </c>
      <c r="Q646" s="12" t="s">
        <v>78</v>
      </c>
      <c r="R646" s="13" t="s">
        <v>79</v>
      </c>
      <c r="S646" s="9" t="s">
        <v>80</v>
      </c>
      <c r="T646" s="13" t="s">
        <v>81</v>
      </c>
      <c r="U646" s="14" t="s">
        <v>82</v>
      </c>
      <c r="V646" s="12" t="s">
        <v>83</v>
      </c>
      <c r="W646" s="15" t="s">
        <v>84</v>
      </c>
      <c r="X646" s="9" t="s">
        <v>85</v>
      </c>
      <c r="Y646" s="12" t="s">
        <v>86</v>
      </c>
      <c r="Z646">
        <f t="shared" si="61"/>
        <v>241</v>
      </c>
      <c r="AA646" s="39">
        <f t="shared" si="62"/>
        <v>66.953051643192495</v>
      </c>
      <c r="AB646" s="39">
        <f t="shared" si="63"/>
        <v>3082.8896238924249</v>
      </c>
      <c r="AC646">
        <f t="shared" si="60"/>
        <v>0.99985067925494731</v>
      </c>
      <c r="AD646">
        <f t="shared" si="64"/>
        <v>0.99978522823909</v>
      </c>
      <c r="AE646">
        <f t="shared" si="65"/>
        <v>15927</v>
      </c>
    </row>
    <row r="647" spans="1:31">
      <c r="A647" s="10">
        <v>646</v>
      </c>
      <c r="B647" s="31">
        <v>40573</v>
      </c>
      <c r="C647" s="10">
        <v>1</v>
      </c>
      <c r="D647" s="10">
        <v>0</v>
      </c>
      <c r="E647" s="10">
        <v>1</v>
      </c>
      <c r="F647" s="10">
        <v>4</v>
      </c>
      <c r="G647" s="10" t="b">
        <v>0</v>
      </c>
      <c r="H647" s="10">
        <v>0</v>
      </c>
      <c r="I647" s="10">
        <v>1</v>
      </c>
      <c r="J647" s="10">
        <v>0.14000000000000001</v>
      </c>
      <c r="K647" s="10">
        <v>0.21210000000000001</v>
      </c>
      <c r="L647" s="10">
        <v>0.93</v>
      </c>
      <c r="M647" s="10">
        <v>0</v>
      </c>
      <c r="N647" s="10">
        <v>0</v>
      </c>
      <c r="O647" s="10">
        <v>1</v>
      </c>
      <c r="P647" s="10">
        <v>1</v>
      </c>
      <c r="Q647" s="12" t="s">
        <v>78</v>
      </c>
      <c r="R647" s="13" t="s">
        <v>79</v>
      </c>
      <c r="S647" s="10" t="s">
        <v>80</v>
      </c>
      <c r="T647" s="13" t="s">
        <v>81</v>
      </c>
      <c r="U647" s="14" t="s">
        <v>82</v>
      </c>
      <c r="V647" s="12" t="s">
        <v>83</v>
      </c>
      <c r="W647" s="15" t="s">
        <v>84</v>
      </c>
      <c r="X647" s="10" t="s">
        <v>85</v>
      </c>
      <c r="Y647" s="12" t="s">
        <v>86</v>
      </c>
      <c r="Z647">
        <f t="shared" si="61"/>
        <v>241</v>
      </c>
      <c r="AA647" s="39">
        <f t="shared" si="62"/>
        <v>67.231132075471692</v>
      </c>
      <c r="AB647" s="39">
        <f t="shared" si="63"/>
        <v>3087.2067800561749</v>
      </c>
      <c r="AC647">
        <f t="shared" si="60"/>
        <v>0.99985083320832091</v>
      </c>
      <c r="AD647">
        <f t="shared" si="64"/>
        <v>0.99978637029318029</v>
      </c>
      <c r="AE647">
        <f t="shared" si="65"/>
        <v>15927</v>
      </c>
    </row>
    <row r="648" spans="1:31">
      <c r="A648" s="9">
        <v>647</v>
      </c>
      <c r="B648" s="30">
        <v>40573</v>
      </c>
      <c r="C648" s="9">
        <v>1</v>
      </c>
      <c r="D648" s="9">
        <v>0</v>
      </c>
      <c r="E648" s="9">
        <v>1</v>
      </c>
      <c r="F648" s="9">
        <v>5</v>
      </c>
      <c r="G648" s="9" t="b">
        <v>0</v>
      </c>
      <c r="H648" s="9">
        <v>0</v>
      </c>
      <c r="I648" s="9">
        <v>1</v>
      </c>
      <c r="J648" s="9">
        <v>0.14000000000000001</v>
      </c>
      <c r="K648" s="9">
        <v>0.21210000000000001</v>
      </c>
      <c r="L648" s="9">
        <v>0.86</v>
      </c>
      <c r="M648" s="9">
        <v>0</v>
      </c>
      <c r="N648" s="9">
        <v>0</v>
      </c>
      <c r="O648" s="9">
        <v>3</v>
      </c>
      <c r="P648" s="9">
        <v>3</v>
      </c>
      <c r="Q648" s="12" t="s">
        <v>78</v>
      </c>
      <c r="R648" s="13" t="s">
        <v>79</v>
      </c>
      <c r="S648" s="9" t="s">
        <v>80</v>
      </c>
      <c r="T648" s="13" t="s">
        <v>81</v>
      </c>
      <c r="U648" s="15" t="s">
        <v>89</v>
      </c>
      <c r="V648" s="12" t="s">
        <v>83</v>
      </c>
      <c r="W648" s="15" t="s">
        <v>84</v>
      </c>
      <c r="X648" s="9" t="s">
        <v>85</v>
      </c>
      <c r="Y648" s="12" t="s">
        <v>86</v>
      </c>
      <c r="Z648">
        <f t="shared" si="61"/>
        <v>241</v>
      </c>
      <c r="AA648" s="39">
        <f t="shared" si="62"/>
        <v>67.545023696682463</v>
      </c>
      <c r="AB648" s="39">
        <f t="shared" si="63"/>
        <v>3091.5406942365025</v>
      </c>
      <c r="AC648">
        <f t="shared" si="60"/>
        <v>0.99985106268756641</v>
      </c>
      <c r="AD648">
        <f t="shared" si="64"/>
        <v>0.99978770880275558</v>
      </c>
      <c r="AE648">
        <f t="shared" si="65"/>
        <v>15927</v>
      </c>
    </row>
    <row r="649" spans="1:31">
      <c r="A649" s="10">
        <v>648</v>
      </c>
      <c r="B649" s="31">
        <v>40573</v>
      </c>
      <c r="C649" s="10">
        <v>1</v>
      </c>
      <c r="D649" s="10">
        <v>0</v>
      </c>
      <c r="E649" s="10">
        <v>1</v>
      </c>
      <c r="F649" s="10">
        <v>7</v>
      </c>
      <c r="G649" s="10" t="b">
        <v>0</v>
      </c>
      <c r="H649" s="10">
        <v>0</v>
      </c>
      <c r="I649" s="10">
        <v>1</v>
      </c>
      <c r="J649" s="10">
        <v>0.14000000000000001</v>
      </c>
      <c r="K649" s="10">
        <v>0.21210000000000001</v>
      </c>
      <c r="L649" s="10">
        <v>0.86</v>
      </c>
      <c r="M649" s="10">
        <v>0</v>
      </c>
      <c r="N649" s="10">
        <v>0</v>
      </c>
      <c r="O649" s="10">
        <v>3</v>
      </c>
      <c r="P649" s="10">
        <v>3</v>
      </c>
      <c r="Q649" s="12" t="s">
        <v>78</v>
      </c>
      <c r="R649" s="13" t="s">
        <v>79</v>
      </c>
      <c r="S649" s="10" t="s">
        <v>80</v>
      </c>
      <c r="T649" s="13" t="s">
        <v>81</v>
      </c>
      <c r="U649" s="15" t="s">
        <v>89</v>
      </c>
      <c r="V649" s="12" t="s">
        <v>83</v>
      </c>
      <c r="W649" s="15" t="s">
        <v>84</v>
      </c>
      <c r="X649" s="10" t="s">
        <v>85</v>
      </c>
      <c r="Y649" s="12" t="s">
        <v>86</v>
      </c>
      <c r="Z649">
        <f t="shared" si="61"/>
        <v>241</v>
      </c>
      <c r="AA649" s="39">
        <f t="shared" si="62"/>
        <v>67.852380952380955</v>
      </c>
      <c r="AB649" s="39">
        <f t="shared" si="63"/>
        <v>3095.8933264433663</v>
      </c>
      <c r="AC649">
        <f t="shared" si="60"/>
        <v>0.99985127059775347</v>
      </c>
      <c r="AD649">
        <f t="shared" si="64"/>
        <v>0.99978881227292471</v>
      </c>
      <c r="AE649">
        <f t="shared" si="65"/>
        <v>15927</v>
      </c>
    </row>
    <row r="650" spans="1:31">
      <c r="A650" s="9">
        <v>649</v>
      </c>
      <c r="B650" s="30">
        <v>40573</v>
      </c>
      <c r="C650" s="9">
        <v>1</v>
      </c>
      <c r="D650" s="9">
        <v>0</v>
      </c>
      <c r="E650" s="9">
        <v>1</v>
      </c>
      <c r="F650" s="9">
        <v>8</v>
      </c>
      <c r="G650" s="9" t="b">
        <v>0</v>
      </c>
      <c r="H650" s="9">
        <v>0</v>
      </c>
      <c r="I650" s="9">
        <v>2</v>
      </c>
      <c r="J650" s="9">
        <v>0.14000000000000001</v>
      </c>
      <c r="K650" s="9">
        <v>0.21210000000000001</v>
      </c>
      <c r="L650" s="9">
        <v>0.86</v>
      </c>
      <c r="M650" s="9">
        <v>0</v>
      </c>
      <c r="N650" s="9">
        <v>1</v>
      </c>
      <c r="O650" s="9">
        <v>11</v>
      </c>
      <c r="P650" s="9">
        <v>12</v>
      </c>
      <c r="Q650" s="12" t="s">
        <v>78</v>
      </c>
      <c r="R650" s="13" t="s">
        <v>79</v>
      </c>
      <c r="S650" s="9" t="s">
        <v>80</v>
      </c>
      <c r="T650" s="11" t="s">
        <v>88</v>
      </c>
      <c r="U650" s="15" t="s">
        <v>89</v>
      </c>
      <c r="V650" s="12" t="s">
        <v>83</v>
      </c>
      <c r="W650" s="15" t="s">
        <v>84</v>
      </c>
      <c r="X650" s="9" t="s">
        <v>85</v>
      </c>
      <c r="Y650" s="12" t="s">
        <v>86</v>
      </c>
      <c r="Z650">
        <f t="shared" si="61"/>
        <v>241</v>
      </c>
      <c r="AA650" s="39">
        <f t="shared" si="62"/>
        <v>68.162679425837325</v>
      </c>
      <c r="AB650" s="39">
        <f t="shared" si="63"/>
        <v>3100.2643946731478</v>
      </c>
      <c r="AC650">
        <f t="shared" si="60"/>
        <v>0.99985147969656007</v>
      </c>
      <c r="AD650">
        <f t="shared" si="64"/>
        <v>0.99978992203992578</v>
      </c>
      <c r="AE650">
        <f t="shared" si="65"/>
        <v>15927</v>
      </c>
    </row>
    <row r="651" spans="1:31">
      <c r="A651" s="10">
        <v>650</v>
      </c>
      <c r="B651" s="31">
        <v>40573</v>
      </c>
      <c r="C651" s="10">
        <v>1</v>
      </c>
      <c r="D651" s="10">
        <v>0</v>
      </c>
      <c r="E651" s="10">
        <v>1</v>
      </c>
      <c r="F651" s="10">
        <v>9</v>
      </c>
      <c r="G651" s="10" t="b">
        <v>0</v>
      </c>
      <c r="H651" s="10">
        <v>0</v>
      </c>
      <c r="I651" s="10">
        <v>2</v>
      </c>
      <c r="J651" s="10">
        <v>0.16</v>
      </c>
      <c r="K651" s="10">
        <v>0.2273</v>
      </c>
      <c r="L651" s="10">
        <v>0.8</v>
      </c>
      <c r="M651" s="10">
        <v>0</v>
      </c>
      <c r="N651" s="10">
        <v>4</v>
      </c>
      <c r="O651" s="10">
        <v>34</v>
      </c>
      <c r="P651" s="10">
        <v>38</v>
      </c>
      <c r="Q651" s="12" t="s">
        <v>78</v>
      </c>
      <c r="R651" s="13" t="s">
        <v>79</v>
      </c>
      <c r="S651" s="10" t="s">
        <v>80</v>
      </c>
      <c r="T651" s="11" t="s">
        <v>88</v>
      </c>
      <c r="U651" s="15" t="s">
        <v>89</v>
      </c>
      <c r="V651" s="11" t="s">
        <v>87</v>
      </c>
      <c r="W651" s="15" t="s">
        <v>84</v>
      </c>
      <c r="X651" s="10" t="s">
        <v>85</v>
      </c>
      <c r="Y651" s="12" t="s">
        <v>86</v>
      </c>
      <c r="Z651">
        <f t="shared" si="61"/>
        <v>241</v>
      </c>
      <c r="AA651" s="39">
        <f t="shared" si="62"/>
        <v>68.162679425837325</v>
      </c>
      <c r="AB651" s="39">
        <f t="shared" si="63"/>
        <v>3104.6558661160093</v>
      </c>
      <c r="AC651">
        <f t="shared" si="60"/>
        <v>0.99985160114112837</v>
      </c>
      <c r="AD651">
        <f t="shared" si="64"/>
        <v>0.99979081855166274</v>
      </c>
      <c r="AE651">
        <f t="shared" si="65"/>
        <v>15927</v>
      </c>
    </row>
    <row r="652" spans="1:31">
      <c r="A652" s="9">
        <v>651</v>
      </c>
      <c r="B652" s="30">
        <v>40573</v>
      </c>
      <c r="C652" s="9">
        <v>1</v>
      </c>
      <c r="D652" s="9">
        <v>0</v>
      </c>
      <c r="E652" s="9">
        <v>1</v>
      </c>
      <c r="F652" s="9">
        <v>10</v>
      </c>
      <c r="G652" s="9" t="b">
        <v>0</v>
      </c>
      <c r="H652" s="9">
        <v>0</v>
      </c>
      <c r="I652" s="9">
        <v>2</v>
      </c>
      <c r="J652" s="9">
        <v>0.18</v>
      </c>
      <c r="K652" s="9">
        <v>0.2424</v>
      </c>
      <c r="L652" s="9">
        <v>0.8</v>
      </c>
      <c r="M652" s="9">
        <v>0</v>
      </c>
      <c r="N652" s="9">
        <v>7</v>
      </c>
      <c r="O652" s="9">
        <v>57</v>
      </c>
      <c r="P652" s="9">
        <v>64</v>
      </c>
      <c r="Q652" s="12" t="s">
        <v>78</v>
      </c>
      <c r="R652" s="13" t="s">
        <v>79</v>
      </c>
      <c r="S652" s="9" t="s">
        <v>80</v>
      </c>
      <c r="T652" s="11" t="s">
        <v>88</v>
      </c>
      <c r="U652" s="13" t="s">
        <v>91</v>
      </c>
      <c r="V652" s="11" t="s">
        <v>87</v>
      </c>
      <c r="W652" s="15" t="s">
        <v>84</v>
      </c>
      <c r="X652" s="9" t="s">
        <v>85</v>
      </c>
      <c r="Y652" s="12" t="s">
        <v>86</v>
      </c>
      <c r="Z652">
        <f t="shared" si="61"/>
        <v>241</v>
      </c>
      <c r="AA652" s="39">
        <f t="shared" si="62"/>
        <v>68.162679425837325</v>
      </c>
      <c r="AB652" s="39">
        <f t="shared" si="63"/>
        <v>3109.0709607283202</v>
      </c>
      <c r="AC652">
        <f t="shared" si="60"/>
        <v>0.99985161051705695</v>
      </c>
      <c r="AD652">
        <f t="shared" si="64"/>
        <v>0.99979113147124921</v>
      </c>
      <c r="AE652">
        <f t="shared" si="65"/>
        <v>15927</v>
      </c>
    </row>
    <row r="653" spans="1:31">
      <c r="A653" s="10">
        <v>652</v>
      </c>
      <c r="B653" s="31">
        <v>40573</v>
      </c>
      <c r="C653" s="10">
        <v>1</v>
      </c>
      <c r="D653" s="10">
        <v>0</v>
      </c>
      <c r="E653" s="10">
        <v>1</v>
      </c>
      <c r="F653" s="10">
        <v>11</v>
      </c>
      <c r="G653" s="10" t="b">
        <v>0</v>
      </c>
      <c r="H653" s="10">
        <v>0</v>
      </c>
      <c r="I653" s="10">
        <v>1</v>
      </c>
      <c r="J653" s="10">
        <v>0.22</v>
      </c>
      <c r="K653" s="10">
        <v>0.2727</v>
      </c>
      <c r="L653" s="10">
        <v>0.75</v>
      </c>
      <c r="M653" s="10">
        <v>0</v>
      </c>
      <c r="N653" s="10">
        <v>9</v>
      </c>
      <c r="O653" s="10">
        <v>50</v>
      </c>
      <c r="P653" s="10">
        <v>59</v>
      </c>
      <c r="Q653" s="12" t="s">
        <v>78</v>
      </c>
      <c r="R653" s="13" t="s">
        <v>79</v>
      </c>
      <c r="S653" s="10" t="s">
        <v>80</v>
      </c>
      <c r="T653" s="13" t="s">
        <v>81</v>
      </c>
      <c r="U653" s="13" t="s">
        <v>91</v>
      </c>
      <c r="V653" s="11" t="s">
        <v>87</v>
      </c>
      <c r="W653" s="15" t="s">
        <v>84</v>
      </c>
      <c r="X653" s="10" t="s">
        <v>85</v>
      </c>
      <c r="Y653" s="12" t="s">
        <v>86</v>
      </c>
      <c r="Z653">
        <f t="shared" si="61"/>
        <v>241</v>
      </c>
      <c r="AA653" s="39">
        <f t="shared" si="62"/>
        <v>68.162679425837325</v>
      </c>
      <c r="AB653" s="39">
        <f t="shared" si="63"/>
        <v>3113.5092503241863</v>
      </c>
      <c r="AC653">
        <f t="shared" si="60"/>
        <v>0.99985162958947227</v>
      </c>
      <c r="AD653">
        <f t="shared" si="64"/>
        <v>0.99979119050501275</v>
      </c>
      <c r="AE653">
        <f t="shared" si="65"/>
        <v>15927</v>
      </c>
    </row>
    <row r="654" spans="1:31">
      <c r="A654" s="9">
        <v>653</v>
      </c>
      <c r="B654" s="30">
        <v>40573</v>
      </c>
      <c r="C654" s="9">
        <v>1</v>
      </c>
      <c r="D654" s="9">
        <v>0</v>
      </c>
      <c r="E654" s="9">
        <v>1</v>
      </c>
      <c r="F654" s="9">
        <v>12</v>
      </c>
      <c r="G654" s="9" t="b">
        <v>0</v>
      </c>
      <c r="H654" s="9">
        <v>0</v>
      </c>
      <c r="I654" s="9">
        <v>1</v>
      </c>
      <c r="J654" s="9">
        <v>0.3</v>
      </c>
      <c r="K654" s="9">
        <v>0.31819999999999998</v>
      </c>
      <c r="L654" s="9">
        <v>0.52</v>
      </c>
      <c r="M654" s="9">
        <v>0.1045</v>
      </c>
      <c r="N654" s="9">
        <v>10</v>
      </c>
      <c r="O654" s="9">
        <v>87</v>
      </c>
      <c r="P654" s="9">
        <v>97</v>
      </c>
      <c r="Q654" s="12" t="s">
        <v>78</v>
      </c>
      <c r="R654" s="13" t="s">
        <v>79</v>
      </c>
      <c r="S654" s="9" t="s">
        <v>80</v>
      </c>
      <c r="T654" s="13" t="s">
        <v>81</v>
      </c>
      <c r="U654" s="11" t="s">
        <v>92</v>
      </c>
      <c r="V654" s="13" t="s">
        <v>93</v>
      </c>
      <c r="W654" s="13" t="s">
        <v>90</v>
      </c>
      <c r="X654" s="9" t="s">
        <v>85</v>
      </c>
      <c r="Y654" s="12" t="s">
        <v>86</v>
      </c>
      <c r="Z654">
        <f t="shared" si="61"/>
        <v>241</v>
      </c>
      <c r="AA654" s="39">
        <f t="shared" si="62"/>
        <v>68.206730769230774</v>
      </c>
      <c r="AB654" s="39">
        <f t="shared" si="63"/>
        <v>3117.9658188808589</v>
      </c>
      <c r="AC654">
        <f t="shared" si="60"/>
        <v>0.99985163141696398</v>
      </c>
      <c r="AD654">
        <f t="shared" si="64"/>
        <v>0.99979124974961908</v>
      </c>
      <c r="AE654">
        <f t="shared" si="65"/>
        <v>15927</v>
      </c>
    </row>
    <row r="655" spans="1:31">
      <c r="A655" s="10">
        <v>654</v>
      </c>
      <c r="B655" s="31">
        <v>40573</v>
      </c>
      <c r="C655" s="10">
        <v>1</v>
      </c>
      <c r="D655" s="10">
        <v>0</v>
      </c>
      <c r="E655" s="10">
        <v>1</v>
      </c>
      <c r="F655" s="10">
        <v>13</v>
      </c>
      <c r="G655" s="10" t="b">
        <v>0</v>
      </c>
      <c r="H655" s="10">
        <v>0</v>
      </c>
      <c r="I655" s="10">
        <v>1</v>
      </c>
      <c r="J655" s="10">
        <v>0.28000000000000003</v>
      </c>
      <c r="K655" s="10">
        <v>0.28789999999999999</v>
      </c>
      <c r="L655" s="10">
        <v>0.61</v>
      </c>
      <c r="M655" s="10">
        <v>0.1045</v>
      </c>
      <c r="N655" s="10">
        <v>13</v>
      </c>
      <c r="O655" s="10">
        <v>71</v>
      </c>
      <c r="P655" s="10">
        <v>84</v>
      </c>
      <c r="Q655" s="12" t="s">
        <v>78</v>
      </c>
      <c r="R655" s="13" t="s">
        <v>79</v>
      </c>
      <c r="S655" s="10" t="s">
        <v>80</v>
      </c>
      <c r="T655" s="13" t="s">
        <v>81</v>
      </c>
      <c r="U655" s="11" t="s">
        <v>92</v>
      </c>
      <c r="V655" s="13" t="s">
        <v>93</v>
      </c>
      <c r="W655" s="13" t="s">
        <v>90</v>
      </c>
      <c r="X655" s="10" t="s">
        <v>85</v>
      </c>
      <c r="Y655" s="12" t="s">
        <v>86</v>
      </c>
      <c r="Z655">
        <f t="shared" si="61"/>
        <v>241</v>
      </c>
      <c r="AA655" s="39">
        <f t="shared" si="62"/>
        <v>68.067632850241552</v>
      </c>
      <c r="AB655" s="39">
        <f t="shared" si="63"/>
        <v>3122.4469744286853</v>
      </c>
      <c r="AC655">
        <f t="shared" si="60"/>
        <v>0.99985164772611346</v>
      </c>
      <c r="AD655">
        <f t="shared" si="64"/>
        <v>0.99979149376036958</v>
      </c>
      <c r="AE655">
        <f t="shared" si="65"/>
        <v>15927</v>
      </c>
    </row>
    <row r="656" spans="1:31">
      <c r="A656" s="9">
        <v>655</v>
      </c>
      <c r="B656" s="30">
        <v>40573</v>
      </c>
      <c r="C656" s="9">
        <v>1</v>
      </c>
      <c r="D656" s="9">
        <v>0</v>
      </c>
      <c r="E656" s="9">
        <v>1</v>
      </c>
      <c r="F656" s="9">
        <v>14</v>
      </c>
      <c r="G656" s="9" t="b">
        <v>0</v>
      </c>
      <c r="H656" s="9">
        <v>0</v>
      </c>
      <c r="I656" s="9">
        <v>1</v>
      </c>
      <c r="J656" s="9">
        <v>0.28000000000000003</v>
      </c>
      <c r="K656" s="9">
        <v>0.30299999999999999</v>
      </c>
      <c r="L656" s="9">
        <v>0.61</v>
      </c>
      <c r="M656" s="9">
        <v>8.9599999999999999E-2</v>
      </c>
      <c r="N656" s="9">
        <v>18</v>
      </c>
      <c r="O656" s="9">
        <v>104</v>
      </c>
      <c r="P656" s="9">
        <v>122</v>
      </c>
      <c r="Q656" s="12" t="s">
        <v>78</v>
      </c>
      <c r="R656" s="13" t="s">
        <v>79</v>
      </c>
      <c r="S656" s="9" t="s">
        <v>80</v>
      </c>
      <c r="T656" s="13" t="s">
        <v>81</v>
      </c>
      <c r="U656" s="13" t="s">
        <v>94</v>
      </c>
      <c r="V656" s="13" t="s">
        <v>93</v>
      </c>
      <c r="W656" s="13" t="s">
        <v>90</v>
      </c>
      <c r="X656" s="9" t="s">
        <v>85</v>
      </c>
      <c r="Y656" s="12" t="s">
        <v>86</v>
      </c>
      <c r="Z656">
        <f t="shared" si="61"/>
        <v>241</v>
      </c>
      <c r="AA656" s="39">
        <f t="shared" si="62"/>
        <v>67.990291262135926</v>
      </c>
      <c r="AB656" s="39">
        <f t="shared" si="63"/>
        <v>3126.945804332719</v>
      </c>
      <c r="AC656">
        <f t="shared" ref="AC656:AC719" si="66">CORREL(J656:J1655,P656:P1655)</f>
        <v>0.99985164851526653</v>
      </c>
      <c r="AD656">
        <f t="shared" si="64"/>
        <v>0.99979154465831355</v>
      </c>
      <c r="AE656">
        <f t="shared" si="65"/>
        <v>15927</v>
      </c>
    </row>
    <row r="657" spans="1:31">
      <c r="A657" s="10">
        <v>656</v>
      </c>
      <c r="B657" s="31">
        <v>40573</v>
      </c>
      <c r="C657" s="10">
        <v>1</v>
      </c>
      <c r="D657" s="10">
        <v>0</v>
      </c>
      <c r="E657" s="10">
        <v>1</v>
      </c>
      <c r="F657" s="10">
        <v>15</v>
      </c>
      <c r="G657" s="10" t="b">
        <v>0</v>
      </c>
      <c r="H657" s="10">
        <v>0</v>
      </c>
      <c r="I657" s="10">
        <v>1</v>
      </c>
      <c r="J657" s="10">
        <v>0.3</v>
      </c>
      <c r="K657" s="10">
        <v>0.33329999999999999</v>
      </c>
      <c r="L657" s="10">
        <v>0.56000000000000005</v>
      </c>
      <c r="M657" s="10">
        <v>0</v>
      </c>
      <c r="N657" s="10">
        <v>14</v>
      </c>
      <c r="O657" s="10">
        <v>95</v>
      </c>
      <c r="P657" s="10">
        <v>109</v>
      </c>
      <c r="Q657" s="12" t="s">
        <v>78</v>
      </c>
      <c r="R657" s="13" t="s">
        <v>79</v>
      </c>
      <c r="S657" s="10" t="s">
        <v>80</v>
      </c>
      <c r="T657" s="13" t="s">
        <v>81</v>
      </c>
      <c r="U657" s="13" t="s">
        <v>94</v>
      </c>
      <c r="V657" s="13" t="s">
        <v>93</v>
      </c>
      <c r="W657" s="13" t="s">
        <v>90</v>
      </c>
      <c r="X657" s="10" t="s">
        <v>85</v>
      </c>
      <c r="Y657" s="12" t="s">
        <v>86</v>
      </c>
      <c r="Z657">
        <f t="shared" si="61"/>
        <v>241</v>
      </c>
      <c r="AA657" s="39">
        <f t="shared" si="62"/>
        <v>67.72682926829269</v>
      </c>
      <c r="AB657" s="39">
        <f t="shared" si="63"/>
        <v>3131.4686938797477</v>
      </c>
      <c r="AC657">
        <f t="shared" si="66"/>
        <v>0.99985190262158929</v>
      </c>
      <c r="AD657">
        <f t="shared" si="64"/>
        <v>0.99979202266667178</v>
      </c>
      <c r="AE657">
        <f t="shared" si="65"/>
        <v>15927</v>
      </c>
    </row>
    <row r="658" spans="1:31">
      <c r="A658" s="9">
        <v>657</v>
      </c>
      <c r="B658" s="30">
        <v>40573</v>
      </c>
      <c r="C658" s="9">
        <v>1</v>
      </c>
      <c r="D658" s="9">
        <v>0</v>
      </c>
      <c r="E658" s="9">
        <v>1</v>
      </c>
      <c r="F658" s="9">
        <v>16</v>
      </c>
      <c r="G658" s="9" t="b">
        <v>0</v>
      </c>
      <c r="H658" s="9">
        <v>0</v>
      </c>
      <c r="I658" s="9">
        <v>1</v>
      </c>
      <c r="J658" s="9">
        <v>0.3</v>
      </c>
      <c r="K658" s="9">
        <v>0.33329999999999999</v>
      </c>
      <c r="L658" s="9">
        <v>0.56000000000000005</v>
      </c>
      <c r="M658" s="9">
        <v>0</v>
      </c>
      <c r="N658" s="9">
        <v>19</v>
      </c>
      <c r="O658" s="9">
        <v>104</v>
      </c>
      <c r="P658" s="9">
        <v>123</v>
      </c>
      <c r="Q658" s="12" t="s">
        <v>78</v>
      </c>
      <c r="R658" s="13" t="s">
        <v>79</v>
      </c>
      <c r="S658" s="9" t="s">
        <v>80</v>
      </c>
      <c r="T658" s="13" t="s">
        <v>81</v>
      </c>
      <c r="U658" s="13" t="s">
        <v>94</v>
      </c>
      <c r="V658" s="13" t="s">
        <v>93</v>
      </c>
      <c r="W658" s="13" t="s">
        <v>90</v>
      </c>
      <c r="X658" s="9" t="s">
        <v>85</v>
      </c>
      <c r="Y658" s="12" t="s">
        <v>86</v>
      </c>
      <c r="Z658">
        <f t="shared" si="61"/>
        <v>241</v>
      </c>
      <c r="AA658" s="39">
        <f t="shared" si="62"/>
        <v>67.524509803921575</v>
      </c>
      <c r="AB658" s="39">
        <f t="shared" si="63"/>
        <v>3136.0098522287899</v>
      </c>
      <c r="AC658">
        <f t="shared" si="66"/>
        <v>0.99985197970874395</v>
      </c>
      <c r="AD658">
        <f t="shared" si="64"/>
        <v>0.99979237762874407</v>
      </c>
      <c r="AE658">
        <f t="shared" si="65"/>
        <v>15927</v>
      </c>
    </row>
    <row r="659" spans="1:31">
      <c r="A659" s="10">
        <v>658</v>
      </c>
      <c r="B659" s="31">
        <v>40573</v>
      </c>
      <c r="C659" s="10">
        <v>1</v>
      </c>
      <c r="D659" s="10">
        <v>0</v>
      </c>
      <c r="E659" s="10">
        <v>1</v>
      </c>
      <c r="F659" s="10">
        <v>17</v>
      </c>
      <c r="G659" s="10" t="b">
        <v>0</v>
      </c>
      <c r="H659" s="10">
        <v>0</v>
      </c>
      <c r="I659" s="10">
        <v>1</v>
      </c>
      <c r="J659" s="10">
        <v>0.3</v>
      </c>
      <c r="K659" s="10">
        <v>0.28789999999999999</v>
      </c>
      <c r="L659" s="10">
        <v>0.56000000000000005</v>
      </c>
      <c r="M659" s="10">
        <v>0.19400000000000001</v>
      </c>
      <c r="N659" s="10">
        <v>6</v>
      </c>
      <c r="O659" s="10">
        <v>71</v>
      </c>
      <c r="P659" s="10">
        <v>77</v>
      </c>
      <c r="Q659" s="12" t="s">
        <v>78</v>
      </c>
      <c r="R659" s="13" t="s">
        <v>79</v>
      </c>
      <c r="S659" s="10" t="s">
        <v>80</v>
      </c>
      <c r="T659" s="13" t="s">
        <v>81</v>
      </c>
      <c r="U659" s="15" t="s">
        <v>95</v>
      </c>
      <c r="V659" s="13" t="s">
        <v>93</v>
      </c>
      <c r="W659" s="13" t="s">
        <v>90</v>
      </c>
      <c r="X659" s="10" t="s">
        <v>85</v>
      </c>
      <c r="Y659" s="12" t="s">
        <v>86</v>
      </c>
      <c r="Z659">
        <f t="shared" si="61"/>
        <v>241</v>
      </c>
      <c r="AA659" s="39">
        <f t="shared" si="62"/>
        <v>67.251231527093594</v>
      </c>
      <c r="AB659" s="39">
        <f t="shared" si="63"/>
        <v>3140.5723478660962</v>
      </c>
      <c r="AC659">
        <f t="shared" si="66"/>
        <v>0.99985218178749191</v>
      </c>
      <c r="AD659">
        <f t="shared" si="64"/>
        <v>0.99979296790605832</v>
      </c>
      <c r="AE659">
        <f t="shared" si="65"/>
        <v>15927</v>
      </c>
    </row>
    <row r="660" spans="1:31">
      <c r="A660" s="9">
        <v>659</v>
      </c>
      <c r="B660" s="30">
        <v>40573</v>
      </c>
      <c r="C660" s="9">
        <v>1</v>
      </c>
      <c r="D660" s="9">
        <v>0</v>
      </c>
      <c r="E660" s="9">
        <v>1</v>
      </c>
      <c r="F660" s="9">
        <v>18</v>
      </c>
      <c r="G660" s="9" t="b">
        <v>0</v>
      </c>
      <c r="H660" s="9">
        <v>0</v>
      </c>
      <c r="I660" s="9">
        <v>1</v>
      </c>
      <c r="J660" s="9">
        <v>0.26</v>
      </c>
      <c r="K660" s="9">
        <v>0.2576</v>
      </c>
      <c r="L660" s="9">
        <v>0.65</v>
      </c>
      <c r="M660" s="9">
        <v>0.16420000000000001</v>
      </c>
      <c r="N660" s="9">
        <v>8</v>
      </c>
      <c r="O660" s="9">
        <v>57</v>
      </c>
      <c r="P660" s="9">
        <v>65</v>
      </c>
      <c r="Q660" s="12" t="s">
        <v>78</v>
      </c>
      <c r="R660" s="13" t="s">
        <v>79</v>
      </c>
      <c r="S660" s="9" t="s">
        <v>80</v>
      </c>
      <c r="T660" s="13" t="s">
        <v>81</v>
      </c>
      <c r="U660" s="15" t="s">
        <v>95</v>
      </c>
      <c r="V660" s="11" t="s">
        <v>87</v>
      </c>
      <c r="W660" s="13" t="s">
        <v>90</v>
      </c>
      <c r="X660" s="9" t="s">
        <v>85</v>
      </c>
      <c r="Y660" s="12" t="s">
        <v>86</v>
      </c>
      <c r="Z660">
        <f t="shared" si="61"/>
        <v>241</v>
      </c>
      <c r="AA660" s="39">
        <f t="shared" si="62"/>
        <v>67.202970297029708</v>
      </c>
      <c r="AB660" s="39">
        <f t="shared" si="63"/>
        <v>3145.149102404775</v>
      </c>
      <c r="AC660">
        <f t="shared" si="66"/>
        <v>0.99985219252306035</v>
      </c>
      <c r="AD660">
        <f t="shared" si="64"/>
        <v>0.99979301089723871</v>
      </c>
      <c r="AE660">
        <f t="shared" si="65"/>
        <v>15927</v>
      </c>
    </row>
    <row r="661" spans="1:31">
      <c r="A661" s="10">
        <v>660</v>
      </c>
      <c r="B661" s="31">
        <v>40573</v>
      </c>
      <c r="C661" s="10">
        <v>1</v>
      </c>
      <c r="D661" s="10">
        <v>0</v>
      </c>
      <c r="E661" s="10">
        <v>1</v>
      </c>
      <c r="F661" s="10">
        <v>19</v>
      </c>
      <c r="G661" s="10" t="b">
        <v>0</v>
      </c>
      <c r="H661" s="10">
        <v>0</v>
      </c>
      <c r="I661" s="10">
        <v>1</v>
      </c>
      <c r="J661" s="10">
        <v>0.26</v>
      </c>
      <c r="K661" s="10">
        <v>0.2576</v>
      </c>
      <c r="L661" s="10">
        <v>0.65</v>
      </c>
      <c r="M661" s="10">
        <v>0.19400000000000001</v>
      </c>
      <c r="N661" s="10">
        <v>9</v>
      </c>
      <c r="O661" s="10">
        <v>46</v>
      </c>
      <c r="P661" s="10">
        <v>55</v>
      </c>
      <c r="Q661" s="12" t="s">
        <v>78</v>
      </c>
      <c r="R661" s="13" t="s">
        <v>79</v>
      </c>
      <c r="S661" s="10" t="s">
        <v>80</v>
      </c>
      <c r="T661" s="13" t="s">
        <v>81</v>
      </c>
      <c r="U661" s="15" t="s">
        <v>95</v>
      </c>
      <c r="V661" s="11" t="s">
        <v>87</v>
      </c>
      <c r="W661" s="13" t="s">
        <v>90</v>
      </c>
      <c r="X661" s="10" t="s">
        <v>85</v>
      </c>
      <c r="Y661" s="12" t="s">
        <v>86</v>
      </c>
      <c r="Z661">
        <f t="shared" si="61"/>
        <v>241</v>
      </c>
      <c r="AA661" s="39">
        <f t="shared" si="62"/>
        <v>67.2139303482587</v>
      </c>
      <c r="AB661" s="39">
        <f t="shared" si="63"/>
        <v>3149.7441020155889</v>
      </c>
      <c r="AC661">
        <f t="shared" si="66"/>
        <v>0.99985220500581828</v>
      </c>
      <c r="AD661">
        <f t="shared" si="64"/>
        <v>0.99979301110962659</v>
      </c>
      <c r="AE661">
        <f t="shared" si="65"/>
        <v>15927</v>
      </c>
    </row>
    <row r="662" spans="1:31">
      <c r="A662" s="9">
        <v>661</v>
      </c>
      <c r="B662" s="30">
        <v>40573</v>
      </c>
      <c r="C662" s="9">
        <v>1</v>
      </c>
      <c r="D662" s="9">
        <v>0</v>
      </c>
      <c r="E662" s="9">
        <v>1</v>
      </c>
      <c r="F662" s="9">
        <v>20</v>
      </c>
      <c r="G662" s="9" t="b">
        <v>0</v>
      </c>
      <c r="H662" s="9">
        <v>0</v>
      </c>
      <c r="I662" s="9">
        <v>2</v>
      </c>
      <c r="J662" s="9">
        <v>0.26</v>
      </c>
      <c r="K662" s="9">
        <v>0.2727</v>
      </c>
      <c r="L662" s="9">
        <v>0.65</v>
      </c>
      <c r="M662" s="9">
        <v>0.1045</v>
      </c>
      <c r="N662" s="9">
        <v>3</v>
      </c>
      <c r="O662" s="9">
        <v>30</v>
      </c>
      <c r="P662" s="9">
        <v>33</v>
      </c>
      <c r="Q662" s="12" t="s">
        <v>78</v>
      </c>
      <c r="R662" s="13" t="s">
        <v>79</v>
      </c>
      <c r="S662" s="9" t="s">
        <v>80</v>
      </c>
      <c r="T662" s="11" t="s">
        <v>88</v>
      </c>
      <c r="U662" s="16" t="s">
        <v>97</v>
      </c>
      <c r="V662" s="11" t="s">
        <v>87</v>
      </c>
      <c r="W662" s="13" t="s">
        <v>90</v>
      </c>
      <c r="X662" s="9" t="s">
        <v>85</v>
      </c>
      <c r="Y662" s="12" t="s">
        <v>86</v>
      </c>
      <c r="Z662">
        <f t="shared" si="61"/>
        <v>241</v>
      </c>
      <c r="AA662" s="39">
        <f t="shared" si="62"/>
        <v>67.275000000000006</v>
      </c>
      <c r="AB662" s="39">
        <f t="shared" si="63"/>
        <v>3154.3576717325304</v>
      </c>
      <c r="AC662">
        <f t="shared" si="66"/>
        <v>0.99985226085261503</v>
      </c>
      <c r="AD662">
        <f t="shared" si="64"/>
        <v>0.99979303674344933</v>
      </c>
      <c r="AE662">
        <f t="shared" si="65"/>
        <v>15927</v>
      </c>
    </row>
    <row r="663" spans="1:31">
      <c r="A663" s="10">
        <v>662</v>
      </c>
      <c r="B663" s="31">
        <v>40573</v>
      </c>
      <c r="C663" s="10">
        <v>1</v>
      </c>
      <c r="D663" s="10">
        <v>0</v>
      </c>
      <c r="E663" s="10">
        <v>1</v>
      </c>
      <c r="F663" s="10">
        <v>21</v>
      </c>
      <c r="G663" s="10" t="b">
        <v>0</v>
      </c>
      <c r="H663" s="10">
        <v>0</v>
      </c>
      <c r="I663" s="10">
        <v>2</v>
      </c>
      <c r="J663" s="10">
        <v>0.24</v>
      </c>
      <c r="K663" s="10">
        <v>0.2424</v>
      </c>
      <c r="L663" s="10">
        <v>0.7</v>
      </c>
      <c r="M663" s="10">
        <v>0.16420000000000001</v>
      </c>
      <c r="N663" s="10">
        <v>3</v>
      </c>
      <c r="O663" s="10">
        <v>25</v>
      </c>
      <c r="P663" s="10">
        <v>28</v>
      </c>
      <c r="Q663" s="12" t="s">
        <v>78</v>
      </c>
      <c r="R663" s="13" t="s">
        <v>79</v>
      </c>
      <c r="S663" s="10" t="s">
        <v>80</v>
      </c>
      <c r="T663" s="11" t="s">
        <v>88</v>
      </c>
      <c r="U663" s="16" t="s">
        <v>97</v>
      </c>
      <c r="V663" s="12" t="s">
        <v>83</v>
      </c>
      <c r="W663" s="15" t="s">
        <v>84</v>
      </c>
      <c r="X663" s="10" t="s">
        <v>85</v>
      </c>
      <c r="Y663" s="12" t="s">
        <v>86</v>
      </c>
      <c r="Z663">
        <f t="shared" si="61"/>
        <v>241</v>
      </c>
      <c r="AA663" s="39">
        <f t="shared" si="62"/>
        <v>67.275000000000006</v>
      </c>
      <c r="AB663" s="39">
        <f t="shared" si="63"/>
        <v>3158.9876455081881</v>
      </c>
      <c r="AC663">
        <f t="shared" si="66"/>
        <v>0.99985251698943556</v>
      </c>
      <c r="AD663">
        <f t="shared" si="64"/>
        <v>0.9997932230514428</v>
      </c>
      <c r="AE663">
        <f t="shared" si="65"/>
        <v>15927</v>
      </c>
    </row>
    <row r="664" spans="1:31">
      <c r="A664" s="9">
        <v>663</v>
      </c>
      <c r="B664" s="30">
        <v>40573</v>
      </c>
      <c r="C664" s="9">
        <v>1</v>
      </c>
      <c r="D664" s="9">
        <v>0</v>
      </c>
      <c r="E664" s="9">
        <v>1</v>
      </c>
      <c r="F664" s="9">
        <v>22</v>
      </c>
      <c r="G664" s="9" t="b">
        <v>0</v>
      </c>
      <c r="H664" s="9">
        <v>0</v>
      </c>
      <c r="I664" s="9">
        <v>2</v>
      </c>
      <c r="J664" s="9">
        <v>0.24</v>
      </c>
      <c r="K664" s="9">
        <v>0.2273</v>
      </c>
      <c r="L664" s="9">
        <v>0.7</v>
      </c>
      <c r="M664" s="9">
        <v>0.19400000000000001</v>
      </c>
      <c r="N664" s="9">
        <v>2</v>
      </c>
      <c r="O664" s="9">
        <v>19</v>
      </c>
      <c r="P664" s="9">
        <v>21</v>
      </c>
      <c r="Q664" s="12" t="s">
        <v>78</v>
      </c>
      <c r="R664" s="13" t="s">
        <v>79</v>
      </c>
      <c r="S664" s="9" t="s">
        <v>80</v>
      </c>
      <c r="T664" s="11" t="s">
        <v>88</v>
      </c>
      <c r="U664" s="16" t="s">
        <v>97</v>
      </c>
      <c r="V664" s="12" t="s">
        <v>83</v>
      </c>
      <c r="W664" s="15" t="s">
        <v>84</v>
      </c>
      <c r="X664" s="9" t="s">
        <v>85</v>
      </c>
      <c r="Y664" s="12" t="s">
        <v>86</v>
      </c>
      <c r="Z664">
        <f t="shared" si="61"/>
        <v>241</v>
      </c>
      <c r="AA664" s="39">
        <f t="shared" si="62"/>
        <v>67.275000000000006</v>
      </c>
      <c r="AB664" s="39">
        <f t="shared" si="63"/>
        <v>3163.6371065596891</v>
      </c>
      <c r="AC664">
        <f t="shared" si="66"/>
        <v>0.99985276639817144</v>
      </c>
      <c r="AD664">
        <f t="shared" si="64"/>
        <v>0.99979353135498306</v>
      </c>
      <c r="AE664">
        <f t="shared" si="65"/>
        <v>15927</v>
      </c>
    </row>
    <row r="665" spans="1:31">
      <c r="A665" s="10">
        <v>664</v>
      </c>
      <c r="B665" s="31">
        <v>40573</v>
      </c>
      <c r="C665" s="10">
        <v>1</v>
      </c>
      <c r="D665" s="10">
        <v>0</v>
      </c>
      <c r="E665" s="10">
        <v>1</v>
      </c>
      <c r="F665" s="10">
        <v>23</v>
      </c>
      <c r="G665" s="10" t="b">
        <v>0</v>
      </c>
      <c r="H665" s="10">
        <v>0</v>
      </c>
      <c r="I665" s="10">
        <v>2</v>
      </c>
      <c r="J665" s="10">
        <v>0.24</v>
      </c>
      <c r="K665" s="10">
        <v>0.21210000000000001</v>
      </c>
      <c r="L665" s="10">
        <v>0.65</v>
      </c>
      <c r="M665" s="10">
        <v>0.28360000000000002</v>
      </c>
      <c r="N665" s="10">
        <v>5</v>
      </c>
      <c r="O665" s="10">
        <v>16</v>
      </c>
      <c r="P665" s="10">
        <v>21</v>
      </c>
      <c r="Q665" s="12" t="s">
        <v>78</v>
      </c>
      <c r="R665" s="13" t="s">
        <v>79</v>
      </c>
      <c r="S665" s="10" t="s">
        <v>80</v>
      </c>
      <c r="T665" s="11" t="s">
        <v>88</v>
      </c>
      <c r="U665" s="16" t="s">
        <v>97</v>
      </c>
      <c r="V665" s="12" t="s">
        <v>83</v>
      </c>
      <c r="W665" s="15" t="s">
        <v>84</v>
      </c>
      <c r="X665" s="10" t="s">
        <v>85</v>
      </c>
      <c r="Y665" s="12" t="s">
        <v>86</v>
      </c>
      <c r="Z665">
        <f t="shared" si="61"/>
        <v>241</v>
      </c>
      <c r="AA665" s="39">
        <f t="shared" si="62"/>
        <v>67.275000000000006</v>
      </c>
      <c r="AB665" s="39">
        <f t="shared" si="63"/>
        <v>3168.3057676848352</v>
      </c>
      <c r="AC665">
        <f t="shared" si="66"/>
        <v>0.99985311013670131</v>
      </c>
      <c r="AD665">
        <f t="shared" si="64"/>
        <v>0.99979394392162801</v>
      </c>
      <c r="AE665">
        <f t="shared" si="65"/>
        <v>15927</v>
      </c>
    </row>
    <row r="666" spans="1:31">
      <c r="A666" s="9">
        <v>665</v>
      </c>
      <c r="B666" s="30">
        <v>40574</v>
      </c>
      <c r="C666" s="9">
        <v>1</v>
      </c>
      <c r="D666" s="9">
        <v>0</v>
      </c>
      <c r="E666" s="9">
        <v>1</v>
      </c>
      <c r="F666" s="9">
        <v>0</v>
      </c>
      <c r="G666" s="9" t="b">
        <v>0</v>
      </c>
      <c r="H666" s="9">
        <v>1</v>
      </c>
      <c r="I666" s="9">
        <v>2</v>
      </c>
      <c r="J666" s="9">
        <v>0.24</v>
      </c>
      <c r="K666" s="9">
        <v>0.2273</v>
      </c>
      <c r="L666" s="9">
        <v>0.65</v>
      </c>
      <c r="M666" s="9">
        <v>0.22389999999999999</v>
      </c>
      <c r="N666" s="9">
        <v>1</v>
      </c>
      <c r="O666" s="9">
        <v>6</v>
      </c>
      <c r="P666" s="9">
        <v>7</v>
      </c>
      <c r="Q666" s="13" t="s">
        <v>98</v>
      </c>
      <c r="R666" s="13" t="s">
        <v>79</v>
      </c>
      <c r="S666" s="9" t="s">
        <v>80</v>
      </c>
      <c r="T666" s="11" t="s">
        <v>88</v>
      </c>
      <c r="U666" s="14" t="s">
        <v>82</v>
      </c>
      <c r="V666" s="12" t="s">
        <v>83</v>
      </c>
      <c r="W666" s="15" t="s">
        <v>84</v>
      </c>
      <c r="X666" s="9" t="s">
        <v>85</v>
      </c>
      <c r="Y666" s="13" t="s">
        <v>99</v>
      </c>
      <c r="Z666">
        <f t="shared" si="61"/>
        <v>241</v>
      </c>
      <c r="AA666" s="39">
        <f t="shared" si="62"/>
        <v>67.275000000000006</v>
      </c>
      <c r="AB666" s="39">
        <f t="shared" si="63"/>
        <v>3172.9951587773817</v>
      </c>
      <c r="AC666">
        <f t="shared" si="66"/>
        <v>0.99985345593034014</v>
      </c>
      <c r="AD666">
        <f t="shared" si="64"/>
        <v>0.99979428388859493</v>
      </c>
      <c r="AE666">
        <f t="shared" si="65"/>
        <v>15927</v>
      </c>
    </row>
    <row r="667" spans="1:31">
      <c r="A667" s="10">
        <v>666</v>
      </c>
      <c r="B667" s="31">
        <v>40574</v>
      </c>
      <c r="C667" s="10">
        <v>1</v>
      </c>
      <c r="D667" s="10">
        <v>0</v>
      </c>
      <c r="E667" s="10">
        <v>1</v>
      </c>
      <c r="F667" s="10">
        <v>1</v>
      </c>
      <c r="G667" s="10" t="b">
        <v>0</v>
      </c>
      <c r="H667" s="10">
        <v>1</v>
      </c>
      <c r="I667" s="10">
        <v>1</v>
      </c>
      <c r="J667" s="10">
        <v>0.22</v>
      </c>
      <c r="K667" s="10">
        <v>0.21210000000000001</v>
      </c>
      <c r="L667" s="10">
        <v>0.64</v>
      </c>
      <c r="M667" s="10">
        <v>0.25369999999999998</v>
      </c>
      <c r="N667" s="10">
        <v>2</v>
      </c>
      <c r="O667" s="10">
        <v>5</v>
      </c>
      <c r="P667" s="10">
        <v>7</v>
      </c>
      <c r="Q667" s="13" t="s">
        <v>98</v>
      </c>
      <c r="R667" s="13" t="s">
        <v>79</v>
      </c>
      <c r="S667" s="10" t="s">
        <v>80</v>
      </c>
      <c r="T667" s="13" t="s">
        <v>81</v>
      </c>
      <c r="U667" s="14" t="s">
        <v>82</v>
      </c>
      <c r="V667" s="12" t="s">
        <v>83</v>
      </c>
      <c r="W667" s="15" t="s">
        <v>84</v>
      </c>
      <c r="X667" s="10" t="s">
        <v>85</v>
      </c>
      <c r="Y667" s="13" t="s">
        <v>99</v>
      </c>
      <c r="Z667">
        <f t="shared" si="61"/>
        <v>240</v>
      </c>
      <c r="AA667" s="39">
        <f t="shared" si="62"/>
        <v>67.275000000000006</v>
      </c>
      <c r="AB667" s="39">
        <f t="shared" si="63"/>
        <v>3177.7024902292264</v>
      </c>
      <c r="AC667">
        <f t="shared" si="66"/>
        <v>0.99985403426510833</v>
      </c>
      <c r="AD667">
        <f t="shared" si="64"/>
        <v>0.99979485480151697</v>
      </c>
      <c r="AE667">
        <f t="shared" si="65"/>
        <v>15920</v>
      </c>
    </row>
    <row r="668" spans="1:31">
      <c r="A668" s="9">
        <v>667</v>
      </c>
      <c r="B668" s="30">
        <v>40574</v>
      </c>
      <c r="C668" s="9">
        <v>1</v>
      </c>
      <c r="D668" s="9">
        <v>0</v>
      </c>
      <c r="E668" s="9">
        <v>1</v>
      </c>
      <c r="F668" s="9">
        <v>2</v>
      </c>
      <c r="G668" s="9" t="b">
        <v>0</v>
      </c>
      <c r="H668" s="9">
        <v>1</v>
      </c>
      <c r="I668" s="9">
        <v>1</v>
      </c>
      <c r="J668" s="9">
        <v>0.22</v>
      </c>
      <c r="K668" s="9">
        <v>0.2273</v>
      </c>
      <c r="L668" s="9">
        <v>0.64</v>
      </c>
      <c r="M668" s="9">
        <v>0.19400000000000001</v>
      </c>
      <c r="N668" s="9">
        <v>0</v>
      </c>
      <c r="O668" s="9">
        <v>1</v>
      </c>
      <c r="P668" s="9">
        <v>1</v>
      </c>
      <c r="Q668" s="13" t="s">
        <v>98</v>
      </c>
      <c r="R668" s="13" t="s">
        <v>79</v>
      </c>
      <c r="S668" s="9" t="s">
        <v>80</v>
      </c>
      <c r="T668" s="13" t="s">
        <v>81</v>
      </c>
      <c r="U668" s="14" t="s">
        <v>82</v>
      </c>
      <c r="V668" s="12" t="s">
        <v>83</v>
      </c>
      <c r="W668" s="15" t="s">
        <v>84</v>
      </c>
      <c r="X668" s="9" t="s">
        <v>85</v>
      </c>
      <c r="Y668" s="13" t="s">
        <v>99</v>
      </c>
      <c r="Z668">
        <f t="shared" si="61"/>
        <v>239</v>
      </c>
      <c r="AA668" s="39">
        <f t="shared" si="62"/>
        <v>67.577889447236174</v>
      </c>
      <c r="AB668" s="39">
        <f t="shared" si="63"/>
        <v>3182.430834530398</v>
      </c>
      <c r="AC668">
        <f t="shared" si="66"/>
        <v>0.99985451542982684</v>
      </c>
      <c r="AD668">
        <f t="shared" si="64"/>
        <v>0.99979541077478629</v>
      </c>
      <c r="AE668">
        <f t="shared" si="65"/>
        <v>15913</v>
      </c>
    </row>
    <row r="669" spans="1:31">
      <c r="A669" s="10">
        <v>668</v>
      </c>
      <c r="B669" s="31">
        <v>40574</v>
      </c>
      <c r="C669" s="10">
        <v>1</v>
      </c>
      <c r="D669" s="10">
        <v>0</v>
      </c>
      <c r="E669" s="10">
        <v>1</v>
      </c>
      <c r="F669" s="10">
        <v>3</v>
      </c>
      <c r="G669" s="10" t="b">
        <v>0</v>
      </c>
      <c r="H669" s="10">
        <v>1</v>
      </c>
      <c r="I669" s="10">
        <v>1</v>
      </c>
      <c r="J669" s="10">
        <v>0.22</v>
      </c>
      <c r="K669" s="10">
        <v>0.2273</v>
      </c>
      <c r="L669" s="10">
        <v>0.64</v>
      </c>
      <c r="M669" s="10">
        <v>0.19400000000000001</v>
      </c>
      <c r="N669" s="10">
        <v>0</v>
      </c>
      <c r="O669" s="10">
        <v>2</v>
      </c>
      <c r="P669" s="10">
        <v>2</v>
      </c>
      <c r="Q669" s="13" t="s">
        <v>98</v>
      </c>
      <c r="R669" s="13" t="s">
        <v>79</v>
      </c>
      <c r="S669" s="10" t="s">
        <v>80</v>
      </c>
      <c r="T669" s="13" t="s">
        <v>81</v>
      </c>
      <c r="U669" s="14" t="s">
        <v>82</v>
      </c>
      <c r="V669" s="12" t="s">
        <v>83</v>
      </c>
      <c r="W669" s="15" t="s">
        <v>84</v>
      </c>
      <c r="X669" s="10" t="s">
        <v>85</v>
      </c>
      <c r="Y669" s="13" t="s">
        <v>99</v>
      </c>
      <c r="Z669">
        <f t="shared" si="61"/>
        <v>238</v>
      </c>
      <c r="AA669" s="39">
        <f t="shared" si="62"/>
        <v>67.914141414141412</v>
      </c>
      <c r="AB669" s="39">
        <f t="shared" si="63"/>
        <v>3187.1790186684138</v>
      </c>
      <c r="AC669">
        <f t="shared" si="66"/>
        <v>0.99985510662486499</v>
      </c>
      <c r="AD669">
        <f t="shared" si="64"/>
        <v>0.99979608487618588</v>
      </c>
      <c r="AE669">
        <f t="shared" si="65"/>
        <v>15912</v>
      </c>
    </row>
    <row r="670" spans="1:31">
      <c r="A670" s="9">
        <v>669</v>
      </c>
      <c r="B670" s="30">
        <v>40574</v>
      </c>
      <c r="C670" s="9">
        <v>1</v>
      </c>
      <c r="D670" s="9">
        <v>0</v>
      </c>
      <c r="E670" s="9">
        <v>1</v>
      </c>
      <c r="F670" s="9">
        <v>4</v>
      </c>
      <c r="G670" s="9" t="b">
        <v>0</v>
      </c>
      <c r="H670" s="9">
        <v>1</v>
      </c>
      <c r="I670" s="9">
        <v>1</v>
      </c>
      <c r="J670" s="9">
        <v>0.2</v>
      </c>
      <c r="K670" s="9">
        <v>0.19700000000000001</v>
      </c>
      <c r="L670" s="9">
        <v>0.59</v>
      </c>
      <c r="M670" s="9">
        <v>0.22389999999999999</v>
      </c>
      <c r="N670" s="9">
        <v>0</v>
      </c>
      <c r="O670" s="9">
        <v>2</v>
      </c>
      <c r="P670" s="9">
        <v>2</v>
      </c>
      <c r="Q670" s="13" t="s">
        <v>98</v>
      </c>
      <c r="R670" s="13" t="s">
        <v>79</v>
      </c>
      <c r="S670" s="9" t="s">
        <v>80</v>
      </c>
      <c r="T670" s="13" t="s">
        <v>81</v>
      </c>
      <c r="U670" s="14" t="s">
        <v>82</v>
      </c>
      <c r="V670" s="12" t="s">
        <v>83</v>
      </c>
      <c r="W670" s="15" t="s">
        <v>84</v>
      </c>
      <c r="X670" s="9" t="s">
        <v>85</v>
      </c>
      <c r="Y670" s="13" t="s">
        <v>99</v>
      </c>
      <c r="Z670">
        <f t="shared" si="61"/>
        <v>237</v>
      </c>
      <c r="AA670" s="39">
        <f t="shared" si="62"/>
        <v>68.248730964467001</v>
      </c>
      <c r="AB670" s="39">
        <f t="shared" si="63"/>
        <v>3191.9487438758347</v>
      </c>
      <c r="AC670">
        <f t="shared" si="66"/>
        <v>0.99985568274877834</v>
      </c>
      <c r="AD670">
        <f t="shared" si="64"/>
        <v>0.99979674312974987</v>
      </c>
      <c r="AE670">
        <f t="shared" si="65"/>
        <v>15910</v>
      </c>
    </row>
    <row r="671" spans="1:31">
      <c r="A671" s="10">
        <v>670</v>
      </c>
      <c r="B671" s="31">
        <v>40574</v>
      </c>
      <c r="C671" s="10">
        <v>1</v>
      </c>
      <c r="D671" s="10">
        <v>0</v>
      </c>
      <c r="E671" s="10">
        <v>1</v>
      </c>
      <c r="F671" s="10">
        <v>5</v>
      </c>
      <c r="G671" s="10" t="b">
        <v>0</v>
      </c>
      <c r="H671" s="10">
        <v>1</v>
      </c>
      <c r="I671" s="10">
        <v>1</v>
      </c>
      <c r="J671" s="10">
        <v>0.18</v>
      </c>
      <c r="K671" s="10">
        <v>0.16669999999999999</v>
      </c>
      <c r="L671" s="10">
        <v>0.64</v>
      </c>
      <c r="M671" s="10">
        <v>0.28360000000000002</v>
      </c>
      <c r="N671" s="10">
        <v>0</v>
      </c>
      <c r="O671" s="10">
        <v>8</v>
      </c>
      <c r="P671" s="10">
        <v>8</v>
      </c>
      <c r="Q671" s="13" t="s">
        <v>98</v>
      </c>
      <c r="R671" s="13" t="s">
        <v>79</v>
      </c>
      <c r="S671" s="10" t="s">
        <v>80</v>
      </c>
      <c r="T671" s="13" t="s">
        <v>81</v>
      </c>
      <c r="U671" s="15" t="s">
        <v>89</v>
      </c>
      <c r="V671" s="12" t="s">
        <v>83</v>
      </c>
      <c r="W671" s="15" t="s">
        <v>84</v>
      </c>
      <c r="X671" s="10" t="s">
        <v>85</v>
      </c>
      <c r="Y671" s="13" t="s">
        <v>99</v>
      </c>
      <c r="Z671">
        <f t="shared" si="61"/>
        <v>236</v>
      </c>
      <c r="AA671" s="39">
        <f t="shared" si="62"/>
        <v>68.586734693877546</v>
      </c>
      <c r="AB671" s="39">
        <f t="shared" si="63"/>
        <v>3196.739947148269</v>
      </c>
      <c r="AC671">
        <f t="shared" si="66"/>
        <v>0.99985616190700788</v>
      </c>
      <c r="AD671">
        <f t="shared" si="64"/>
        <v>0.99979730966088709</v>
      </c>
      <c r="AE671">
        <f t="shared" si="65"/>
        <v>15908</v>
      </c>
    </row>
    <row r="672" spans="1:31">
      <c r="A672" s="9">
        <v>671</v>
      </c>
      <c r="B672" s="30">
        <v>40574</v>
      </c>
      <c r="C672" s="9">
        <v>1</v>
      </c>
      <c r="D672" s="9">
        <v>0</v>
      </c>
      <c r="E672" s="9">
        <v>1</v>
      </c>
      <c r="F672" s="9">
        <v>6</v>
      </c>
      <c r="G672" s="9" t="b">
        <v>0</v>
      </c>
      <c r="H672" s="9">
        <v>1</v>
      </c>
      <c r="I672" s="9">
        <v>1</v>
      </c>
      <c r="J672" s="9">
        <v>0.16</v>
      </c>
      <c r="K672" s="9">
        <v>0.13639999999999999</v>
      </c>
      <c r="L672" s="9">
        <v>0.69</v>
      </c>
      <c r="M672" s="9">
        <v>0.32840000000000003</v>
      </c>
      <c r="N672" s="9">
        <v>0</v>
      </c>
      <c r="O672" s="9">
        <v>37</v>
      </c>
      <c r="P672" s="9">
        <v>37</v>
      </c>
      <c r="Q672" s="13" t="s">
        <v>98</v>
      </c>
      <c r="R672" s="13" t="s">
        <v>79</v>
      </c>
      <c r="S672" s="9" t="s">
        <v>80</v>
      </c>
      <c r="T672" s="13" t="s">
        <v>81</v>
      </c>
      <c r="U672" s="15" t="s">
        <v>89</v>
      </c>
      <c r="V672" s="11" t="s">
        <v>87</v>
      </c>
      <c r="W672" s="15" t="s">
        <v>84</v>
      </c>
      <c r="X672" s="9" t="s">
        <v>85</v>
      </c>
      <c r="Y672" s="13" t="s">
        <v>99</v>
      </c>
      <c r="Z672">
        <f t="shared" si="61"/>
        <v>235</v>
      </c>
      <c r="AA672" s="39">
        <f t="shared" si="62"/>
        <v>68.897435897435898</v>
      </c>
      <c r="AB672" s="39">
        <f t="shared" si="63"/>
        <v>3201.5541325639128</v>
      </c>
      <c r="AC672">
        <f t="shared" si="66"/>
        <v>0.99985646655974403</v>
      </c>
      <c r="AD672">
        <f t="shared" si="64"/>
        <v>0.99979786159149586</v>
      </c>
      <c r="AE672">
        <f t="shared" si="65"/>
        <v>15900</v>
      </c>
    </row>
    <row r="673" spans="1:31">
      <c r="A673" s="10">
        <v>672</v>
      </c>
      <c r="B673" s="31">
        <v>40574</v>
      </c>
      <c r="C673" s="10">
        <v>1</v>
      </c>
      <c r="D673" s="10">
        <v>0</v>
      </c>
      <c r="E673" s="10">
        <v>1</v>
      </c>
      <c r="F673" s="10">
        <v>7</v>
      </c>
      <c r="G673" s="10" t="b">
        <v>0</v>
      </c>
      <c r="H673" s="10">
        <v>1</v>
      </c>
      <c r="I673" s="10">
        <v>2</v>
      </c>
      <c r="J673" s="10">
        <v>0.16</v>
      </c>
      <c r="K673" s="10">
        <v>0.13639999999999999</v>
      </c>
      <c r="L673" s="10">
        <v>0.64</v>
      </c>
      <c r="M673" s="10">
        <v>0.28360000000000002</v>
      </c>
      <c r="N673" s="10">
        <v>1</v>
      </c>
      <c r="O673" s="10">
        <v>71</v>
      </c>
      <c r="P673" s="10">
        <v>72</v>
      </c>
      <c r="Q673" s="13" t="s">
        <v>98</v>
      </c>
      <c r="R673" s="13" t="s">
        <v>79</v>
      </c>
      <c r="S673" s="10" t="s">
        <v>80</v>
      </c>
      <c r="T673" s="11" t="s">
        <v>88</v>
      </c>
      <c r="U673" s="15" t="s">
        <v>89</v>
      </c>
      <c r="V673" s="13" t="s">
        <v>93</v>
      </c>
      <c r="W673" s="15" t="s">
        <v>84</v>
      </c>
      <c r="X673" s="10" t="s">
        <v>85</v>
      </c>
      <c r="Y673" s="13" t="s">
        <v>99</v>
      </c>
      <c r="Z673">
        <f t="shared" si="61"/>
        <v>234</v>
      </c>
      <c r="AA673" s="39">
        <f t="shared" si="62"/>
        <v>69.0618556701031</v>
      </c>
      <c r="AB673" s="39">
        <f t="shared" si="63"/>
        <v>3206.3961684280971</v>
      </c>
      <c r="AC673">
        <f t="shared" si="66"/>
        <v>0.99985648263528371</v>
      </c>
      <c r="AD673">
        <f t="shared" si="64"/>
        <v>0.99979806625012968</v>
      </c>
      <c r="AE673">
        <f t="shared" si="65"/>
        <v>15863</v>
      </c>
    </row>
    <row r="674" spans="1:31">
      <c r="A674" s="9">
        <v>673</v>
      </c>
      <c r="B674" s="30">
        <v>40574</v>
      </c>
      <c r="C674" s="9">
        <v>1</v>
      </c>
      <c r="D674" s="9">
        <v>0</v>
      </c>
      <c r="E674" s="9">
        <v>1</v>
      </c>
      <c r="F674" s="9">
        <v>8</v>
      </c>
      <c r="G674" s="9" t="b">
        <v>0</v>
      </c>
      <c r="H674" s="9">
        <v>1</v>
      </c>
      <c r="I674" s="9">
        <v>2</v>
      </c>
      <c r="J674" s="9">
        <v>0.16</v>
      </c>
      <c r="K674" s="9">
        <v>0.13639999999999999</v>
      </c>
      <c r="L674" s="9">
        <v>0.59</v>
      </c>
      <c r="M674" s="9">
        <v>0.28360000000000002</v>
      </c>
      <c r="N674" s="9">
        <v>3</v>
      </c>
      <c r="O674" s="9">
        <v>182</v>
      </c>
      <c r="P674" s="9">
        <v>185</v>
      </c>
      <c r="Q674" s="13" t="s">
        <v>98</v>
      </c>
      <c r="R674" s="13" t="s">
        <v>79</v>
      </c>
      <c r="S674" s="9" t="s">
        <v>80</v>
      </c>
      <c r="T674" s="11" t="s">
        <v>88</v>
      </c>
      <c r="U674" s="15" t="s">
        <v>89</v>
      </c>
      <c r="V674" s="13" t="s">
        <v>93</v>
      </c>
      <c r="W674" s="15" t="s">
        <v>84</v>
      </c>
      <c r="X674" s="9" t="s">
        <v>85</v>
      </c>
      <c r="Y674" s="13" t="s">
        <v>99</v>
      </c>
      <c r="Z674">
        <f t="shared" si="61"/>
        <v>233</v>
      </c>
      <c r="AA674" s="39">
        <f t="shared" si="62"/>
        <v>69.0618556701031</v>
      </c>
      <c r="AB674" s="39">
        <f t="shared" si="63"/>
        <v>3211.2664891216955</v>
      </c>
      <c r="AC674">
        <f t="shared" si="66"/>
        <v>0.99985656678297619</v>
      </c>
      <c r="AD674">
        <f t="shared" si="64"/>
        <v>0.99979806545783023</v>
      </c>
      <c r="AE674">
        <f t="shared" si="65"/>
        <v>15791</v>
      </c>
    </row>
    <row r="675" spans="1:31">
      <c r="A675" s="10">
        <v>674</v>
      </c>
      <c r="B675" s="31">
        <v>40574</v>
      </c>
      <c r="C675" s="10">
        <v>1</v>
      </c>
      <c r="D675" s="10">
        <v>0</v>
      </c>
      <c r="E675" s="10">
        <v>1</v>
      </c>
      <c r="F675" s="10">
        <v>9</v>
      </c>
      <c r="G675" s="10" t="b">
        <v>0</v>
      </c>
      <c r="H675" s="10">
        <v>1</v>
      </c>
      <c r="I675" s="10">
        <v>2</v>
      </c>
      <c r="J675" s="10">
        <v>0.16</v>
      </c>
      <c r="K675" s="10">
        <v>0.13639999999999999</v>
      </c>
      <c r="L675" s="10">
        <v>0.59</v>
      </c>
      <c r="M675" s="10">
        <v>0.29849999999999999</v>
      </c>
      <c r="N675" s="10">
        <v>0</v>
      </c>
      <c r="O675" s="10">
        <v>112</v>
      </c>
      <c r="P675" s="10">
        <v>112</v>
      </c>
      <c r="Q675" s="13" t="s">
        <v>98</v>
      </c>
      <c r="R675" s="13" t="s">
        <v>79</v>
      </c>
      <c r="S675" s="10" t="s">
        <v>80</v>
      </c>
      <c r="T675" s="11" t="s">
        <v>88</v>
      </c>
      <c r="U675" s="15" t="s">
        <v>89</v>
      </c>
      <c r="V675" s="13" t="s">
        <v>93</v>
      </c>
      <c r="W675" s="15" t="s">
        <v>84</v>
      </c>
      <c r="X675" s="10" t="s">
        <v>85</v>
      </c>
      <c r="Y675" s="13" t="s">
        <v>99</v>
      </c>
      <c r="Z675">
        <f t="shared" si="61"/>
        <v>232</v>
      </c>
      <c r="AA675" s="39">
        <f t="shared" si="62"/>
        <v>69.0618556701031</v>
      </c>
      <c r="AB675" s="39">
        <f t="shared" si="63"/>
        <v>3216.1713573690131</v>
      </c>
      <c r="AC675">
        <f t="shared" si="66"/>
        <v>0.99985935277191573</v>
      </c>
      <c r="AD675">
        <f t="shared" si="64"/>
        <v>0.99980021965308119</v>
      </c>
      <c r="AE675">
        <f t="shared" si="65"/>
        <v>15606</v>
      </c>
    </row>
    <row r="676" spans="1:31">
      <c r="A676" s="9">
        <v>675</v>
      </c>
      <c r="B676" s="30">
        <v>40574</v>
      </c>
      <c r="C676" s="9">
        <v>1</v>
      </c>
      <c r="D676" s="9">
        <v>0</v>
      </c>
      <c r="E676" s="9">
        <v>1</v>
      </c>
      <c r="F676" s="9">
        <v>10</v>
      </c>
      <c r="G676" s="9" t="b">
        <v>0</v>
      </c>
      <c r="H676" s="9">
        <v>1</v>
      </c>
      <c r="I676" s="9">
        <v>2</v>
      </c>
      <c r="J676" s="9">
        <v>0.16</v>
      </c>
      <c r="K676" s="9">
        <v>0.1515</v>
      </c>
      <c r="L676" s="9">
        <v>0.59</v>
      </c>
      <c r="M676" s="9">
        <v>0.19400000000000001</v>
      </c>
      <c r="N676" s="9">
        <v>1</v>
      </c>
      <c r="O676" s="9">
        <v>68</v>
      </c>
      <c r="P676" s="9">
        <v>69</v>
      </c>
      <c r="Q676" s="13" t="s">
        <v>98</v>
      </c>
      <c r="R676" s="13" t="s">
        <v>79</v>
      </c>
      <c r="S676" s="9" t="s">
        <v>80</v>
      </c>
      <c r="T676" s="11" t="s">
        <v>88</v>
      </c>
      <c r="U676" s="13" t="s">
        <v>91</v>
      </c>
      <c r="V676" s="13" t="s">
        <v>93</v>
      </c>
      <c r="W676" s="15" t="s">
        <v>84</v>
      </c>
      <c r="X676" s="9" t="s">
        <v>85</v>
      </c>
      <c r="Y676" s="13" t="s">
        <v>99</v>
      </c>
      <c r="Z676">
        <f t="shared" si="61"/>
        <v>231</v>
      </c>
      <c r="AA676" s="39">
        <f t="shared" si="62"/>
        <v>69.0618556701031</v>
      </c>
      <c r="AB676" s="39">
        <f t="shared" si="63"/>
        <v>3221.0922022279565</v>
      </c>
      <c r="AC676">
        <f t="shared" si="66"/>
        <v>0.99985996876972882</v>
      </c>
      <c r="AD676">
        <f t="shared" si="64"/>
        <v>0.99980055885486507</v>
      </c>
      <c r="AE676">
        <f t="shared" si="65"/>
        <v>15494</v>
      </c>
    </row>
    <row r="677" spans="1:31">
      <c r="A677" s="10">
        <v>676</v>
      </c>
      <c r="B677" s="31">
        <v>40574</v>
      </c>
      <c r="C677" s="10">
        <v>1</v>
      </c>
      <c r="D677" s="10">
        <v>0</v>
      </c>
      <c r="E677" s="10">
        <v>1</v>
      </c>
      <c r="F677" s="10">
        <v>11</v>
      </c>
      <c r="G677" s="10" t="b">
        <v>0</v>
      </c>
      <c r="H677" s="10">
        <v>1</v>
      </c>
      <c r="I677" s="10">
        <v>2</v>
      </c>
      <c r="J677" s="10">
        <v>0.16</v>
      </c>
      <c r="K677" s="10">
        <v>0.1515</v>
      </c>
      <c r="L677" s="10">
        <v>0.59</v>
      </c>
      <c r="M677" s="10">
        <v>0.19400000000000001</v>
      </c>
      <c r="N677" s="10">
        <v>2</v>
      </c>
      <c r="O677" s="10">
        <v>46</v>
      </c>
      <c r="P677" s="10">
        <v>48</v>
      </c>
      <c r="Q677" s="13" t="s">
        <v>98</v>
      </c>
      <c r="R677" s="13" t="s">
        <v>79</v>
      </c>
      <c r="S677" s="10" t="s">
        <v>80</v>
      </c>
      <c r="T677" s="11" t="s">
        <v>88</v>
      </c>
      <c r="U677" s="13" t="s">
        <v>91</v>
      </c>
      <c r="V677" s="11" t="s">
        <v>87</v>
      </c>
      <c r="W677" s="15" t="s">
        <v>84</v>
      </c>
      <c r="X677" s="10" t="s">
        <v>85</v>
      </c>
      <c r="Y677" s="13" t="s">
        <v>99</v>
      </c>
      <c r="Z677">
        <f t="shared" si="61"/>
        <v>230</v>
      </c>
      <c r="AA677" s="39">
        <f t="shared" si="62"/>
        <v>69.0618556701031</v>
      </c>
      <c r="AB677" s="39">
        <f t="shared" si="63"/>
        <v>3226.0294267820041</v>
      </c>
      <c r="AC677">
        <f t="shared" si="66"/>
        <v>0.99986003724742933</v>
      </c>
      <c r="AD677">
        <f t="shared" si="64"/>
        <v>0.99980056083322899</v>
      </c>
      <c r="AE677">
        <f t="shared" si="65"/>
        <v>15425</v>
      </c>
    </row>
    <row r="678" spans="1:31">
      <c r="A678" s="9">
        <v>677</v>
      </c>
      <c r="B678" s="30">
        <v>40574</v>
      </c>
      <c r="C678" s="9">
        <v>1</v>
      </c>
      <c r="D678" s="9">
        <v>0</v>
      </c>
      <c r="E678" s="9">
        <v>1</v>
      </c>
      <c r="F678" s="9">
        <v>12</v>
      </c>
      <c r="G678" s="9" t="b">
        <v>0</v>
      </c>
      <c r="H678" s="9">
        <v>1</v>
      </c>
      <c r="I678" s="9">
        <v>2</v>
      </c>
      <c r="J678" s="9">
        <v>0.18</v>
      </c>
      <c r="K678" s="9">
        <v>0.21210000000000001</v>
      </c>
      <c r="L678" s="9">
        <v>0.55000000000000004</v>
      </c>
      <c r="M678" s="9">
        <v>0.1045</v>
      </c>
      <c r="N678" s="9">
        <v>6</v>
      </c>
      <c r="O678" s="9">
        <v>62</v>
      </c>
      <c r="P678" s="9">
        <v>68</v>
      </c>
      <c r="Q678" s="13" t="s">
        <v>98</v>
      </c>
      <c r="R678" s="13" t="s">
        <v>79</v>
      </c>
      <c r="S678" s="9" t="s">
        <v>80</v>
      </c>
      <c r="T678" s="11" t="s">
        <v>88</v>
      </c>
      <c r="U678" s="11" t="s">
        <v>92</v>
      </c>
      <c r="V678" s="11" t="s">
        <v>87</v>
      </c>
      <c r="W678" s="15" t="s">
        <v>84</v>
      </c>
      <c r="X678" s="9" t="s">
        <v>85</v>
      </c>
      <c r="Y678" s="13" t="s">
        <v>99</v>
      </c>
      <c r="Z678">
        <f t="shared" si="61"/>
        <v>229</v>
      </c>
      <c r="AA678" s="39">
        <f t="shared" si="62"/>
        <v>69.0618556701031</v>
      </c>
      <c r="AB678" s="39">
        <f t="shared" si="63"/>
        <v>3230.9856993290387</v>
      </c>
      <c r="AC678">
        <f t="shared" si="66"/>
        <v>0.99986003574280968</v>
      </c>
      <c r="AD678">
        <f t="shared" si="64"/>
        <v>0.99980059626367035</v>
      </c>
      <c r="AE678">
        <f t="shared" si="65"/>
        <v>15377</v>
      </c>
    </row>
    <row r="679" spans="1:31">
      <c r="A679" s="10">
        <v>678</v>
      </c>
      <c r="B679" s="31">
        <v>40574</v>
      </c>
      <c r="C679" s="10">
        <v>1</v>
      </c>
      <c r="D679" s="10">
        <v>0</v>
      </c>
      <c r="E679" s="10">
        <v>1</v>
      </c>
      <c r="F679" s="10">
        <v>13</v>
      </c>
      <c r="G679" s="10" t="b">
        <v>0</v>
      </c>
      <c r="H679" s="10">
        <v>1</v>
      </c>
      <c r="I679" s="10">
        <v>2</v>
      </c>
      <c r="J679" s="10">
        <v>0.16</v>
      </c>
      <c r="K679" s="10">
        <v>0.2273</v>
      </c>
      <c r="L679" s="10">
        <v>0.59</v>
      </c>
      <c r="M679" s="10">
        <v>0</v>
      </c>
      <c r="N679" s="10">
        <v>2</v>
      </c>
      <c r="O679" s="10">
        <v>52</v>
      </c>
      <c r="P679" s="10">
        <v>54</v>
      </c>
      <c r="Q679" s="13" t="s">
        <v>98</v>
      </c>
      <c r="R679" s="13" t="s">
        <v>79</v>
      </c>
      <c r="S679" s="10" t="s">
        <v>80</v>
      </c>
      <c r="T679" s="11" t="s">
        <v>88</v>
      </c>
      <c r="U679" s="11" t="s">
        <v>92</v>
      </c>
      <c r="V679" s="11" t="s">
        <v>87</v>
      </c>
      <c r="W679" s="15" t="s">
        <v>84</v>
      </c>
      <c r="X679" s="10" t="s">
        <v>85</v>
      </c>
      <c r="Y679" s="13" t="s">
        <v>99</v>
      </c>
      <c r="Z679">
        <f t="shared" si="61"/>
        <v>228</v>
      </c>
      <c r="AA679" s="39">
        <f t="shared" si="62"/>
        <v>69.0618556701031</v>
      </c>
      <c r="AB679" s="39">
        <f t="shared" si="63"/>
        <v>3235.9684599441034</v>
      </c>
      <c r="AC679">
        <f t="shared" si="66"/>
        <v>0.99986006822854212</v>
      </c>
      <c r="AD679">
        <f t="shared" si="64"/>
        <v>0.99980060394764658</v>
      </c>
      <c r="AE679">
        <f t="shared" si="65"/>
        <v>15309</v>
      </c>
    </row>
    <row r="680" spans="1:31">
      <c r="A680" s="9">
        <v>679</v>
      </c>
      <c r="B680" s="30">
        <v>40574</v>
      </c>
      <c r="C680" s="9">
        <v>1</v>
      </c>
      <c r="D680" s="9">
        <v>0</v>
      </c>
      <c r="E680" s="9">
        <v>1</v>
      </c>
      <c r="F680" s="9">
        <v>14</v>
      </c>
      <c r="G680" s="9" t="b">
        <v>0</v>
      </c>
      <c r="H680" s="9">
        <v>1</v>
      </c>
      <c r="I680" s="9">
        <v>2</v>
      </c>
      <c r="J680" s="9">
        <v>0.18</v>
      </c>
      <c r="K680" s="9">
        <v>0.19700000000000001</v>
      </c>
      <c r="L680" s="9">
        <v>0.55000000000000004</v>
      </c>
      <c r="M680" s="9">
        <v>0.1343</v>
      </c>
      <c r="N680" s="9">
        <v>1</v>
      </c>
      <c r="O680" s="9">
        <v>85</v>
      </c>
      <c r="P680" s="9">
        <v>86</v>
      </c>
      <c r="Q680" s="13" t="s">
        <v>98</v>
      </c>
      <c r="R680" s="13" t="s">
        <v>79</v>
      </c>
      <c r="S680" s="9" t="s">
        <v>80</v>
      </c>
      <c r="T680" s="11" t="s">
        <v>88</v>
      </c>
      <c r="U680" s="13" t="s">
        <v>94</v>
      </c>
      <c r="V680" s="13" t="s">
        <v>93</v>
      </c>
      <c r="W680" s="15" t="s">
        <v>84</v>
      </c>
      <c r="X680" s="9" t="s">
        <v>85</v>
      </c>
      <c r="Y680" s="13" t="s">
        <v>99</v>
      </c>
      <c r="Z680">
        <f t="shared" si="61"/>
        <v>227</v>
      </c>
      <c r="AA680" s="39">
        <f t="shared" si="62"/>
        <v>69.0618556701031</v>
      </c>
      <c r="AB680" s="39">
        <f t="shared" si="63"/>
        <v>3240.9718720416076</v>
      </c>
      <c r="AC680">
        <f t="shared" si="66"/>
        <v>0.99986007357751239</v>
      </c>
      <c r="AD680">
        <f t="shared" si="64"/>
        <v>0.99980061652821328</v>
      </c>
      <c r="AE680">
        <f t="shared" si="65"/>
        <v>15255</v>
      </c>
    </row>
    <row r="681" spans="1:31">
      <c r="A681" s="10">
        <v>680</v>
      </c>
      <c r="B681" s="31">
        <v>40574</v>
      </c>
      <c r="C681" s="10">
        <v>1</v>
      </c>
      <c r="D681" s="10">
        <v>0</v>
      </c>
      <c r="E681" s="10">
        <v>1</v>
      </c>
      <c r="F681" s="10">
        <v>15</v>
      </c>
      <c r="G681" s="10" t="b">
        <v>0</v>
      </c>
      <c r="H681" s="10">
        <v>1</v>
      </c>
      <c r="I681" s="10">
        <v>2</v>
      </c>
      <c r="J681" s="10">
        <v>0.16</v>
      </c>
      <c r="K681" s="10">
        <v>0.18179999999999999</v>
      </c>
      <c r="L681" s="10">
        <v>0.59</v>
      </c>
      <c r="M681" s="10">
        <v>0.1343</v>
      </c>
      <c r="N681" s="10">
        <v>3</v>
      </c>
      <c r="O681" s="10">
        <v>41</v>
      </c>
      <c r="P681" s="10">
        <v>44</v>
      </c>
      <c r="Q681" s="13" t="s">
        <v>98</v>
      </c>
      <c r="R681" s="13" t="s">
        <v>79</v>
      </c>
      <c r="S681" s="10" t="s">
        <v>80</v>
      </c>
      <c r="T681" s="11" t="s">
        <v>88</v>
      </c>
      <c r="U681" s="13" t="s">
        <v>94</v>
      </c>
      <c r="V681" s="11" t="s">
        <v>87</v>
      </c>
      <c r="W681" s="15" t="s">
        <v>84</v>
      </c>
      <c r="X681" s="10" t="s">
        <v>85</v>
      </c>
      <c r="Y681" s="13" t="s">
        <v>99</v>
      </c>
      <c r="Z681">
        <f t="shared" si="61"/>
        <v>226</v>
      </c>
      <c r="AA681" s="39">
        <f t="shared" si="62"/>
        <v>69.0618556701031</v>
      </c>
      <c r="AB681" s="39">
        <f t="shared" si="63"/>
        <v>3246.0039666510106</v>
      </c>
      <c r="AC681">
        <f t="shared" si="66"/>
        <v>0.99986023559423554</v>
      </c>
      <c r="AD681">
        <f t="shared" si="64"/>
        <v>0.99980071533630666</v>
      </c>
      <c r="AE681">
        <f t="shared" si="65"/>
        <v>15169</v>
      </c>
    </row>
    <row r="682" spans="1:31">
      <c r="A682" s="9">
        <v>681</v>
      </c>
      <c r="B682" s="30">
        <v>40574</v>
      </c>
      <c r="C682" s="9">
        <v>1</v>
      </c>
      <c r="D682" s="9">
        <v>0</v>
      </c>
      <c r="E682" s="9">
        <v>1</v>
      </c>
      <c r="F682" s="9">
        <v>16</v>
      </c>
      <c r="G682" s="9" t="b">
        <v>0</v>
      </c>
      <c r="H682" s="9">
        <v>1</v>
      </c>
      <c r="I682" s="9">
        <v>2</v>
      </c>
      <c r="J682" s="9">
        <v>0.16</v>
      </c>
      <c r="K682" s="9">
        <v>0.18179999999999999</v>
      </c>
      <c r="L682" s="9">
        <v>0.56000000000000005</v>
      </c>
      <c r="M682" s="9">
        <v>0.19400000000000001</v>
      </c>
      <c r="N682" s="9">
        <v>3</v>
      </c>
      <c r="O682" s="9">
        <v>83</v>
      </c>
      <c r="P682" s="9">
        <v>86</v>
      </c>
      <c r="Q682" s="13" t="s">
        <v>98</v>
      </c>
      <c r="R682" s="13" t="s">
        <v>79</v>
      </c>
      <c r="S682" s="9" t="s">
        <v>80</v>
      </c>
      <c r="T682" s="11" t="s">
        <v>88</v>
      </c>
      <c r="U682" s="13" t="s">
        <v>94</v>
      </c>
      <c r="V682" s="13" t="s">
        <v>93</v>
      </c>
      <c r="W682" s="15" t="s">
        <v>84</v>
      </c>
      <c r="X682" s="9" t="s">
        <v>85</v>
      </c>
      <c r="Y682" s="13" t="s">
        <v>99</v>
      </c>
      <c r="Z682">
        <f t="shared" si="61"/>
        <v>225</v>
      </c>
      <c r="AA682" s="39">
        <f t="shared" si="62"/>
        <v>69.0618556701031</v>
      </c>
      <c r="AB682" s="39">
        <f t="shared" si="63"/>
        <v>3251.0522498612477</v>
      </c>
      <c r="AC682">
        <f t="shared" si="66"/>
        <v>0.99986023530756873</v>
      </c>
      <c r="AD682">
        <f t="shared" si="64"/>
        <v>0.99980077176315862</v>
      </c>
      <c r="AE682">
        <f t="shared" si="65"/>
        <v>15125</v>
      </c>
    </row>
    <row r="683" spans="1:31">
      <c r="A683" s="10">
        <v>682</v>
      </c>
      <c r="B683" s="31">
        <v>40574</v>
      </c>
      <c r="C683" s="10">
        <v>1</v>
      </c>
      <c r="D683" s="10">
        <v>0</v>
      </c>
      <c r="E683" s="10">
        <v>1</v>
      </c>
      <c r="F683" s="10">
        <v>17</v>
      </c>
      <c r="G683" s="10" t="b">
        <v>0</v>
      </c>
      <c r="H683" s="10">
        <v>1</v>
      </c>
      <c r="I683" s="10">
        <v>2</v>
      </c>
      <c r="J683" s="10">
        <v>0.16</v>
      </c>
      <c r="K683" s="10">
        <v>0.1515</v>
      </c>
      <c r="L683" s="10">
        <v>0.59</v>
      </c>
      <c r="M683" s="10">
        <v>0.19400000000000001</v>
      </c>
      <c r="N683" s="10">
        <v>6</v>
      </c>
      <c r="O683" s="10">
        <v>155</v>
      </c>
      <c r="P683" s="10">
        <v>161</v>
      </c>
      <c r="Q683" s="13" t="s">
        <v>98</v>
      </c>
      <c r="R683" s="13" t="s">
        <v>79</v>
      </c>
      <c r="S683" s="10" t="s">
        <v>80</v>
      </c>
      <c r="T683" s="11" t="s">
        <v>88</v>
      </c>
      <c r="U683" s="15" t="s">
        <v>95</v>
      </c>
      <c r="V683" s="13" t="s">
        <v>93</v>
      </c>
      <c r="W683" s="15" t="s">
        <v>84</v>
      </c>
      <c r="X683" s="10" t="s">
        <v>85</v>
      </c>
      <c r="Y683" s="13" t="s">
        <v>99</v>
      </c>
      <c r="Z683">
        <f t="shared" si="61"/>
        <v>224</v>
      </c>
      <c r="AA683" s="39">
        <f t="shared" si="62"/>
        <v>69.0618556701031</v>
      </c>
      <c r="AB683" s="39">
        <f t="shared" si="63"/>
        <v>3256.1315210125745</v>
      </c>
      <c r="AC683">
        <f t="shared" si="66"/>
        <v>0.9998604588569685</v>
      </c>
      <c r="AD683">
        <f t="shared" si="64"/>
        <v>0.99980086312207617</v>
      </c>
      <c r="AE683">
        <f t="shared" si="65"/>
        <v>15039</v>
      </c>
    </row>
    <row r="684" spans="1:31">
      <c r="A684" s="9">
        <v>683</v>
      </c>
      <c r="B684" s="30">
        <v>40574</v>
      </c>
      <c r="C684" s="9">
        <v>1</v>
      </c>
      <c r="D684" s="9">
        <v>0</v>
      </c>
      <c r="E684" s="9">
        <v>1</v>
      </c>
      <c r="F684" s="9">
        <v>18</v>
      </c>
      <c r="G684" s="9" t="b">
        <v>0</v>
      </c>
      <c r="H684" s="9">
        <v>1</v>
      </c>
      <c r="I684" s="9">
        <v>2</v>
      </c>
      <c r="J684" s="9">
        <v>0.16</v>
      </c>
      <c r="K684" s="9">
        <v>0.1515</v>
      </c>
      <c r="L684" s="9">
        <v>0.55000000000000004</v>
      </c>
      <c r="M684" s="9">
        <v>0.22389999999999999</v>
      </c>
      <c r="N684" s="9">
        <v>3</v>
      </c>
      <c r="O684" s="9">
        <v>153</v>
      </c>
      <c r="P684" s="9">
        <v>156</v>
      </c>
      <c r="Q684" s="13" t="s">
        <v>98</v>
      </c>
      <c r="R684" s="13" t="s">
        <v>79</v>
      </c>
      <c r="S684" s="9" t="s">
        <v>80</v>
      </c>
      <c r="T684" s="11" t="s">
        <v>88</v>
      </c>
      <c r="U684" s="15" t="s">
        <v>95</v>
      </c>
      <c r="V684" s="13" t="s">
        <v>93</v>
      </c>
      <c r="W684" s="15" t="s">
        <v>84</v>
      </c>
      <c r="X684" s="9" t="s">
        <v>85</v>
      </c>
      <c r="Y684" s="13" t="s">
        <v>99</v>
      </c>
      <c r="Z684">
        <f t="shared" si="61"/>
        <v>223</v>
      </c>
      <c r="AA684" s="39">
        <f t="shared" si="62"/>
        <v>69.0618556701031</v>
      </c>
      <c r="AB684" s="39">
        <f t="shared" si="63"/>
        <v>3261.2436311606416</v>
      </c>
      <c r="AC684">
        <f t="shared" si="66"/>
        <v>0.99986238739595157</v>
      </c>
      <c r="AD684">
        <f t="shared" si="64"/>
        <v>0.99980226118624815</v>
      </c>
      <c r="AE684">
        <f t="shared" si="65"/>
        <v>14878</v>
      </c>
    </row>
    <row r="685" spans="1:31">
      <c r="A685" s="10">
        <v>684</v>
      </c>
      <c r="B685" s="31">
        <v>40574</v>
      </c>
      <c r="C685" s="10">
        <v>1</v>
      </c>
      <c r="D685" s="10">
        <v>0</v>
      </c>
      <c r="E685" s="10">
        <v>1</v>
      </c>
      <c r="F685" s="10">
        <v>19</v>
      </c>
      <c r="G685" s="10" t="b">
        <v>0</v>
      </c>
      <c r="H685" s="10">
        <v>1</v>
      </c>
      <c r="I685" s="10">
        <v>1</v>
      </c>
      <c r="J685" s="10">
        <v>0.3</v>
      </c>
      <c r="K685" s="10">
        <v>0.31819999999999998</v>
      </c>
      <c r="L685" s="10">
        <v>0.61</v>
      </c>
      <c r="M685" s="10">
        <v>0.1045</v>
      </c>
      <c r="N685" s="10">
        <v>3</v>
      </c>
      <c r="O685" s="10">
        <v>108</v>
      </c>
      <c r="P685" s="10">
        <v>111</v>
      </c>
      <c r="Q685" s="13" t="s">
        <v>98</v>
      </c>
      <c r="R685" s="13" t="s">
        <v>79</v>
      </c>
      <c r="S685" s="10" t="s">
        <v>80</v>
      </c>
      <c r="T685" s="13" t="s">
        <v>81</v>
      </c>
      <c r="U685" s="15" t="s">
        <v>95</v>
      </c>
      <c r="V685" s="13" t="s">
        <v>93</v>
      </c>
      <c r="W685" s="13" t="s">
        <v>90</v>
      </c>
      <c r="X685" s="10" t="s">
        <v>85</v>
      </c>
      <c r="Y685" s="13" t="s">
        <v>99</v>
      </c>
      <c r="Z685">
        <f t="shared" si="61"/>
        <v>222</v>
      </c>
      <c r="AA685" s="39">
        <f t="shared" si="62"/>
        <v>69.0618556701031</v>
      </c>
      <c r="AB685" s="39">
        <f t="shared" si="63"/>
        <v>3266.3794652965285</v>
      </c>
      <c r="AC685">
        <f t="shared" si="66"/>
        <v>0.99986416211247842</v>
      </c>
      <c r="AD685">
        <f t="shared" si="64"/>
        <v>0.99980363936882755</v>
      </c>
      <c r="AE685">
        <f t="shared" si="65"/>
        <v>14722</v>
      </c>
    </row>
    <row r="686" spans="1:31">
      <c r="A686" s="9">
        <v>685</v>
      </c>
      <c r="B686" s="30">
        <v>40574</v>
      </c>
      <c r="C686" s="9">
        <v>1</v>
      </c>
      <c r="D686" s="9">
        <v>0</v>
      </c>
      <c r="E686" s="9">
        <v>1</v>
      </c>
      <c r="F686" s="9">
        <v>20</v>
      </c>
      <c r="G686" s="9" t="b">
        <v>0</v>
      </c>
      <c r="H686" s="9">
        <v>1</v>
      </c>
      <c r="I686" s="9">
        <v>3</v>
      </c>
      <c r="J686" s="9">
        <v>0.16</v>
      </c>
      <c r="K686" s="9">
        <v>0.16669999999999999</v>
      </c>
      <c r="L686" s="9">
        <v>0.59</v>
      </c>
      <c r="M686" s="9">
        <v>0.16420000000000001</v>
      </c>
      <c r="N686" s="9">
        <v>0</v>
      </c>
      <c r="O686" s="9">
        <v>78</v>
      </c>
      <c r="P686" s="9">
        <v>78</v>
      </c>
      <c r="Q686" s="13" t="s">
        <v>98</v>
      </c>
      <c r="R686" s="13" t="s">
        <v>79</v>
      </c>
      <c r="S686" s="9" t="s">
        <v>80</v>
      </c>
      <c r="T686" s="12" t="s">
        <v>96</v>
      </c>
      <c r="U686" s="16" t="s">
        <v>97</v>
      </c>
      <c r="V686" s="13" t="s">
        <v>93</v>
      </c>
      <c r="W686" s="15" t="s">
        <v>84</v>
      </c>
      <c r="X686" s="9" t="s">
        <v>85</v>
      </c>
      <c r="Y686" s="13" t="s">
        <v>99</v>
      </c>
      <c r="Z686">
        <f t="shared" si="61"/>
        <v>221</v>
      </c>
      <c r="AA686" s="39">
        <f t="shared" si="62"/>
        <v>68.844559585492235</v>
      </c>
      <c r="AB686" s="39">
        <f t="shared" si="63"/>
        <v>3271.5346607574184</v>
      </c>
      <c r="AC686">
        <f t="shared" si="66"/>
        <v>0.99986425480488406</v>
      </c>
      <c r="AD686">
        <f t="shared" si="64"/>
        <v>0.99980394817870455</v>
      </c>
      <c r="AE686">
        <f t="shared" si="65"/>
        <v>14611</v>
      </c>
    </row>
    <row r="687" spans="1:31">
      <c r="A687" s="10">
        <v>686</v>
      </c>
      <c r="B687" s="31">
        <v>40574</v>
      </c>
      <c r="C687" s="10">
        <v>1</v>
      </c>
      <c r="D687" s="10">
        <v>0</v>
      </c>
      <c r="E687" s="10">
        <v>1</v>
      </c>
      <c r="F687" s="10">
        <v>21</v>
      </c>
      <c r="G687" s="10" t="b">
        <v>0</v>
      </c>
      <c r="H687" s="10">
        <v>1</v>
      </c>
      <c r="I687" s="10">
        <v>3</v>
      </c>
      <c r="J687" s="10">
        <v>0.16</v>
      </c>
      <c r="K687" s="10">
        <v>0.19700000000000001</v>
      </c>
      <c r="L687" s="10">
        <v>0.59</v>
      </c>
      <c r="M687" s="10">
        <v>8.9599999999999999E-2</v>
      </c>
      <c r="N687" s="10">
        <v>3</v>
      </c>
      <c r="O687" s="10">
        <v>53</v>
      </c>
      <c r="P687" s="10">
        <v>56</v>
      </c>
      <c r="Q687" s="13" t="s">
        <v>98</v>
      </c>
      <c r="R687" s="13" t="s">
        <v>79</v>
      </c>
      <c r="S687" s="10" t="s">
        <v>80</v>
      </c>
      <c r="T687" s="12" t="s">
        <v>96</v>
      </c>
      <c r="U687" s="16" t="s">
        <v>97</v>
      </c>
      <c r="V687" s="11" t="s">
        <v>87</v>
      </c>
      <c r="W687" s="15" t="s">
        <v>84</v>
      </c>
      <c r="X687" s="10" t="s">
        <v>85</v>
      </c>
      <c r="Y687" s="13" t="s">
        <v>99</v>
      </c>
      <c r="Z687">
        <f t="shared" si="61"/>
        <v>220</v>
      </c>
      <c r="AA687" s="39">
        <f t="shared" si="62"/>
        <v>68.844559585492235</v>
      </c>
      <c r="AB687" s="39">
        <f t="shared" si="63"/>
        <v>3276.7094203479237</v>
      </c>
      <c r="AC687">
        <f t="shared" si="66"/>
        <v>0.99986440383594544</v>
      </c>
      <c r="AD687">
        <f t="shared" si="64"/>
        <v>0.99980397922743869</v>
      </c>
      <c r="AE687">
        <f t="shared" si="65"/>
        <v>14533</v>
      </c>
    </row>
    <row r="688" spans="1:31">
      <c r="A688" s="9">
        <v>687</v>
      </c>
      <c r="B688" s="30">
        <v>40574</v>
      </c>
      <c r="C688" s="9">
        <v>1</v>
      </c>
      <c r="D688" s="9">
        <v>0</v>
      </c>
      <c r="E688" s="9">
        <v>1</v>
      </c>
      <c r="F688" s="9">
        <v>22</v>
      </c>
      <c r="G688" s="9" t="b">
        <v>0</v>
      </c>
      <c r="H688" s="9">
        <v>1</v>
      </c>
      <c r="I688" s="9">
        <v>2</v>
      </c>
      <c r="J688" s="9">
        <v>0.16</v>
      </c>
      <c r="K688" s="9">
        <v>0.18179999999999999</v>
      </c>
      <c r="L688" s="9">
        <v>0.59</v>
      </c>
      <c r="M688" s="9">
        <v>0.1045</v>
      </c>
      <c r="N688" s="9">
        <v>0</v>
      </c>
      <c r="O688" s="9">
        <v>34</v>
      </c>
      <c r="P688" s="9">
        <v>34</v>
      </c>
      <c r="Q688" s="13" t="s">
        <v>98</v>
      </c>
      <c r="R688" s="13" t="s">
        <v>79</v>
      </c>
      <c r="S688" s="9" t="s">
        <v>80</v>
      </c>
      <c r="T688" s="11" t="s">
        <v>88</v>
      </c>
      <c r="U688" s="16" t="s">
        <v>97</v>
      </c>
      <c r="V688" s="11" t="s">
        <v>87</v>
      </c>
      <c r="W688" s="15" t="s">
        <v>84</v>
      </c>
      <c r="X688" s="9" t="s">
        <v>85</v>
      </c>
      <c r="Y688" s="13" t="s">
        <v>99</v>
      </c>
      <c r="Z688">
        <f t="shared" si="61"/>
        <v>219</v>
      </c>
      <c r="AA688" s="39">
        <f t="shared" si="62"/>
        <v>68.844559585492235</v>
      </c>
      <c r="AB688" s="39">
        <f t="shared" si="63"/>
        <v>3281.9049264434411</v>
      </c>
      <c r="AC688">
        <f t="shared" si="66"/>
        <v>0.99986441694881478</v>
      </c>
      <c r="AD688">
        <f t="shared" si="64"/>
        <v>0.99980398454810149</v>
      </c>
      <c r="AE688">
        <f t="shared" si="65"/>
        <v>14477</v>
      </c>
    </row>
    <row r="689" spans="1:31">
      <c r="A689" s="10">
        <v>688</v>
      </c>
      <c r="B689" s="31">
        <v>40574</v>
      </c>
      <c r="C689" s="10">
        <v>1</v>
      </c>
      <c r="D689" s="10">
        <v>0</v>
      </c>
      <c r="E689" s="10">
        <v>1</v>
      </c>
      <c r="F689" s="10">
        <v>23</v>
      </c>
      <c r="G689" s="10" t="b">
        <v>0</v>
      </c>
      <c r="H689" s="10">
        <v>1</v>
      </c>
      <c r="I689" s="10">
        <v>2</v>
      </c>
      <c r="J689" s="10">
        <v>0.16</v>
      </c>
      <c r="K689" s="10">
        <v>0.19700000000000001</v>
      </c>
      <c r="L689" s="10">
        <v>0.64</v>
      </c>
      <c r="M689" s="10">
        <v>8.9599999999999999E-2</v>
      </c>
      <c r="N689" s="10">
        <v>2</v>
      </c>
      <c r="O689" s="10">
        <v>15</v>
      </c>
      <c r="P689" s="10">
        <v>17</v>
      </c>
      <c r="Q689" s="13" t="s">
        <v>98</v>
      </c>
      <c r="R689" s="13" t="s">
        <v>79</v>
      </c>
      <c r="S689" s="10" t="s">
        <v>80</v>
      </c>
      <c r="T689" s="11" t="s">
        <v>88</v>
      </c>
      <c r="U689" s="16" t="s">
        <v>97</v>
      </c>
      <c r="V689" s="12" t="s">
        <v>83</v>
      </c>
      <c r="W689" s="15" t="s">
        <v>84</v>
      </c>
      <c r="X689" s="10" t="s">
        <v>85</v>
      </c>
      <c r="Y689" s="13" t="s">
        <v>99</v>
      </c>
      <c r="Z689">
        <f t="shared" si="61"/>
        <v>218</v>
      </c>
      <c r="AA689" s="39">
        <f t="shared" si="62"/>
        <v>68.844559585492235</v>
      </c>
      <c r="AB689" s="39">
        <f t="shared" si="63"/>
        <v>3287.1208465648856</v>
      </c>
      <c r="AC689">
        <f t="shared" si="66"/>
        <v>0.99986443661214697</v>
      </c>
      <c r="AD689">
        <f t="shared" si="64"/>
        <v>0.99980410766084393</v>
      </c>
      <c r="AE689">
        <f t="shared" si="65"/>
        <v>14443</v>
      </c>
    </row>
    <row r="690" spans="1:31">
      <c r="A690" s="9">
        <v>689</v>
      </c>
      <c r="B690" s="30">
        <v>40575</v>
      </c>
      <c r="C690" s="9">
        <v>1</v>
      </c>
      <c r="D690" s="9">
        <v>0</v>
      </c>
      <c r="E690" s="9">
        <v>2</v>
      </c>
      <c r="F690" s="9">
        <v>0</v>
      </c>
      <c r="G690" s="9" t="b">
        <v>0</v>
      </c>
      <c r="H690" s="9">
        <v>2</v>
      </c>
      <c r="I690" s="9">
        <v>2</v>
      </c>
      <c r="J690" s="9">
        <v>0.16</v>
      </c>
      <c r="K690" s="9">
        <v>0.18179999999999999</v>
      </c>
      <c r="L690" s="9">
        <v>0.64</v>
      </c>
      <c r="M690" s="9">
        <v>0.1045</v>
      </c>
      <c r="N690" s="9">
        <v>2</v>
      </c>
      <c r="O690" s="9">
        <v>6</v>
      </c>
      <c r="P690" s="9">
        <v>8</v>
      </c>
      <c r="Q690" s="13" t="s">
        <v>98</v>
      </c>
      <c r="R690" s="13" t="s">
        <v>79</v>
      </c>
      <c r="S690" s="9" t="s">
        <v>80</v>
      </c>
      <c r="T690" s="11" t="s">
        <v>88</v>
      </c>
      <c r="U690" s="14" t="s">
        <v>82</v>
      </c>
      <c r="V690" s="12" t="s">
        <v>83</v>
      </c>
      <c r="W690" s="15" t="s">
        <v>84</v>
      </c>
      <c r="X690" s="9" t="s">
        <v>85</v>
      </c>
      <c r="Y690" s="13" t="s">
        <v>99</v>
      </c>
      <c r="Z690">
        <f t="shared" si="61"/>
        <v>217</v>
      </c>
      <c r="AA690" s="39">
        <f t="shared" si="62"/>
        <v>68.844559585492235</v>
      </c>
      <c r="AB690" s="39">
        <f t="shared" si="63"/>
        <v>3292.3579908975448</v>
      </c>
      <c r="AC690">
        <f t="shared" si="66"/>
        <v>0.99986455991343048</v>
      </c>
      <c r="AD690">
        <f t="shared" si="64"/>
        <v>0.99980449367448687</v>
      </c>
      <c r="AE690">
        <f t="shared" si="65"/>
        <v>14426</v>
      </c>
    </row>
    <row r="691" spans="1:31">
      <c r="A691" s="10">
        <v>690</v>
      </c>
      <c r="B691" s="31">
        <v>40575</v>
      </c>
      <c r="C691" s="10">
        <v>1</v>
      </c>
      <c r="D691" s="10">
        <v>0</v>
      </c>
      <c r="E691" s="10">
        <v>2</v>
      </c>
      <c r="F691" s="10">
        <v>1</v>
      </c>
      <c r="G691" s="10" t="b">
        <v>0</v>
      </c>
      <c r="H691" s="10">
        <v>2</v>
      </c>
      <c r="I691" s="10">
        <v>2</v>
      </c>
      <c r="J691" s="10">
        <v>0.16</v>
      </c>
      <c r="K691" s="10">
        <v>0.18179999999999999</v>
      </c>
      <c r="L691" s="10">
        <v>0.69</v>
      </c>
      <c r="M691" s="10">
        <v>0.1045</v>
      </c>
      <c r="N691" s="10">
        <v>0</v>
      </c>
      <c r="O691" s="10">
        <v>3</v>
      </c>
      <c r="P691" s="10">
        <v>3</v>
      </c>
      <c r="Q691" s="13" t="s">
        <v>98</v>
      </c>
      <c r="R691" s="13" t="s">
        <v>79</v>
      </c>
      <c r="S691" s="10" t="s">
        <v>80</v>
      </c>
      <c r="T691" s="11" t="s">
        <v>88</v>
      </c>
      <c r="U691" s="14" t="s">
        <v>82</v>
      </c>
      <c r="V691" s="12" t="s">
        <v>83</v>
      </c>
      <c r="W691" s="15" t="s">
        <v>84</v>
      </c>
      <c r="X691" s="10" t="s">
        <v>85</v>
      </c>
      <c r="Y691" s="13" t="s">
        <v>99</v>
      </c>
      <c r="Z691">
        <f t="shared" si="61"/>
        <v>216</v>
      </c>
      <c r="AA691" s="39">
        <f t="shared" si="62"/>
        <v>68.844559585492235</v>
      </c>
      <c r="AB691" s="39">
        <f t="shared" si="63"/>
        <v>3297.6181512326971</v>
      </c>
      <c r="AC691">
        <f t="shared" si="66"/>
        <v>0.99986477376512006</v>
      </c>
      <c r="AD691">
        <f t="shared" si="64"/>
        <v>0.9998050311583796</v>
      </c>
      <c r="AE691">
        <f t="shared" si="65"/>
        <v>14418</v>
      </c>
    </row>
    <row r="692" spans="1:31">
      <c r="A692" s="9">
        <v>691</v>
      </c>
      <c r="B692" s="30">
        <v>40575</v>
      </c>
      <c r="C692" s="9">
        <v>1</v>
      </c>
      <c r="D692" s="9">
        <v>0</v>
      </c>
      <c r="E692" s="9">
        <v>2</v>
      </c>
      <c r="F692" s="9">
        <v>2</v>
      </c>
      <c r="G692" s="9" t="b">
        <v>0</v>
      </c>
      <c r="H692" s="9">
        <v>2</v>
      </c>
      <c r="I692" s="9">
        <v>2</v>
      </c>
      <c r="J692" s="9">
        <v>0.16</v>
      </c>
      <c r="K692" s="9">
        <v>0.2273</v>
      </c>
      <c r="L692" s="9">
        <v>0.69</v>
      </c>
      <c r="M692" s="9">
        <v>0</v>
      </c>
      <c r="N692" s="9">
        <v>0</v>
      </c>
      <c r="O692" s="9">
        <v>2</v>
      </c>
      <c r="P692" s="9">
        <v>2</v>
      </c>
      <c r="Q692" s="13" t="s">
        <v>98</v>
      </c>
      <c r="R692" s="13" t="s">
        <v>79</v>
      </c>
      <c r="S692" s="9" t="s">
        <v>80</v>
      </c>
      <c r="T692" s="11" t="s">
        <v>88</v>
      </c>
      <c r="U692" s="14" t="s">
        <v>82</v>
      </c>
      <c r="V692" s="12" t="s">
        <v>83</v>
      </c>
      <c r="W692" s="15" t="s">
        <v>84</v>
      </c>
      <c r="X692" s="9" t="s">
        <v>85</v>
      </c>
      <c r="Y692" s="13" t="s">
        <v>99</v>
      </c>
      <c r="Z692">
        <f t="shared" si="61"/>
        <v>215</v>
      </c>
      <c r="AA692" s="39">
        <f t="shared" si="62"/>
        <v>68.844559585492235</v>
      </c>
      <c r="AB692" s="39">
        <f t="shared" si="63"/>
        <v>3302.9024000077216</v>
      </c>
      <c r="AC692">
        <f t="shared" si="66"/>
        <v>0.9998650494326311</v>
      </c>
      <c r="AD692">
        <f t="shared" si="64"/>
        <v>0.9998057666426361</v>
      </c>
      <c r="AE692">
        <f t="shared" si="65"/>
        <v>14415</v>
      </c>
    </row>
    <row r="693" spans="1:31">
      <c r="A693" s="10">
        <v>692</v>
      </c>
      <c r="B693" s="31">
        <v>40575</v>
      </c>
      <c r="C693" s="10">
        <v>1</v>
      </c>
      <c r="D693" s="10">
        <v>0</v>
      </c>
      <c r="E693" s="10">
        <v>2</v>
      </c>
      <c r="F693" s="10">
        <v>3</v>
      </c>
      <c r="G693" s="10" t="b">
        <v>0</v>
      </c>
      <c r="H693" s="10">
        <v>2</v>
      </c>
      <c r="I693" s="10">
        <v>2</v>
      </c>
      <c r="J693" s="10">
        <v>0.16</v>
      </c>
      <c r="K693" s="10">
        <v>0.2273</v>
      </c>
      <c r="L693" s="10">
        <v>0.69</v>
      </c>
      <c r="M693" s="10">
        <v>0</v>
      </c>
      <c r="N693" s="10">
        <v>0</v>
      </c>
      <c r="O693" s="10">
        <v>2</v>
      </c>
      <c r="P693" s="10">
        <v>2</v>
      </c>
      <c r="Q693" s="13" t="s">
        <v>98</v>
      </c>
      <c r="R693" s="13" t="s">
        <v>79</v>
      </c>
      <c r="S693" s="10" t="s">
        <v>80</v>
      </c>
      <c r="T693" s="11" t="s">
        <v>88</v>
      </c>
      <c r="U693" s="14" t="s">
        <v>82</v>
      </c>
      <c r="V693" s="12" t="s">
        <v>83</v>
      </c>
      <c r="W693" s="15" t="s">
        <v>84</v>
      </c>
      <c r="X693" s="10" t="s">
        <v>85</v>
      </c>
      <c r="Y693" s="13" t="s">
        <v>99</v>
      </c>
      <c r="Z693">
        <f t="shared" si="61"/>
        <v>214</v>
      </c>
      <c r="AA693" s="39">
        <f t="shared" si="62"/>
        <v>68.844559585492235</v>
      </c>
      <c r="AB693" s="39">
        <f t="shared" si="63"/>
        <v>3308.2118881503748</v>
      </c>
      <c r="AC693">
        <f t="shared" si="66"/>
        <v>0.9998653399129499</v>
      </c>
      <c r="AD693">
        <f t="shared" si="64"/>
        <v>0.99980652804232772</v>
      </c>
      <c r="AE693">
        <f t="shared" si="65"/>
        <v>14413</v>
      </c>
    </row>
    <row r="694" spans="1:31">
      <c r="A694" s="9">
        <v>693</v>
      </c>
      <c r="B694" s="30">
        <v>40575</v>
      </c>
      <c r="C694" s="9">
        <v>1</v>
      </c>
      <c r="D694" s="9">
        <v>0</v>
      </c>
      <c r="E694" s="9">
        <v>2</v>
      </c>
      <c r="F694" s="9">
        <v>5</v>
      </c>
      <c r="G694" s="9" t="b">
        <v>0</v>
      </c>
      <c r="H694" s="9">
        <v>2</v>
      </c>
      <c r="I694" s="9">
        <v>3</v>
      </c>
      <c r="J694" s="9">
        <v>0.14000000000000001</v>
      </c>
      <c r="K694" s="9">
        <v>0.21210000000000001</v>
      </c>
      <c r="L694" s="9">
        <v>0.93</v>
      </c>
      <c r="M694" s="9">
        <v>0</v>
      </c>
      <c r="N694" s="9">
        <v>0</v>
      </c>
      <c r="O694" s="9">
        <v>3</v>
      </c>
      <c r="P694" s="9">
        <v>3</v>
      </c>
      <c r="Q694" s="13" t="s">
        <v>98</v>
      </c>
      <c r="R694" s="13" t="s">
        <v>79</v>
      </c>
      <c r="S694" s="9" t="s">
        <v>80</v>
      </c>
      <c r="T694" s="12" t="s">
        <v>96</v>
      </c>
      <c r="U694" s="15" t="s">
        <v>89</v>
      </c>
      <c r="V694" s="12" t="s">
        <v>83</v>
      </c>
      <c r="W694" s="15" t="s">
        <v>84</v>
      </c>
      <c r="X694" s="9" t="s">
        <v>85</v>
      </c>
      <c r="Y694" s="13" t="s">
        <v>99</v>
      </c>
      <c r="Z694">
        <f t="shared" si="61"/>
        <v>213</v>
      </c>
      <c r="AA694" s="39">
        <f t="shared" si="62"/>
        <v>68.844559585492235</v>
      </c>
      <c r="AB694" s="39">
        <f t="shared" si="63"/>
        <v>3313.5470637422191</v>
      </c>
      <c r="AC694">
        <f t="shared" si="66"/>
        <v>0.99986563229162906</v>
      </c>
      <c r="AD694">
        <f t="shared" si="64"/>
        <v>0.99980729441270033</v>
      </c>
      <c r="AE694">
        <f t="shared" si="65"/>
        <v>14411</v>
      </c>
    </row>
    <row r="695" spans="1:31">
      <c r="A695" s="10">
        <v>694</v>
      </c>
      <c r="B695" s="31">
        <v>40575</v>
      </c>
      <c r="C695" s="10">
        <v>1</v>
      </c>
      <c r="D695" s="10">
        <v>0</v>
      </c>
      <c r="E695" s="10">
        <v>2</v>
      </c>
      <c r="F695" s="10">
        <v>6</v>
      </c>
      <c r="G695" s="10" t="b">
        <v>0</v>
      </c>
      <c r="H695" s="10">
        <v>2</v>
      </c>
      <c r="I695" s="10">
        <v>3</v>
      </c>
      <c r="J695" s="10">
        <v>0.14000000000000001</v>
      </c>
      <c r="K695" s="10">
        <v>0.21210000000000001</v>
      </c>
      <c r="L695" s="10">
        <v>0.93</v>
      </c>
      <c r="M695" s="10">
        <v>0</v>
      </c>
      <c r="N695" s="10">
        <v>0</v>
      </c>
      <c r="O695" s="10">
        <v>22</v>
      </c>
      <c r="P695" s="10">
        <v>22</v>
      </c>
      <c r="Q695" s="13" t="s">
        <v>98</v>
      </c>
      <c r="R695" s="13" t="s">
        <v>79</v>
      </c>
      <c r="S695" s="10" t="s">
        <v>80</v>
      </c>
      <c r="T695" s="12" t="s">
        <v>96</v>
      </c>
      <c r="U695" s="15" t="s">
        <v>89</v>
      </c>
      <c r="V695" s="12" t="s">
        <v>83</v>
      </c>
      <c r="W695" s="15" t="s">
        <v>84</v>
      </c>
      <c r="X695" s="10" t="s">
        <v>85</v>
      </c>
      <c r="Y695" s="13" t="s">
        <v>99</v>
      </c>
      <c r="Z695">
        <f t="shared" si="61"/>
        <v>212</v>
      </c>
      <c r="AA695" s="39">
        <f t="shared" si="62"/>
        <v>68.844559585492235</v>
      </c>
      <c r="AB695" s="39">
        <f t="shared" si="63"/>
        <v>3318.9083819508073</v>
      </c>
      <c r="AC695">
        <f t="shared" si="66"/>
        <v>0.9998658447619474</v>
      </c>
      <c r="AD695">
        <f t="shared" si="64"/>
        <v>0.99980863811929332</v>
      </c>
      <c r="AE695">
        <f t="shared" si="65"/>
        <v>14408</v>
      </c>
    </row>
    <row r="696" spans="1:31">
      <c r="A696" s="9">
        <v>695</v>
      </c>
      <c r="B696" s="30">
        <v>40575</v>
      </c>
      <c r="C696" s="9">
        <v>1</v>
      </c>
      <c r="D696" s="9">
        <v>0</v>
      </c>
      <c r="E696" s="9">
        <v>2</v>
      </c>
      <c r="F696" s="9">
        <v>7</v>
      </c>
      <c r="G696" s="9" t="b">
        <v>0</v>
      </c>
      <c r="H696" s="9">
        <v>2</v>
      </c>
      <c r="I696" s="9">
        <v>3</v>
      </c>
      <c r="J696" s="9">
        <v>0.16</v>
      </c>
      <c r="K696" s="9">
        <v>0.2273</v>
      </c>
      <c r="L696" s="9">
        <v>0.93</v>
      </c>
      <c r="M696" s="9">
        <v>0</v>
      </c>
      <c r="N696" s="9">
        <v>0</v>
      </c>
      <c r="O696" s="9">
        <v>52</v>
      </c>
      <c r="P696" s="9">
        <v>52</v>
      </c>
      <c r="Q696" s="13" t="s">
        <v>98</v>
      </c>
      <c r="R696" s="13" t="s">
        <v>79</v>
      </c>
      <c r="S696" s="9" t="s">
        <v>80</v>
      </c>
      <c r="T696" s="12" t="s">
        <v>96</v>
      </c>
      <c r="U696" s="15" t="s">
        <v>89</v>
      </c>
      <c r="V696" s="11" t="s">
        <v>87</v>
      </c>
      <c r="W696" s="15" t="s">
        <v>84</v>
      </c>
      <c r="X696" s="9" t="s">
        <v>85</v>
      </c>
      <c r="Y696" s="13" t="s">
        <v>99</v>
      </c>
      <c r="Z696">
        <f t="shared" si="61"/>
        <v>211</v>
      </c>
      <c r="AA696" s="39">
        <f t="shared" si="62"/>
        <v>68.844559585492235</v>
      </c>
      <c r="AB696" s="39">
        <f t="shared" si="63"/>
        <v>3324.3003437149014</v>
      </c>
      <c r="AC696">
        <f t="shared" si="66"/>
        <v>0.99986589724635322</v>
      </c>
      <c r="AD696">
        <f t="shared" si="64"/>
        <v>0.99980950570759519</v>
      </c>
      <c r="AE696">
        <f t="shared" si="65"/>
        <v>14386</v>
      </c>
    </row>
    <row r="697" spans="1:31">
      <c r="A697" s="10">
        <v>696</v>
      </c>
      <c r="B697" s="31">
        <v>40575</v>
      </c>
      <c r="C697" s="10">
        <v>1</v>
      </c>
      <c r="D697" s="10">
        <v>0</v>
      </c>
      <c r="E697" s="10">
        <v>2</v>
      </c>
      <c r="F697" s="10">
        <v>8</v>
      </c>
      <c r="G697" s="10" t="b">
        <v>0</v>
      </c>
      <c r="H697" s="10">
        <v>2</v>
      </c>
      <c r="I697" s="10">
        <v>3</v>
      </c>
      <c r="J697" s="10">
        <v>0.16</v>
      </c>
      <c r="K697" s="10">
        <v>0.2273</v>
      </c>
      <c r="L697" s="10">
        <v>0.93</v>
      </c>
      <c r="M697" s="10">
        <v>0</v>
      </c>
      <c r="N697" s="10">
        <v>3</v>
      </c>
      <c r="O697" s="10">
        <v>132</v>
      </c>
      <c r="P697" s="10">
        <v>135</v>
      </c>
      <c r="Q697" s="13" t="s">
        <v>98</v>
      </c>
      <c r="R697" s="13" t="s">
        <v>79</v>
      </c>
      <c r="S697" s="10" t="s">
        <v>80</v>
      </c>
      <c r="T697" s="12" t="s">
        <v>96</v>
      </c>
      <c r="U697" s="15" t="s">
        <v>89</v>
      </c>
      <c r="V697" s="13" t="s">
        <v>93</v>
      </c>
      <c r="W697" s="15" t="s">
        <v>84</v>
      </c>
      <c r="X697" s="10" t="s">
        <v>85</v>
      </c>
      <c r="Y697" s="13" t="s">
        <v>99</v>
      </c>
      <c r="Z697">
        <f t="shared" si="61"/>
        <v>210</v>
      </c>
      <c r="AA697" s="39">
        <f t="shared" si="62"/>
        <v>68.844559585492235</v>
      </c>
      <c r="AB697" s="39">
        <f t="shared" si="63"/>
        <v>3329.7251403993578</v>
      </c>
      <c r="AC697">
        <f t="shared" si="66"/>
        <v>0.99986589943637816</v>
      </c>
      <c r="AD697">
        <f t="shared" si="64"/>
        <v>0.99980982909456961</v>
      </c>
      <c r="AE697">
        <f t="shared" si="65"/>
        <v>14334</v>
      </c>
    </row>
    <row r="698" spans="1:31">
      <c r="A698" s="9">
        <v>697</v>
      </c>
      <c r="B698" s="30">
        <v>40575</v>
      </c>
      <c r="C698" s="9">
        <v>1</v>
      </c>
      <c r="D698" s="9">
        <v>0</v>
      </c>
      <c r="E698" s="9">
        <v>2</v>
      </c>
      <c r="F698" s="9">
        <v>9</v>
      </c>
      <c r="G698" s="9" t="b">
        <v>0</v>
      </c>
      <c r="H698" s="9">
        <v>2</v>
      </c>
      <c r="I698" s="9">
        <v>2</v>
      </c>
      <c r="J698" s="9">
        <v>0.16</v>
      </c>
      <c r="K698" s="9">
        <v>0.2273</v>
      </c>
      <c r="L698" s="9">
        <v>0.93</v>
      </c>
      <c r="M698" s="9">
        <v>0</v>
      </c>
      <c r="N698" s="9">
        <v>2</v>
      </c>
      <c r="O698" s="9">
        <v>114</v>
      </c>
      <c r="P698" s="9">
        <v>116</v>
      </c>
      <c r="Q698" s="13" t="s">
        <v>98</v>
      </c>
      <c r="R698" s="13" t="s">
        <v>79</v>
      </c>
      <c r="S698" s="9" t="s">
        <v>80</v>
      </c>
      <c r="T698" s="11" t="s">
        <v>88</v>
      </c>
      <c r="U698" s="15" t="s">
        <v>89</v>
      </c>
      <c r="V698" s="13" t="s">
        <v>93</v>
      </c>
      <c r="W698" s="15" t="s">
        <v>84</v>
      </c>
      <c r="X698" s="9" t="s">
        <v>85</v>
      </c>
      <c r="Y698" s="13" t="s">
        <v>99</v>
      </c>
      <c r="Z698">
        <f t="shared" si="61"/>
        <v>209</v>
      </c>
      <c r="AA698" s="39">
        <f t="shared" si="62"/>
        <v>68.844559585492235</v>
      </c>
      <c r="AB698" s="39">
        <f t="shared" si="63"/>
        <v>3335.1899253858346</v>
      </c>
      <c r="AC698">
        <f t="shared" si="66"/>
        <v>0.99986705044420465</v>
      </c>
      <c r="AD698">
        <f t="shared" si="64"/>
        <v>0.99981002048439493</v>
      </c>
      <c r="AE698">
        <f t="shared" si="65"/>
        <v>14199</v>
      </c>
    </row>
    <row r="699" spans="1:31">
      <c r="A699" s="10">
        <v>698</v>
      </c>
      <c r="B699" s="31">
        <v>40575</v>
      </c>
      <c r="C699" s="10">
        <v>1</v>
      </c>
      <c r="D699" s="10">
        <v>0</v>
      </c>
      <c r="E699" s="10">
        <v>2</v>
      </c>
      <c r="F699" s="10">
        <v>10</v>
      </c>
      <c r="G699" s="10" t="b">
        <v>0</v>
      </c>
      <c r="H699" s="10">
        <v>2</v>
      </c>
      <c r="I699" s="10">
        <v>2</v>
      </c>
      <c r="J699" s="10">
        <v>0.16</v>
      </c>
      <c r="K699" s="10">
        <v>0.2273</v>
      </c>
      <c r="L699" s="10">
        <v>0.93</v>
      </c>
      <c r="M699" s="10">
        <v>0</v>
      </c>
      <c r="N699" s="10">
        <v>0</v>
      </c>
      <c r="O699" s="10">
        <v>47</v>
      </c>
      <c r="P699" s="10">
        <v>47</v>
      </c>
      <c r="Q699" s="13" t="s">
        <v>98</v>
      </c>
      <c r="R699" s="13" t="s">
        <v>79</v>
      </c>
      <c r="S699" s="10" t="s">
        <v>80</v>
      </c>
      <c r="T699" s="11" t="s">
        <v>88</v>
      </c>
      <c r="U699" s="13" t="s">
        <v>91</v>
      </c>
      <c r="V699" s="11" t="s">
        <v>87</v>
      </c>
      <c r="W699" s="15" t="s">
        <v>84</v>
      </c>
      <c r="X699" s="10" t="s">
        <v>85</v>
      </c>
      <c r="Y699" s="13" t="s">
        <v>99</v>
      </c>
      <c r="Z699">
        <f t="shared" si="61"/>
        <v>208</v>
      </c>
      <c r="AA699" s="39">
        <f t="shared" si="62"/>
        <v>68.844559585492235</v>
      </c>
      <c r="AB699" s="39">
        <f t="shared" si="63"/>
        <v>3340.6792411763527</v>
      </c>
      <c r="AC699">
        <f t="shared" si="66"/>
        <v>0.99986776407813749</v>
      </c>
      <c r="AD699">
        <f t="shared" si="64"/>
        <v>0.99981006281603679</v>
      </c>
      <c r="AE699">
        <f t="shared" si="65"/>
        <v>14083</v>
      </c>
    </row>
    <row r="700" spans="1:31">
      <c r="A700" s="9">
        <v>699</v>
      </c>
      <c r="B700" s="30">
        <v>40575</v>
      </c>
      <c r="C700" s="9">
        <v>1</v>
      </c>
      <c r="D700" s="9">
        <v>0</v>
      </c>
      <c r="E700" s="9">
        <v>2</v>
      </c>
      <c r="F700" s="9">
        <v>11</v>
      </c>
      <c r="G700" s="9" t="b">
        <v>0</v>
      </c>
      <c r="H700" s="9">
        <v>2</v>
      </c>
      <c r="I700" s="9">
        <v>2</v>
      </c>
      <c r="J700" s="9">
        <v>0.18</v>
      </c>
      <c r="K700" s="9">
        <v>0.2424</v>
      </c>
      <c r="L700" s="9">
        <v>0.86</v>
      </c>
      <c r="M700" s="9">
        <v>0</v>
      </c>
      <c r="N700" s="9">
        <v>2</v>
      </c>
      <c r="O700" s="9">
        <v>49</v>
      </c>
      <c r="P700" s="9">
        <v>51</v>
      </c>
      <c r="Q700" s="13" t="s">
        <v>98</v>
      </c>
      <c r="R700" s="13" t="s">
        <v>79</v>
      </c>
      <c r="S700" s="9" t="s">
        <v>80</v>
      </c>
      <c r="T700" s="11" t="s">
        <v>88</v>
      </c>
      <c r="U700" s="13" t="s">
        <v>91</v>
      </c>
      <c r="V700" s="11" t="s">
        <v>87</v>
      </c>
      <c r="W700" s="15" t="s">
        <v>84</v>
      </c>
      <c r="X700" s="9" t="s">
        <v>85</v>
      </c>
      <c r="Y700" s="13" t="s">
        <v>99</v>
      </c>
      <c r="Z700">
        <f t="shared" si="61"/>
        <v>207</v>
      </c>
      <c r="AA700" s="39">
        <f t="shared" si="62"/>
        <v>68.844559585492235</v>
      </c>
      <c r="AB700" s="39">
        <f t="shared" si="63"/>
        <v>3346.1837399083483</v>
      </c>
      <c r="AC700">
        <f t="shared" si="66"/>
        <v>0.99986776240756325</v>
      </c>
      <c r="AD700">
        <f t="shared" si="64"/>
        <v>0.99981045898140752</v>
      </c>
      <c r="AE700">
        <f t="shared" si="65"/>
        <v>14036</v>
      </c>
    </row>
    <row r="701" spans="1:31">
      <c r="A701" s="10">
        <v>700</v>
      </c>
      <c r="B701" s="31">
        <v>40575</v>
      </c>
      <c r="C701" s="10">
        <v>1</v>
      </c>
      <c r="D701" s="10">
        <v>0</v>
      </c>
      <c r="E701" s="10">
        <v>2</v>
      </c>
      <c r="F701" s="10">
        <v>12</v>
      </c>
      <c r="G701" s="10" t="b">
        <v>0</v>
      </c>
      <c r="H701" s="10">
        <v>2</v>
      </c>
      <c r="I701" s="10">
        <v>2</v>
      </c>
      <c r="J701" s="10">
        <v>0.2</v>
      </c>
      <c r="K701" s="10">
        <v>0.2576</v>
      </c>
      <c r="L701" s="10">
        <v>0.86</v>
      </c>
      <c r="M701" s="10">
        <v>0</v>
      </c>
      <c r="N701" s="10">
        <v>2</v>
      </c>
      <c r="O701" s="10">
        <v>53</v>
      </c>
      <c r="P701" s="10">
        <v>55</v>
      </c>
      <c r="Q701" s="13" t="s">
        <v>98</v>
      </c>
      <c r="R701" s="13" t="s">
        <v>79</v>
      </c>
      <c r="S701" s="10" t="s">
        <v>80</v>
      </c>
      <c r="T701" s="11" t="s">
        <v>88</v>
      </c>
      <c r="U701" s="11" t="s">
        <v>92</v>
      </c>
      <c r="V701" s="11" t="s">
        <v>87</v>
      </c>
      <c r="W701" s="15" t="s">
        <v>84</v>
      </c>
      <c r="X701" s="10" t="s">
        <v>85</v>
      </c>
      <c r="Y701" s="13" t="s">
        <v>99</v>
      </c>
      <c r="Z701">
        <f t="shared" si="61"/>
        <v>206</v>
      </c>
      <c r="AA701" s="39">
        <f t="shared" si="62"/>
        <v>68.844559585492235</v>
      </c>
      <c r="AB701" s="39">
        <f t="shared" si="63"/>
        <v>3351.7163676056321</v>
      </c>
      <c r="AC701">
        <f t="shared" si="66"/>
        <v>0.99986776089487406</v>
      </c>
      <c r="AD701">
        <f t="shared" si="64"/>
        <v>0.99981070600193345</v>
      </c>
      <c r="AE701">
        <f t="shared" si="65"/>
        <v>13985</v>
      </c>
    </row>
    <row r="702" spans="1:31">
      <c r="A702" s="9">
        <v>701</v>
      </c>
      <c r="B702" s="30">
        <v>40575</v>
      </c>
      <c r="C702" s="9">
        <v>1</v>
      </c>
      <c r="D702" s="9">
        <v>0</v>
      </c>
      <c r="E702" s="9">
        <v>2</v>
      </c>
      <c r="F702" s="9">
        <v>13</v>
      </c>
      <c r="G702" s="9" t="b">
        <v>0</v>
      </c>
      <c r="H702" s="9">
        <v>2</v>
      </c>
      <c r="I702" s="9">
        <v>2</v>
      </c>
      <c r="J702" s="9">
        <v>0.2</v>
      </c>
      <c r="K702" s="9">
        <v>0.2576</v>
      </c>
      <c r="L702" s="9">
        <v>0.86</v>
      </c>
      <c r="M702" s="9">
        <v>0</v>
      </c>
      <c r="N702" s="9">
        <v>3</v>
      </c>
      <c r="O702" s="9">
        <v>49</v>
      </c>
      <c r="P702" s="9">
        <v>52</v>
      </c>
      <c r="Q702" s="13" t="s">
        <v>98</v>
      </c>
      <c r="R702" s="13" t="s">
        <v>79</v>
      </c>
      <c r="S702" s="9" t="s">
        <v>80</v>
      </c>
      <c r="T702" s="11" t="s">
        <v>88</v>
      </c>
      <c r="U702" s="11" t="s">
        <v>92</v>
      </c>
      <c r="V702" s="11" t="s">
        <v>87</v>
      </c>
      <c r="W702" s="15" t="s">
        <v>84</v>
      </c>
      <c r="X702" s="9" t="s">
        <v>85</v>
      </c>
      <c r="Y702" s="13" t="s">
        <v>99</v>
      </c>
      <c r="Z702">
        <f t="shared" si="61"/>
        <v>205</v>
      </c>
      <c r="AA702" s="39">
        <f t="shared" si="62"/>
        <v>68.844559585492235</v>
      </c>
      <c r="AB702" s="39">
        <f t="shared" si="63"/>
        <v>3357.277347144236</v>
      </c>
      <c r="AC702">
        <f t="shared" si="66"/>
        <v>0.99986776036260561</v>
      </c>
      <c r="AD702">
        <f t="shared" si="64"/>
        <v>0.99981090830901354</v>
      </c>
      <c r="AE702">
        <f t="shared" si="65"/>
        <v>13930</v>
      </c>
    </row>
    <row r="703" spans="1:31">
      <c r="A703" s="10">
        <v>702</v>
      </c>
      <c r="B703" s="31">
        <v>40575</v>
      </c>
      <c r="C703" s="10">
        <v>1</v>
      </c>
      <c r="D703" s="10">
        <v>0</v>
      </c>
      <c r="E703" s="10">
        <v>2</v>
      </c>
      <c r="F703" s="10">
        <v>14</v>
      </c>
      <c r="G703" s="10" t="b">
        <v>0</v>
      </c>
      <c r="H703" s="10">
        <v>2</v>
      </c>
      <c r="I703" s="10">
        <v>2</v>
      </c>
      <c r="J703" s="10">
        <v>0.22</v>
      </c>
      <c r="K703" s="10">
        <v>0.2576</v>
      </c>
      <c r="L703" s="10">
        <v>0.8</v>
      </c>
      <c r="M703" s="10">
        <v>8.9599999999999999E-2</v>
      </c>
      <c r="N703" s="10">
        <v>5</v>
      </c>
      <c r="O703" s="10">
        <v>49</v>
      </c>
      <c r="P703" s="10">
        <v>54</v>
      </c>
      <c r="Q703" s="13" t="s">
        <v>98</v>
      </c>
      <c r="R703" s="13" t="s">
        <v>79</v>
      </c>
      <c r="S703" s="10" t="s">
        <v>80</v>
      </c>
      <c r="T703" s="11" t="s">
        <v>88</v>
      </c>
      <c r="U703" s="13" t="s">
        <v>94</v>
      </c>
      <c r="V703" s="11" t="s">
        <v>87</v>
      </c>
      <c r="W703" s="15" t="s">
        <v>84</v>
      </c>
      <c r="X703" s="10" t="s">
        <v>85</v>
      </c>
      <c r="Y703" s="13" t="s">
        <v>99</v>
      </c>
      <c r="Z703">
        <f t="shared" si="61"/>
        <v>204</v>
      </c>
      <c r="AA703" s="39">
        <f t="shared" si="62"/>
        <v>68.844559585492235</v>
      </c>
      <c r="AB703" s="39">
        <f t="shared" si="63"/>
        <v>3362.865483378373</v>
      </c>
      <c r="AC703">
        <f t="shared" si="66"/>
        <v>0.99986776353282958</v>
      </c>
      <c r="AD703">
        <f t="shared" si="64"/>
        <v>0.99981114641276225</v>
      </c>
      <c r="AE703">
        <f t="shared" si="65"/>
        <v>13878</v>
      </c>
    </row>
    <row r="704" spans="1:31">
      <c r="A704" s="9">
        <v>703</v>
      </c>
      <c r="B704" s="30">
        <v>40575</v>
      </c>
      <c r="C704" s="9">
        <v>1</v>
      </c>
      <c r="D704" s="9">
        <v>0</v>
      </c>
      <c r="E704" s="9">
        <v>2</v>
      </c>
      <c r="F704" s="9">
        <v>15</v>
      </c>
      <c r="G704" s="9" t="b">
        <v>0</v>
      </c>
      <c r="H704" s="9">
        <v>2</v>
      </c>
      <c r="I704" s="9">
        <v>2</v>
      </c>
      <c r="J704" s="9">
        <v>0.24</v>
      </c>
      <c r="K704" s="9">
        <v>0.28789999999999999</v>
      </c>
      <c r="L704" s="9">
        <v>0.75</v>
      </c>
      <c r="M704" s="9">
        <v>0</v>
      </c>
      <c r="N704" s="9">
        <v>7</v>
      </c>
      <c r="O704" s="9">
        <v>45</v>
      </c>
      <c r="P704" s="9">
        <v>52</v>
      </c>
      <c r="Q704" s="13" t="s">
        <v>98</v>
      </c>
      <c r="R704" s="13" t="s">
        <v>79</v>
      </c>
      <c r="S704" s="9" t="s">
        <v>80</v>
      </c>
      <c r="T704" s="11" t="s">
        <v>88</v>
      </c>
      <c r="U704" s="13" t="s">
        <v>94</v>
      </c>
      <c r="V704" s="11" t="s">
        <v>87</v>
      </c>
      <c r="W704" s="15" t="s">
        <v>84</v>
      </c>
      <c r="X704" s="9" t="s">
        <v>85</v>
      </c>
      <c r="Y704" s="13" t="s">
        <v>99</v>
      </c>
      <c r="Z704">
        <f t="shared" si="61"/>
        <v>203</v>
      </c>
      <c r="AA704" s="39">
        <f t="shared" si="62"/>
        <v>68.844559585492235</v>
      </c>
      <c r="AB704" s="39">
        <f t="shared" si="63"/>
        <v>3368.4820298075119</v>
      </c>
      <c r="AC704">
        <f t="shared" si="66"/>
        <v>0.99986777498387103</v>
      </c>
      <c r="AD704">
        <f t="shared" si="64"/>
        <v>0.9998112997116726</v>
      </c>
      <c r="AE704">
        <f t="shared" si="65"/>
        <v>13824</v>
      </c>
    </row>
    <row r="705" spans="1:31">
      <c r="A705" s="10">
        <v>704</v>
      </c>
      <c r="B705" s="31">
        <v>40575</v>
      </c>
      <c r="C705" s="10">
        <v>1</v>
      </c>
      <c r="D705" s="10">
        <v>0</v>
      </c>
      <c r="E705" s="10">
        <v>2</v>
      </c>
      <c r="F705" s="10">
        <v>16</v>
      </c>
      <c r="G705" s="10" t="b">
        <v>0</v>
      </c>
      <c r="H705" s="10">
        <v>2</v>
      </c>
      <c r="I705" s="10">
        <v>2</v>
      </c>
      <c r="J705" s="10">
        <v>0.24</v>
      </c>
      <c r="K705" s="10">
        <v>0.2424</v>
      </c>
      <c r="L705" s="10">
        <v>0.75</v>
      </c>
      <c r="M705" s="10">
        <v>0.1343</v>
      </c>
      <c r="N705" s="10">
        <v>3</v>
      </c>
      <c r="O705" s="10">
        <v>61</v>
      </c>
      <c r="P705" s="10">
        <v>64</v>
      </c>
      <c r="Q705" s="13" t="s">
        <v>98</v>
      </c>
      <c r="R705" s="13" t="s">
        <v>79</v>
      </c>
      <c r="S705" s="10" t="s">
        <v>80</v>
      </c>
      <c r="T705" s="11" t="s">
        <v>88</v>
      </c>
      <c r="U705" s="13" t="s">
        <v>94</v>
      </c>
      <c r="V705" s="11" t="s">
        <v>87</v>
      </c>
      <c r="W705" s="15" t="s">
        <v>84</v>
      </c>
      <c r="X705" s="10" t="s">
        <v>85</v>
      </c>
      <c r="Y705" s="13" t="s">
        <v>99</v>
      </c>
      <c r="Z705">
        <f t="shared" si="61"/>
        <v>202</v>
      </c>
      <c r="AA705" s="39">
        <f t="shared" si="62"/>
        <v>68.844559585492235</v>
      </c>
      <c r="AB705" s="39">
        <f t="shared" si="63"/>
        <v>3374.1263971906078</v>
      </c>
      <c r="AC705">
        <f t="shared" si="66"/>
        <v>0.9998678166420526</v>
      </c>
      <c r="AD705">
        <f t="shared" si="64"/>
        <v>0.99981142636619336</v>
      </c>
      <c r="AE705">
        <f t="shared" si="65"/>
        <v>13772</v>
      </c>
    </row>
    <row r="706" spans="1:31">
      <c r="A706" s="9">
        <v>705</v>
      </c>
      <c r="B706" s="30">
        <v>40575</v>
      </c>
      <c r="C706" s="9">
        <v>1</v>
      </c>
      <c r="D706" s="9">
        <v>0</v>
      </c>
      <c r="E706" s="9">
        <v>2</v>
      </c>
      <c r="F706" s="9">
        <v>17</v>
      </c>
      <c r="G706" s="9" t="b">
        <v>0</v>
      </c>
      <c r="H706" s="9">
        <v>2</v>
      </c>
      <c r="I706" s="9">
        <v>2</v>
      </c>
      <c r="J706" s="9">
        <v>0.24</v>
      </c>
      <c r="K706" s="9">
        <v>0.28789999999999999</v>
      </c>
      <c r="L706" s="9">
        <v>0.75</v>
      </c>
      <c r="M706" s="9">
        <v>0</v>
      </c>
      <c r="N706" s="9">
        <v>4</v>
      </c>
      <c r="O706" s="9">
        <v>172</v>
      </c>
      <c r="P706" s="9">
        <v>176</v>
      </c>
      <c r="Q706" s="13" t="s">
        <v>98</v>
      </c>
      <c r="R706" s="13" t="s">
        <v>79</v>
      </c>
      <c r="S706" s="9" t="s">
        <v>80</v>
      </c>
      <c r="T706" s="11" t="s">
        <v>88</v>
      </c>
      <c r="U706" s="15" t="s">
        <v>95</v>
      </c>
      <c r="V706" s="13" t="s">
        <v>93</v>
      </c>
      <c r="W706" s="15" t="s">
        <v>84</v>
      </c>
      <c r="X706" s="9" t="s">
        <v>85</v>
      </c>
      <c r="Y706" s="13" t="s">
        <v>99</v>
      </c>
      <c r="Z706">
        <f t="shared" ref="Z706:Z769" si="67">COUNTIF(Q706:Q1705,"Weekday")</f>
        <v>201</v>
      </c>
      <c r="AA706" s="39">
        <f t="shared" ref="AA706:AA769" si="68">AVERAGEIF(T706:T1705,"Clear",P706:P1705)</f>
        <v>68.844559585492235</v>
      </c>
      <c r="AB706" s="39">
        <f t="shared" ref="AB706:AB769" si="69">STDEV(P706:P1705)</f>
        <v>3379.8016763775313</v>
      </c>
      <c r="AC706">
        <f t="shared" si="66"/>
        <v>0.99986781905833033</v>
      </c>
      <c r="AD706">
        <f t="shared" ref="AD706:AD769" si="70">CORREL(L706:L1705,P706:P1705)</f>
        <v>0.99981147012405902</v>
      </c>
      <c r="AE706">
        <f t="shared" ref="AE706:AE769" si="71">SUMIF(Q706:Q1705,"Weekday",P706:P1705)</f>
        <v>13708</v>
      </c>
    </row>
    <row r="707" spans="1:31">
      <c r="A707" s="10">
        <v>706</v>
      </c>
      <c r="B707" s="31">
        <v>40575</v>
      </c>
      <c r="C707" s="10">
        <v>1</v>
      </c>
      <c r="D707" s="10">
        <v>0</v>
      </c>
      <c r="E707" s="10">
        <v>2</v>
      </c>
      <c r="F707" s="10">
        <v>18</v>
      </c>
      <c r="G707" s="10" t="b">
        <v>0</v>
      </c>
      <c r="H707" s="10">
        <v>2</v>
      </c>
      <c r="I707" s="10">
        <v>2</v>
      </c>
      <c r="J707" s="10">
        <v>0.24</v>
      </c>
      <c r="K707" s="10">
        <v>0.2576</v>
      </c>
      <c r="L707" s="10">
        <v>0.81</v>
      </c>
      <c r="M707" s="10">
        <v>0.1045</v>
      </c>
      <c r="N707" s="10">
        <v>3</v>
      </c>
      <c r="O707" s="10">
        <v>165</v>
      </c>
      <c r="P707" s="10">
        <v>168</v>
      </c>
      <c r="Q707" s="13" t="s">
        <v>98</v>
      </c>
      <c r="R707" s="13" t="s">
        <v>79</v>
      </c>
      <c r="S707" s="10" t="s">
        <v>80</v>
      </c>
      <c r="T707" s="11" t="s">
        <v>88</v>
      </c>
      <c r="U707" s="15" t="s">
        <v>95</v>
      </c>
      <c r="V707" s="13" t="s">
        <v>93</v>
      </c>
      <c r="W707" s="15" t="s">
        <v>84</v>
      </c>
      <c r="X707" s="10" t="s">
        <v>85</v>
      </c>
      <c r="Y707" s="13" t="s">
        <v>99</v>
      </c>
      <c r="Z707">
        <f t="shared" si="67"/>
        <v>200</v>
      </c>
      <c r="AA707" s="39">
        <f t="shared" si="68"/>
        <v>68.844559585492235</v>
      </c>
      <c r="AB707" s="39">
        <f t="shared" si="69"/>
        <v>3385.5216249504788</v>
      </c>
      <c r="AC707">
        <f t="shared" si="66"/>
        <v>0.99986951240367539</v>
      </c>
      <c r="AD707">
        <f t="shared" si="70"/>
        <v>0.99981279075337559</v>
      </c>
      <c r="AE707">
        <f t="shared" si="71"/>
        <v>13532</v>
      </c>
    </row>
    <row r="708" spans="1:31">
      <c r="A708" s="9">
        <v>707</v>
      </c>
      <c r="B708" s="30">
        <v>40575</v>
      </c>
      <c r="C708" s="9">
        <v>1</v>
      </c>
      <c r="D708" s="9">
        <v>0</v>
      </c>
      <c r="E708" s="9">
        <v>2</v>
      </c>
      <c r="F708" s="9">
        <v>19</v>
      </c>
      <c r="G708" s="9" t="b">
        <v>0</v>
      </c>
      <c r="H708" s="9">
        <v>2</v>
      </c>
      <c r="I708" s="9">
        <v>2</v>
      </c>
      <c r="J708" s="9">
        <v>0.24</v>
      </c>
      <c r="K708" s="9">
        <v>0.2424</v>
      </c>
      <c r="L708" s="9">
        <v>0.81</v>
      </c>
      <c r="M708" s="9">
        <v>0.1343</v>
      </c>
      <c r="N708" s="9">
        <v>3</v>
      </c>
      <c r="O708" s="9">
        <v>105</v>
      </c>
      <c r="P708" s="9">
        <v>108</v>
      </c>
      <c r="Q708" s="13" t="s">
        <v>98</v>
      </c>
      <c r="R708" s="13" t="s">
        <v>79</v>
      </c>
      <c r="S708" s="9" t="s">
        <v>80</v>
      </c>
      <c r="T708" s="11" t="s">
        <v>88</v>
      </c>
      <c r="U708" s="15" t="s">
        <v>95</v>
      </c>
      <c r="V708" s="13" t="s">
        <v>93</v>
      </c>
      <c r="W708" s="15" t="s">
        <v>84</v>
      </c>
      <c r="X708" s="9" t="s">
        <v>85</v>
      </c>
      <c r="Y708" s="13" t="s">
        <v>99</v>
      </c>
      <c r="Z708">
        <f t="shared" si="67"/>
        <v>199</v>
      </c>
      <c r="AA708" s="39">
        <f t="shared" si="68"/>
        <v>68.844559585492235</v>
      </c>
      <c r="AB708" s="39">
        <f t="shared" si="69"/>
        <v>3391.2699895642668</v>
      </c>
      <c r="AC708">
        <f t="shared" si="66"/>
        <v>0.99987097219752485</v>
      </c>
      <c r="AD708">
        <f t="shared" si="70"/>
        <v>0.9998137558798591</v>
      </c>
      <c r="AE708">
        <f t="shared" si="71"/>
        <v>13364</v>
      </c>
    </row>
    <row r="709" spans="1:31">
      <c r="A709" s="10">
        <v>708</v>
      </c>
      <c r="B709" s="31">
        <v>40575</v>
      </c>
      <c r="C709" s="10">
        <v>1</v>
      </c>
      <c r="D709" s="10">
        <v>0</v>
      </c>
      <c r="E709" s="10">
        <v>2</v>
      </c>
      <c r="F709" s="10">
        <v>20</v>
      </c>
      <c r="G709" s="10" t="b">
        <v>0</v>
      </c>
      <c r="H709" s="10">
        <v>2</v>
      </c>
      <c r="I709" s="10">
        <v>2</v>
      </c>
      <c r="J709" s="10">
        <v>0.22</v>
      </c>
      <c r="K709" s="10">
        <v>0.2273</v>
      </c>
      <c r="L709" s="10">
        <v>0.87</v>
      </c>
      <c r="M709" s="10">
        <v>0.1343</v>
      </c>
      <c r="N709" s="10">
        <v>5</v>
      </c>
      <c r="O709" s="10">
        <v>69</v>
      </c>
      <c r="P709" s="10">
        <v>74</v>
      </c>
      <c r="Q709" s="13" t="s">
        <v>98</v>
      </c>
      <c r="R709" s="13" t="s">
        <v>79</v>
      </c>
      <c r="S709" s="10" t="s">
        <v>80</v>
      </c>
      <c r="T709" s="11" t="s">
        <v>88</v>
      </c>
      <c r="U709" s="16" t="s">
        <v>97</v>
      </c>
      <c r="V709" s="13" t="s">
        <v>93</v>
      </c>
      <c r="W709" s="15" t="s">
        <v>84</v>
      </c>
      <c r="X709" s="10" t="s">
        <v>85</v>
      </c>
      <c r="Y709" s="13" t="s">
        <v>99</v>
      </c>
      <c r="Z709">
        <f t="shared" si="67"/>
        <v>198</v>
      </c>
      <c r="AA709" s="39">
        <f t="shared" si="68"/>
        <v>68.844559585492235</v>
      </c>
      <c r="AB709" s="39">
        <f t="shared" si="69"/>
        <v>3397.0402208936403</v>
      </c>
      <c r="AC709">
        <f t="shared" si="66"/>
        <v>0.9998712031881799</v>
      </c>
      <c r="AD709">
        <f t="shared" si="70"/>
        <v>0.99981381962431559</v>
      </c>
      <c r="AE709">
        <f t="shared" si="71"/>
        <v>13256</v>
      </c>
    </row>
    <row r="710" spans="1:31">
      <c r="A710" s="9">
        <v>709</v>
      </c>
      <c r="B710" s="30">
        <v>40575</v>
      </c>
      <c r="C710" s="9">
        <v>1</v>
      </c>
      <c r="D710" s="9">
        <v>0</v>
      </c>
      <c r="E710" s="9">
        <v>2</v>
      </c>
      <c r="F710" s="9">
        <v>21</v>
      </c>
      <c r="G710" s="9" t="b">
        <v>0</v>
      </c>
      <c r="H710" s="9">
        <v>2</v>
      </c>
      <c r="I710" s="9">
        <v>2</v>
      </c>
      <c r="J710" s="9">
        <v>0.22</v>
      </c>
      <c r="K710" s="9">
        <v>0.2273</v>
      </c>
      <c r="L710" s="9">
        <v>0.87</v>
      </c>
      <c r="M710" s="9">
        <v>0.1343</v>
      </c>
      <c r="N710" s="9">
        <v>0</v>
      </c>
      <c r="O710" s="9">
        <v>64</v>
      </c>
      <c r="P710" s="9">
        <v>64</v>
      </c>
      <c r="Q710" s="13" t="s">
        <v>98</v>
      </c>
      <c r="R710" s="13" t="s">
        <v>79</v>
      </c>
      <c r="S710" s="9" t="s">
        <v>80</v>
      </c>
      <c r="T710" s="11" t="s">
        <v>88</v>
      </c>
      <c r="U710" s="16" t="s">
        <v>97</v>
      </c>
      <c r="V710" s="11" t="s">
        <v>87</v>
      </c>
      <c r="W710" s="15" t="s">
        <v>84</v>
      </c>
      <c r="X710" s="9" t="s">
        <v>85</v>
      </c>
      <c r="Y710" s="13" t="s">
        <v>99</v>
      </c>
      <c r="Z710">
        <f t="shared" si="67"/>
        <v>197</v>
      </c>
      <c r="AA710" s="39">
        <f t="shared" si="68"/>
        <v>68.844559585492235</v>
      </c>
      <c r="AB710" s="39">
        <f t="shared" si="69"/>
        <v>3402.8341099308964</v>
      </c>
      <c r="AC710">
        <f t="shared" si="66"/>
        <v>0.99987122087247338</v>
      </c>
      <c r="AD710">
        <f t="shared" si="70"/>
        <v>0.99981387120904575</v>
      </c>
      <c r="AE710">
        <f t="shared" si="71"/>
        <v>13182</v>
      </c>
    </row>
    <row r="711" spans="1:31">
      <c r="A711" s="10">
        <v>710</v>
      </c>
      <c r="B711" s="31">
        <v>40575</v>
      </c>
      <c r="C711" s="10">
        <v>1</v>
      </c>
      <c r="D711" s="10">
        <v>0</v>
      </c>
      <c r="E711" s="10">
        <v>2</v>
      </c>
      <c r="F711" s="10">
        <v>22</v>
      </c>
      <c r="G711" s="10" t="b">
        <v>0</v>
      </c>
      <c r="H711" s="10">
        <v>2</v>
      </c>
      <c r="I711" s="10">
        <v>2</v>
      </c>
      <c r="J711" s="10">
        <v>0.22</v>
      </c>
      <c r="K711" s="10">
        <v>0.2576</v>
      </c>
      <c r="L711" s="10">
        <v>0.87</v>
      </c>
      <c r="M711" s="10">
        <v>8.9599999999999999E-2</v>
      </c>
      <c r="N711" s="10">
        <v>2</v>
      </c>
      <c r="O711" s="10">
        <v>34</v>
      </c>
      <c r="P711" s="10">
        <v>36</v>
      </c>
      <c r="Q711" s="13" t="s">
        <v>98</v>
      </c>
      <c r="R711" s="13" t="s">
        <v>79</v>
      </c>
      <c r="S711" s="10" t="s">
        <v>80</v>
      </c>
      <c r="T711" s="11" t="s">
        <v>88</v>
      </c>
      <c r="U711" s="16" t="s">
        <v>97</v>
      </c>
      <c r="V711" s="11" t="s">
        <v>87</v>
      </c>
      <c r="W711" s="15" t="s">
        <v>84</v>
      </c>
      <c r="X711" s="10" t="s">
        <v>85</v>
      </c>
      <c r="Y711" s="13" t="s">
        <v>99</v>
      </c>
      <c r="Z711">
        <f t="shared" si="67"/>
        <v>196</v>
      </c>
      <c r="AA711" s="39">
        <f t="shared" si="68"/>
        <v>68.844559585492235</v>
      </c>
      <c r="AB711" s="39">
        <f t="shared" si="69"/>
        <v>3408.6557796314619</v>
      </c>
      <c r="AC711">
        <f t="shared" si="66"/>
        <v>0.9998712196303996</v>
      </c>
      <c r="AD711">
        <f t="shared" si="70"/>
        <v>0.99981399435455265</v>
      </c>
      <c r="AE711">
        <f t="shared" si="71"/>
        <v>13118</v>
      </c>
    </row>
    <row r="712" spans="1:31">
      <c r="A712" s="9">
        <v>711</v>
      </c>
      <c r="B712" s="30">
        <v>40575</v>
      </c>
      <c r="C712" s="9">
        <v>1</v>
      </c>
      <c r="D712" s="9">
        <v>0</v>
      </c>
      <c r="E712" s="9">
        <v>2</v>
      </c>
      <c r="F712" s="9">
        <v>23</v>
      </c>
      <c r="G712" s="9" t="b">
        <v>0</v>
      </c>
      <c r="H712" s="9">
        <v>2</v>
      </c>
      <c r="I712" s="9">
        <v>3</v>
      </c>
      <c r="J712" s="9">
        <v>0.2</v>
      </c>
      <c r="K712" s="9">
        <v>0.19700000000000001</v>
      </c>
      <c r="L712" s="9">
        <v>0.93</v>
      </c>
      <c r="M712" s="9">
        <v>0.19400000000000001</v>
      </c>
      <c r="N712" s="9">
        <v>1</v>
      </c>
      <c r="O712" s="9">
        <v>15</v>
      </c>
      <c r="P712" s="9">
        <v>16</v>
      </c>
      <c r="Q712" s="13" t="s">
        <v>98</v>
      </c>
      <c r="R712" s="13" t="s">
        <v>79</v>
      </c>
      <c r="S712" s="9" t="s">
        <v>80</v>
      </c>
      <c r="T712" s="12" t="s">
        <v>96</v>
      </c>
      <c r="U712" s="16" t="s">
        <v>97</v>
      </c>
      <c r="V712" s="12" t="s">
        <v>83</v>
      </c>
      <c r="W712" s="15" t="s">
        <v>84</v>
      </c>
      <c r="X712" s="9" t="s">
        <v>85</v>
      </c>
      <c r="Y712" s="13" t="s">
        <v>99</v>
      </c>
      <c r="Z712">
        <f t="shared" si="67"/>
        <v>195</v>
      </c>
      <c r="AA712" s="39">
        <f t="shared" si="68"/>
        <v>68.844559585492235</v>
      </c>
      <c r="AB712" s="39">
        <f t="shared" si="69"/>
        <v>3414.5013572952994</v>
      </c>
      <c r="AC712">
        <f t="shared" si="66"/>
        <v>0.99987132287189828</v>
      </c>
      <c r="AD712">
        <f t="shared" si="70"/>
        <v>0.99981447641980803</v>
      </c>
      <c r="AE712">
        <f t="shared" si="71"/>
        <v>13082</v>
      </c>
    </row>
    <row r="713" spans="1:31">
      <c r="A713" s="10">
        <v>712</v>
      </c>
      <c r="B713" s="31">
        <v>40576</v>
      </c>
      <c r="C713" s="10">
        <v>1</v>
      </c>
      <c r="D713" s="10">
        <v>0</v>
      </c>
      <c r="E713" s="10">
        <v>2</v>
      </c>
      <c r="F713" s="10">
        <v>0</v>
      </c>
      <c r="G713" s="10" t="b">
        <v>0</v>
      </c>
      <c r="H713" s="10">
        <v>3</v>
      </c>
      <c r="I713" s="10">
        <v>3</v>
      </c>
      <c r="J713" s="10">
        <v>0.22</v>
      </c>
      <c r="K713" s="10">
        <v>0.2424</v>
      </c>
      <c r="L713" s="10">
        <v>0.93</v>
      </c>
      <c r="M713" s="10">
        <v>0.1045</v>
      </c>
      <c r="N713" s="10">
        <v>0</v>
      </c>
      <c r="O713" s="10">
        <v>2</v>
      </c>
      <c r="P713" s="10">
        <v>2</v>
      </c>
      <c r="Q713" s="13" t="s">
        <v>98</v>
      </c>
      <c r="R713" s="13" t="s">
        <v>79</v>
      </c>
      <c r="S713" s="10" t="s">
        <v>80</v>
      </c>
      <c r="T713" s="12" t="s">
        <v>96</v>
      </c>
      <c r="U713" s="14" t="s">
        <v>82</v>
      </c>
      <c r="V713" s="12" t="s">
        <v>83</v>
      </c>
      <c r="W713" s="15" t="s">
        <v>84</v>
      </c>
      <c r="X713" s="10" t="s">
        <v>85</v>
      </c>
      <c r="Y713" s="13" t="s">
        <v>99</v>
      </c>
      <c r="Z713">
        <f t="shared" si="67"/>
        <v>194</v>
      </c>
      <c r="AA713" s="39">
        <f t="shared" si="68"/>
        <v>68.844559585492235</v>
      </c>
      <c r="AB713" s="39">
        <f t="shared" si="69"/>
        <v>3420.3722628575788</v>
      </c>
      <c r="AC713">
        <f t="shared" si="66"/>
        <v>0.99987157068163579</v>
      </c>
      <c r="AD713">
        <f t="shared" si="70"/>
        <v>0.99981550444680434</v>
      </c>
      <c r="AE713">
        <f t="shared" si="71"/>
        <v>13066</v>
      </c>
    </row>
    <row r="714" spans="1:31">
      <c r="A714" s="9">
        <v>713</v>
      </c>
      <c r="B714" s="30">
        <v>40576</v>
      </c>
      <c r="C714" s="9">
        <v>1</v>
      </c>
      <c r="D714" s="9">
        <v>0</v>
      </c>
      <c r="E714" s="9">
        <v>2</v>
      </c>
      <c r="F714" s="9">
        <v>1</v>
      </c>
      <c r="G714" s="9" t="b">
        <v>0</v>
      </c>
      <c r="H714" s="9">
        <v>3</v>
      </c>
      <c r="I714" s="9">
        <v>3</v>
      </c>
      <c r="J714" s="9">
        <v>0.22</v>
      </c>
      <c r="K714" s="9">
        <v>0.2273</v>
      </c>
      <c r="L714" s="9">
        <v>0.93</v>
      </c>
      <c r="M714" s="9">
        <v>0.19400000000000001</v>
      </c>
      <c r="N714" s="9">
        <v>0</v>
      </c>
      <c r="O714" s="9">
        <v>3</v>
      </c>
      <c r="P714" s="9">
        <v>3</v>
      </c>
      <c r="Q714" s="13" t="s">
        <v>98</v>
      </c>
      <c r="R714" s="13" t="s">
        <v>79</v>
      </c>
      <c r="S714" s="9" t="s">
        <v>80</v>
      </c>
      <c r="T714" s="12" t="s">
        <v>96</v>
      </c>
      <c r="U714" s="14" t="s">
        <v>82</v>
      </c>
      <c r="V714" s="12" t="s">
        <v>83</v>
      </c>
      <c r="W714" s="15" t="s">
        <v>84</v>
      </c>
      <c r="X714" s="9" t="s">
        <v>85</v>
      </c>
      <c r="Y714" s="13" t="s">
        <v>99</v>
      </c>
      <c r="Z714">
        <f t="shared" si="67"/>
        <v>193</v>
      </c>
      <c r="AA714" s="39">
        <f t="shared" si="68"/>
        <v>68.844559585492235</v>
      </c>
      <c r="AB714" s="39">
        <f t="shared" si="69"/>
        <v>3426.2699009926655</v>
      </c>
      <c r="AC714">
        <f t="shared" si="66"/>
        <v>0.99987211780386975</v>
      </c>
      <c r="AD714">
        <f t="shared" si="70"/>
        <v>0.99981691599386002</v>
      </c>
      <c r="AE714">
        <f t="shared" si="71"/>
        <v>13064</v>
      </c>
    </row>
    <row r="715" spans="1:31">
      <c r="A715" s="10">
        <v>714</v>
      </c>
      <c r="B715" s="31">
        <v>40576</v>
      </c>
      <c r="C715" s="10">
        <v>1</v>
      </c>
      <c r="D715" s="10">
        <v>0</v>
      </c>
      <c r="E715" s="10">
        <v>2</v>
      </c>
      <c r="F715" s="10">
        <v>2</v>
      </c>
      <c r="G715" s="10" t="b">
        <v>0</v>
      </c>
      <c r="H715" s="10">
        <v>3</v>
      </c>
      <c r="I715" s="10">
        <v>3</v>
      </c>
      <c r="J715" s="10">
        <v>0.22</v>
      </c>
      <c r="K715" s="10">
        <v>0.2273</v>
      </c>
      <c r="L715" s="10">
        <v>0.93</v>
      </c>
      <c r="M715" s="10">
        <v>0.1343</v>
      </c>
      <c r="N715" s="10">
        <v>4</v>
      </c>
      <c r="O715" s="10">
        <v>0</v>
      </c>
      <c r="P715" s="10">
        <v>4</v>
      </c>
      <c r="Q715" s="13" t="s">
        <v>98</v>
      </c>
      <c r="R715" s="13" t="s">
        <v>79</v>
      </c>
      <c r="S715" s="10" t="s">
        <v>80</v>
      </c>
      <c r="T715" s="12" t="s">
        <v>96</v>
      </c>
      <c r="U715" s="14" t="s">
        <v>82</v>
      </c>
      <c r="V715" s="12" t="s">
        <v>83</v>
      </c>
      <c r="W715" s="15" t="s">
        <v>84</v>
      </c>
      <c r="X715" s="10" t="s">
        <v>85</v>
      </c>
      <c r="Y715" s="13" t="s">
        <v>99</v>
      </c>
      <c r="Z715">
        <f t="shared" si="67"/>
        <v>192</v>
      </c>
      <c r="AA715" s="39">
        <f t="shared" si="68"/>
        <v>68.844559585492235</v>
      </c>
      <c r="AB715" s="39">
        <f t="shared" si="69"/>
        <v>3432.1984204921382</v>
      </c>
      <c r="AC715">
        <f t="shared" si="66"/>
        <v>0.99987265080042076</v>
      </c>
      <c r="AD715">
        <f t="shared" si="70"/>
        <v>0.99981830851087117</v>
      </c>
      <c r="AE715">
        <f t="shared" si="71"/>
        <v>13061</v>
      </c>
    </row>
    <row r="716" spans="1:31">
      <c r="A716" s="9">
        <v>715</v>
      </c>
      <c r="B716" s="30">
        <v>40576</v>
      </c>
      <c r="C716" s="9">
        <v>1</v>
      </c>
      <c r="D716" s="9">
        <v>0</v>
      </c>
      <c r="E716" s="9">
        <v>2</v>
      </c>
      <c r="F716" s="9">
        <v>3</v>
      </c>
      <c r="G716" s="9" t="b">
        <v>0</v>
      </c>
      <c r="H716" s="9">
        <v>3</v>
      </c>
      <c r="I716" s="9">
        <v>3</v>
      </c>
      <c r="J716" s="9">
        <v>0.22</v>
      </c>
      <c r="K716" s="9">
        <v>0.2273</v>
      </c>
      <c r="L716" s="9">
        <v>0.93</v>
      </c>
      <c r="M716" s="9">
        <v>0.1343</v>
      </c>
      <c r="N716" s="9">
        <v>0</v>
      </c>
      <c r="O716" s="9">
        <v>1</v>
      </c>
      <c r="P716" s="9">
        <v>1</v>
      </c>
      <c r="Q716" s="13" t="s">
        <v>98</v>
      </c>
      <c r="R716" s="13" t="s">
        <v>79</v>
      </c>
      <c r="S716" s="9" t="s">
        <v>80</v>
      </c>
      <c r="T716" s="12" t="s">
        <v>96</v>
      </c>
      <c r="U716" s="14" t="s">
        <v>82</v>
      </c>
      <c r="V716" s="12" t="s">
        <v>83</v>
      </c>
      <c r="W716" s="15" t="s">
        <v>84</v>
      </c>
      <c r="X716" s="9" t="s">
        <v>85</v>
      </c>
      <c r="Y716" s="13" t="s">
        <v>99</v>
      </c>
      <c r="Z716">
        <f t="shared" si="67"/>
        <v>191</v>
      </c>
      <c r="AA716" s="39">
        <f t="shared" si="68"/>
        <v>68.844559585492235</v>
      </c>
      <c r="AB716" s="39">
        <f t="shared" si="69"/>
        <v>3438.1580903109184</v>
      </c>
      <c r="AC716">
        <f t="shared" si="66"/>
        <v>0.9998731698193003</v>
      </c>
      <c r="AD716">
        <f t="shared" si="70"/>
        <v>0.99981968209397964</v>
      </c>
      <c r="AE716">
        <f t="shared" si="71"/>
        <v>13057</v>
      </c>
    </row>
    <row r="717" spans="1:31">
      <c r="A717" s="10">
        <v>716</v>
      </c>
      <c r="B717" s="31">
        <v>40576</v>
      </c>
      <c r="C717" s="10">
        <v>1</v>
      </c>
      <c r="D717" s="10">
        <v>0</v>
      </c>
      <c r="E717" s="10">
        <v>2</v>
      </c>
      <c r="F717" s="10">
        <v>4</v>
      </c>
      <c r="G717" s="10" t="b">
        <v>0</v>
      </c>
      <c r="H717" s="10">
        <v>3</v>
      </c>
      <c r="I717" s="10">
        <v>3</v>
      </c>
      <c r="J717" s="10">
        <v>0.22</v>
      </c>
      <c r="K717" s="10">
        <v>0.21210000000000001</v>
      </c>
      <c r="L717" s="10">
        <v>0.93</v>
      </c>
      <c r="M717" s="10">
        <v>0.28360000000000002</v>
      </c>
      <c r="N717" s="10">
        <v>0</v>
      </c>
      <c r="O717" s="10">
        <v>1</v>
      </c>
      <c r="P717" s="10">
        <v>1</v>
      </c>
      <c r="Q717" s="13" t="s">
        <v>98</v>
      </c>
      <c r="R717" s="13" t="s">
        <v>79</v>
      </c>
      <c r="S717" s="10" t="s">
        <v>80</v>
      </c>
      <c r="T717" s="12" t="s">
        <v>96</v>
      </c>
      <c r="U717" s="14" t="s">
        <v>82</v>
      </c>
      <c r="V717" s="12" t="s">
        <v>83</v>
      </c>
      <c r="W717" s="15" t="s">
        <v>84</v>
      </c>
      <c r="X717" s="10" t="s">
        <v>85</v>
      </c>
      <c r="Y717" s="13" t="s">
        <v>99</v>
      </c>
      <c r="Z717">
        <f t="shared" si="67"/>
        <v>190</v>
      </c>
      <c r="AA717" s="39">
        <f t="shared" si="68"/>
        <v>68.844559585492235</v>
      </c>
      <c r="AB717" s="39">
        <f t="shared" si="69"/>
        <v>3444.1480971269157</v>
      </c>
      <c r="AC717">
        <f t="shared" si="66"/>
        <v>0.99987374676044016</v>
      </c>
      <c r="AD717">
        <f t="shared" si="70"/>
        <v>0.9998211527057469</v>
      </c>
      <c r="AE717">
        <f t="shared" si="71"/>
        <v>13056</v>
      </c>
    </row>
    <row r="718" spans="1:31">
      <c r="A718" s="9">
        <v>717</v>
      </c>
      <c r="B718" s="30">
        <v>40576</v>
      </c>
      <c r="C718" s="9">
        <v>1</v>
      </c>
      <c r="D718" s="9">
        <v>0</v>
      </c>
      <c r="E718" s="9">
        <v>2</v>
      </c>
      <c r="F718" s="9">
        <v>5</v>
      </c>
      <c r="G718" s="9" t="b">
        <v>0</v>
      </c>
      <c r="H718" s="9">
        <v>3</v>
      </c>
      <c r="I718" s="9">
        <v>3</v>
      </c>
      <c r="J718" s="9">
        <v>0.22</v>
      </c>
      <c r="K718" s="9">
        <v>0.2424</v>
      </c>
      <c r="L718" s="9">
        <v>0.93</v>
      </c>
      <c r="M718" s="9">
        <v>0.1045</v>
      </c>
      <c r="N718" s="9">
        <v>0</v>
      </c>
      <c r="O718" s="9">
        <v>3</v>
      </c>
      <c r="P718" s="9">
        <v>3</v>
      </c>
      <c r="Q718" s="13" t="s">
        <v>98</v>
      </c>
      <c r="R718" s="13" t="s">
        <v>79</v>
      </c>
      <c r="S718" s="9" t="s">
        <v>80</v>
      </c>
      <c r="T718" s="12" t="s">
        <v>96</v>
      </c>
      <c r="U718" s="15" t="s">
        <v>89</v>
      </c>
      <c r="V718" s="12" t="s">
        <v>83</v>
      </c>
      <c r="W718" s="15" t="s">
        <v>84</v>
      </c>
      <c r="X718" s="9" t="s">
        <v>85</v>
      </c>
      <c r="Y718" s="13" t="s">
        <v>99</v>
      </c>
      <c r="Z718">
        <f t="shared" si="67"/>
        <v>189</v>
      </c>
      <c r="AA718" s="39">
        <f t="shared" si="68"/>
        <v>68.844559585492235</v>
      </c>
      <c r="AB718" s="39">
        <f t="shared" si="69"/>
        <v>3450.1695203819154</v>
      </c>
      <c r="AC718">
        <f t="shared" si="66"/>
        <v>0.99987432778932939</v>
      </c>
      <c r="AD718">
        <f t="shared" si="70"/>
        <v>0.99982263372344393</v>
      </c>
      <c r="AE718">
        <f t="shared" si="71"/>
        <v>13055</v>
      </c>
    </row>
    <row r="719" spans="1:31">
      <c r="A719" s="10">
        <v>718</v>
      </c>
      <c r="B719" s="31">
        <v>40576</v>
      </c>
      <c r="C719" s="10">
        <v>1</v>
      </c>
      <c r="D719" s="10">
        <v>0</v>
      </c>
      <c r="E719" s="10">
        <v>2</v>
      </c>
      <c r="F719" s="10">
        <v>6</v>
      </c>
      <c r="G719" s="10" t="b">
        <v>0</v>
      </c>
      <c r="H719" s="10">
        <v>3</v>
      </c>
      <c r="I719" s="10">
        <v>3</v>
      </c>
      <c r="J719" s="10">
        <v>0.22</v>
      </c>
      <c r="K719" s="10">
        <v>0.2424</v>
      </c>
      <c r="L719" s="10">
        <v>0.93</v>
      </c>
      <c r="M719" s="10">
        <v>0.1045</v>
      </c>
      <c r="N719" s="10">
        <v>1</v>
      </c>
      <c r="O719" s="10">
        <v>17</v>
      </c>
      <c r="P719" s="10">
        <v>18</v>
      </c>
      <c r="Q719" s="13" t="s">
        <v>98</v>
      </c>
      <c r="R719" s="13" t="s">
        <v>79</v>
      </c>
      <c r="S719" s="10" t="s">
        <v>80</v>
      </c>
      <c r="T719" s="12" t="s">
        <v>96</v>
      </c>
      <c r="U719" s="15" t="s">
        <v>89</v>
      </c>
      <c r="V719" s="12" t="s">
        <v>83</v>
      </c>
      <c r="W719" s="15" t="s">
        <v>84</v>
      </c>
      <c r="X719" s="10" t="s">
        <v>85</v>
      </c>
      <c r="Y719" s="13" t="s">
        <v>99</v>
      </c>
      <c r="Z719">
        <f t="shared" si="67"/>
        <v>188</v>
      </c>
      <c r="AA719" s="39">
        <f t="shared" si="68"/>
        <v>68.844559585492235</v>
      </c>
      <c r="AB719" s="39">
        <f t="shared" si="69"/>
        <v>3456.2231862858766</v>
      </c>
      <c r="AC719">
        <f t="shared" si="66"/>
        <v>0.99987487621669791</v>
      </c>
      <c r="AD719">
        <f t="shared" si="70"/>
        <v>0.99982406631065823</v>
      </c>
      <c r="AE719">
        <f t="shared" si="71"/>
        <v>13052</v>
      </c>
    </row>
    <row r="720" spans="1:31">
      <c r="A720" s="9">
        <v>719</v>
      </c>
      <c r="B720" s="30">
        <v>40576</v>
      </c>
      <c r="C720" s="9">
        <v>1</v>
      </c>
      <c r="D720" s="9">
        <v>0</v>
      </c>
      <c r="E720" s="9">
        <v>2</v>
      </c>
      <c r="F720" s="9">
        <v>7</v>
      </c>
      <c r="G720" s="9" t="b">
        <v>0</v>
      </c>
      <c r="H720" s="9">
        <v>3</v>
      </c>
      <c r="I720" s="9">
        <v>3</v>
      </c>
      <c r="J720" s="9">
        <v>0.22</v>
      </c>
      <c r="K720" s="9">
        <v>0.21210000000000001</v>
      </c>
      <c r="L720" s="9">
        <v>0.93</v>
      </c>
      <c r="M720" s="9">
        <v>0.22389999999999999</v>
      </c>
      <c r="N720" s="9">
        <v>1</v>
      </c>
      <c r="O720" s="9">
        <v>48</v>
      </c>
      <c r="P720" s="9">
        <v>49</v>
      </c>
      <c r="Q720" s="13" t="s">
        <v>98</v>
      </c>
      <c r="R720" s="13" t="s">
        <v>79</v>
      </c>
      <c r="S720" s="9" t="s">
        <v>80</v>
      </c>
      <c r="T720" s="12" t="s">
        <v>96</v>
      </c>
      <c r="U720" s="15" t="s">
        <v>89</v>
      </c>
      <c r="V720" s="11" t="s">
        <v>87</v>
      </c>
      <c r="W720" s="15" t="s">
        <v>84</v>
      </c>
      <c r="X720" s="9" t="s">
        <v>85</v>
      </c>
      <c r="Y720" s="13" t="s">
        <v>99</v>
      </c>
      <c r="Z720">
        <f t="shared" si="67"/>
        <v>187</v>
      </c>
      <c r="AA720" s="39">
        <f t="shared" si="68"/>
        <v>68.844559585492235</v>
      </c>
      <c r="AB720" s="39">
        <f t="shared" si="69"/>
        <v>3462.3128496464478</v>
      </c>
      <c r="AC720">
        <f t="shared" ref="AC720:AC783" si="72">CORREL(J720:J1719,P720:P1719)</f>
        <v>0.99987518993830726</v>
      </c>
      <c r="AD720">
        <f t="shared" si="70"/>
        <v>0.99982510328350294</v>
      </c>
      <c r="AE720">
        <f t="shared" si="71"/>
        <v>13034</v>
      </c>
    </row>
    <row r="721" spans="1:31">
      <c r="A721" s="10">
        <v>720</v>
      </c>
      <c r="B721" s="31">
        <v>40576</v>
      </c>
      <c r="C721" s="10">
        <v>1</v>
      </c>
      <c r="D721" s="10">
        <v>0</v>
      </c>
      <c r="E721" s="10">
        <v>2</v>
      </c>
      <c r="F721" s="10">
        <v>8</v>
      </c>
      <c r="G721" s="10" t="b">
        <v>0</v>
      </c>
      <c r="H721" s="10">
        <v>3</v>
      </c>
      <c r="I721" s="10">
        <v>3</v>
      </c>
      <c r="J721" s="10">
        <v>0.22</v>
      </c>
      <c r="K721" s="10">
        <v>0.21210000000000001</v>
      </c>
      <c r="L721" s="10">
        <v>0.93</v>
      </c>
      <c r="M721" s="10">
        <v>0.22389999999999999</v>
      </c>
      <c r="N721" s="10">
        <v>1</v>
      </c>
      <c r="O721" s="10">
        <v>154</v>
      </c>
      <c r="P721" s="10">
        <v>155</v>
      </c>
      <c r="Q721" s="13" t="s">
        <v>98</v>
      </c>
      <c r="R721" s="13" t="s">
        <v>79</v>
      </c>
      <c r="S721" s="10" t="s">
        <v>80</v>
      </c>
      <c r="T721" s="12" t="s">
        <v>96</v>
      </c>
      <c r="U721" s="15" t="s">
        <v>89</v>
      </c>
      <c r="V721" s="13" t="s">
        <v>93</v>
      </c>
      <c r="W721" s="15" t="s">
        <v>84</v>
      </c>
      <c r="X721" s="10" t="s">
        <v>85</v>
      </c>
      <c r="Y721" s="13" t="s">
        <v>99</v>
      </c>
      <c r="Z721">
        <f t="shared" si="67"/>
        <v>186</v>
      </c>
      <c r="AA721" s="39">
        <f t="shared" si="68"/>
        <v>68.844559585492235</v>
      </c>
      <c r="AB721" s="39">
        <f t="shared" si="69"/>
        <v>3468.4424339091765</v>
      </c>
      <c r="AC721">
        <f t="shared" si="72"/>
        <v>0.99987522288392727</v>
      </c>
      <c r="AD721">
        <f t="shared" si="70"/>
        <v>0.99982551784674545</v>
      </c>
      <c r="AE721">
        <f t="shared" si="71"/>
        <v>12985</v>
      </c>
    </row>
    <row r="722" spans="1:31">
      <c r="A722" s="9">
        <v>721</v>
      </c>
      <c r="B722" s="30">
        <v>40576</v>
      </c>
      <c r="C722" s="9">
        <v>1</v>
      </c>
      <c r="D722" s="9">
        <v>0</v>
      </c>
      <c r="E722" s="9">
        <v>2</v>
      </c>
      <c r="F722" s="9">
        <v>9</v>
      </c>
      <c r="G722" s="9" t="b">
        <v>0</v>
      </c>
      <c r="H722" s="9">
        <v>3</v>
      </c>
      <c r="I722" s="9">
        <v>2</v>
      </c>
      <c r="J722" s="9">
        <v>0.24</v>
      </c>
      <c r="K722" s="9">
        <v>0.2576</v>
      </c>
      <c r="L722" s="9">
        <v>0.93</v>
      </c>
      <c r="M722" s="9">
        <v>8.9599999999999999E-2</v>
      </c>
      <c r="N722" s="9">
        <v>4</v>
      </c>
      <c r="O722" s="9">
        <v>119</v>
      </c>
      <c r="P722" s="9">
        <v>123</v>
      </c>
      <c r="Q722" s="13" t="s">
        <v>98</v>
      </c>
      <c r="R722" s="13" t="s">
        <v>79</v>
      </c>
      <c r="S722" s="9" t="s">
        <v>80</v>
      </c>
      <c r="T722" s="11" t="s">
        <v>88</v>
      </c>
      <c r="U722" s="15" t="s">
        <v>89</v>
      </c>
      <c r="V722" s="13" t="s">
        <v>93</v>
      </c>
      <c r="W722" s="15" t="s">
        <v>84</v>
      </c>
      <c r="X722" s="9" t="s">
        <v>85</v>
      </c>
      <c r="Y722" s="13" t="s">
        <v>99</v>
      </c>
      <c r="Z722">
        <f t="shared" si="67"/>
        <v>185</v>
      </c>
      <c r="AA722" s="39">
        <f t="shared" si="68"/>
        <v>68.844559585492235</v>
      </c>
      <c r="AB722" s="39">
        <f t="shared" si="69"/>
        <v>3474.6233829517932</v>
      </c>
      <c r="AC722">
        <f t="shared" si="72"/>
        <v>0.99987644194133662</v>
      </c>
      <c r="AD722">
        <f t="shared" si="70"/>
        <v>0.99982593107585416</v>
      </c>
      <c r="AE722">
        <f t="shared" si="71"/>
        <v>12830</v>
      </c>
    </row>
    <row r="723" spans="1:31">
      <c r="A723" s="10">
        <v>722</v>
      </c>
      <c r="B723" s="31">
        <v>40576</v>
      </c>
      <c r="C723" s="10">
        <v>1</v>
      </c>
      <c r="D723" s="10">
        <v>0</v>
      </c>
      <c r="E723" s="10">
        <v>2</v>
      </c>
      <c r="F723" s="10">
        <v>10</v>
      </c>
      <c r="G723" s="10" t="b">
        <v>0</v>
      </c>
      <c r="H723" s="10">
        <v>3</v>
      </c>
      <c r="I723" s="10">
        <v>2</v>
      </c>
      <c r="J723" s="10">
        <v>0.22</v>
      </c>
      <c r="K723" s="10">
        <v>0.2727</v>
      </c>
      <c r="L723" s="10">
        <v>1</v>
      </c>
      <c r="M723" s="10">
        <v>0</v>
      </c>
      <c r="N723" s="10">
        <v>2</v>
      </c>
      <c r="O723" s="10">
        <v>59</v>
      </c>
      <c r="P723" s="10">
        <v>61</v>
      </c>
      <c r="Q723" s="13" t="s">
        <v>98</v>
      </c>
      <c r="R723" s="13" t="s">
        <v>79</v>
      </c>
      <c r="S723" s="10" t="s">
        <v>80</v>
      </c>
      <c r="T723" s="11" t="s">
        <v>88</v>
      </c>
      <c r="U723" s="13" t="s">
        <v>91</v>
      </c>
      <c r="V723" s="11" t="s">
        <v>87</v>
      </c>
      <c r="W723" s="15" t="s">
        <v>84</v>
      </c>
      <c r="X723" s="10" t="s">
        <v>85</v>
      </c>
      <c r="Y723" s="13" t="s">
        <v>99</v>
      </c>
      <c r="Z723">
        <f t="shared" si="67"/>
        <v>184</v>
      </c>
      <c r="AA723" s="39">
        <f t="shared" si="68"/>
        <v>68.844559585492235</v>
      </c>
      <c r="AB723" s="39">
        <f t="shared" si="69"/>
        <v>3480.8330505875269</v>
      </c>
      <c r="AC723">
        <f t="shared" si="72"/>
        <v>0.99987686282699628</v>
      </c>
      <c r="AD723">
        <f t="shared" si="70"/>
        <v>0.99982599533122751</v>
      </c>
      <c r="AE723">
        <f t="shared" si="71"/>
        <v>12707</v>
      </c>
    </row>
    <row r="724" spans="1:31">
      <c r="A724" s="9">
        <v>723</v>
      </c>
      <c r="B724" s="30">
        <v>40576</v>
      </c>
      <c r="C724" s="9">
        <v>1</v>
      </c>
      <c r="D724" s="9">
        <v>0</v>
      </c>
      <c r="E724" s="9">
        <v>2</v>
      </c>
      <c r="F724" s="9">
        <v>11</v>
      </c>
      <c r="G724" s="9" t="b">
        <v>0</v>
      </c>
      <c r="H724" s="9">
        <v>3</v>
      </c>
      <c r="I724" s="9">
        <v>2</v>
      </c>
      <c r="J724" s="9">
        <v>0.24</v>
      </c>
      <c r="K724" s="9">
        <v>0.2273</v>
      </c>
      <c r="L724" s="9">
        <v>0.93</v>
      </c>
      <c r="M724" s="9">
        <v>0.19400000000000001</v>
      </c>
      <c r="N724" s="9">
        <v>5</v>
      </c>
      <c r="O724" s="9">
        <v>47</v>
      </c>
      <c r="P724" s="9">
        <v>52</v>
      </c>
      <c r="Q724" s="13" t="s">
        <v>98</v>
      </c>
      <c r="R724" s="13" t="s">
        <v>79</v>
      </c>
      <c r="S724" s="9" t="s">
        <v>80</v>
      </c>
      <c r="T724" s="11" t="s">
        <v>88</v>
      </c>
      <c r="U724" s="13" t="s">
        <v>91</v>
      </c>
      <c r="V724" s="11" t="s">
        <v>87</v>
      </c>
      <c r="W724" s="15" t="s">
        <v>84</v>
      </c>
      <c r="X724" s="9" t="s">
        <v>85</v>
      </c>
      <c r="Y724" s="13" t="s">
        <v>99</v>
      </c>
      <c r="Z724">
        <f t="shared" si="67"/>
        <v>183</v>
      </c>
      <c r="AA724" s="39">
        <f t="shared" si="68"/>
        <v>68.844559585492235</v>
      </c>
      <c r="AB724" s="39">
        <f t="shared" si="69"/>
        <v>3487.0644533427148</v>
      </c>
      <c r="AC724">
        <f t="shared" si="72"/>
        <v>0.99987686237401485</v>
      </c>
      <c r="AD724">
        <f t="shared" si="70"/>
        <v>0.99982633417946598</v>
      </c>
      <c r="AE724">
        <f t="shared" si="71"/>
        <v>12646</v>
      </c>
    </row>
    <row r="725" spans="1:31">
      <c r="A725" s="10">
        <v>724</v>
      </c>
      <c r="B725" s="31">
        <v>40576</v>
      </c>
      <c r="C725" s="10">
        <v>1</v>
      </c>
      <c r="D725" s="10">
        <v>0</v>
      </c>
      <c r="E725" s="10">
        <v>2</v>
      </c>
      <c r="F725" s="10">
        <v>12</v>
      </c>
      <c r="G725" s="10" t="b">
        <v>0</v>
      </c>
      <c r="H725" s="10">
        <v>3</v>
      </c>
      <c r="I725" s="10">
        <v>2</v>
      </c>
      <c r="J725" s="10">
        <v>0.24</v>
      </c>
      <c r="K725" s="10">
        <v>0.2273</v>
      </c>
      <c r="L725" s="10">
        <v>0.93</v>
      </c>
      <c r="M725" s="10">
        <v>0.22389999999999999</v>
      </c>
      <c r="N725" s="10">
        <v>3</v>
      </c>
      <c r="O725" s="10">
        <v>61</v>
      </c>
      <c r="P725" s="10">
        <v>64</v>
      </c>
      <c r="Q725" s="13" t="s">
        <v>98</v>
      </c>
      <c r="R725" s="13" t="s">
        <v>79</v>
      </c>
      <c r="S725" s="10" t="s">
        <v>80</v>
      </c>
      <c r="T725" s="11" t="s">
        <v>88</v>
      </c>
      <c r="U725" s="11" t="s">
        <v>92</v>
      </c>
      <c r="V725" s="11" t="s">
        <v>87</v>
      </c>
      <c r="W725" s="15" t="s">
        <v>84</v>
      </c>
      <c r="X725" s="10" t="s">
        <v>85</v>
      </c>
      <c r="Y725" s="13" t="s">
        <v>99</v>
      </c>
      <c r="Z725">
        <f t="shared" si="67"/>
        <v>182</v>
      </c>
      <c r="AA725" s="39">
        <f t="shared" si="68"/>
        <v>68.844559585492235</v>
      </c>
      <c r="AB725" s="39">
        <f t="shared" si="69"/>
        <v>3493.3274061235729</v>
      </c>
      <c r="AC725">
        <f t="shared" si="72"/>
        <v>0.99987690614223024</v>
      </c>
      <c r="AD725">
        <f t="shared" si="70"/>
        <v>0.99982670436726839</v>
      </c>
      <c r="AE725">
        <f t="shared" si="71"/>
        <v>12594</v>
      </c>
    </row>
    <row r="726" spans="1:31">
      <c r="A726" s="9">
        <v>725</v>
      </c>
      <c r="B726" s="30">
        <v>40576</v>
      </c>
      <c r="C726" s="9">
        <v>1</v>
      </c>
      <c r="D726" s="9">
        <v>0</v>
      </c>
      <c r="E726" s="9">
        <v>2</v>
      </c>
      <c r="F726" s="9">
        <v>13</v>
      </c>
      <c r="G726" s="9" t="b">
        <v>0</v>
      </c>
      <c r="H726" s="9">
        <v>3</v>
      </c>
      <c r="I726" s="9">
        <v>1</v>
      </c>
      <c r="J726" s="9">
        <v>0.34</v>
      </c>
      <c r="K726" s="9">
        <v>0.33329999999999999</v>
      </c>
      <c r="L726" s="9">
        <v>0.93</v>
      </c>
      <c r="M726" s="9">
        <v>0.16420000000000001</v>
      </c>
      <c r="N726" s="9">
        <v>1</v>
      </c>
      <c r="O726" s="9">
        <v>74</v>
      </c>
      <c r="P726" s="9">
        <v>75</v>
      </c>
      <c r="Q726" s="13" t="s">
        <v>98</v>
      </c>
      <c r="R726" s="13" t="s">
        <v>79</v>
      </c>
      <c r="S726" s="9" t="s">
        <v>80</v>
      </c>
      <c r="T726" s="13" t="s">
        <v>81</v>
      </c>
      <c r="U726" s="11" t="s">
        <v>92</v>
      </c>
      <c r="V726" s="13" t="s">
        <v>93</v>
      </c>
      <c r="W726" s="13" t="s">
        <v>90</v>
      </c>
      <c r="X726" s="9" t="s">
        <v>85</v>
      </c>
      <c r="Y726" s="13" t="s">
        <v>99</v>
      </c>
      <c r="Z726">
        <f t="shared" si="67"/>
        <v>181</v>
      </c>
      <c r="AA726" s="39">
        <f t="shared" si="68"/>
        <v>68.844559585492235</v>
      </c>
      <c r="AB726" s="39">
        <f t="shared" si="69"/>
        <v>3499.6269380895919</v>
      </c>
      <c r="AC726">
        <f t="shared" si="72"/>
        <v>0.99987690913862792</v>
      </c>
      <c r="AD726">
        <f t="shared" si="70"/>
        <v>0.99982691970304893</v>
      </c>
      <c r="AE726">
        <f t="shared" si="71"/>
        <v>12530</v>
      </c>
    </row>
    <row r="727" spans="1:31">
      <c r="A727" s="10">
        <v>726</v>
      </c>
      <c r="B727" s="31">
        <v>40576</v>
      </c>
      <c r="C727" s="10">
        <v>1</v>
      </c>
      <c r="D727" s="10">
        <v>0</v>
      </c>
      <c r="E727" s="10">
        <v>2</v>
      </c>
      <c r="F727" s="10">
        <v>14</v>
      </c>
      <c r="G727" s="10" t="b">
        <v>0</v>
      </c>
      <c r="H727" s="10">
        <v>3</v>
      </c>
      <c r="I727" s="10">
        <v>1</v>
      </c>
      <c r="J727" s="10">
        <v>0.38</v>
      </c>
      <c r="K727" s="10">
        <v>0.39389999999999997</v>
      </c>
      <c r="L727" s="10">
        <v>0.82</v>
      </c>
      <c r="M727" s="10">
        <v>0.3881</v>
      </c>
      <c r="N727" s="10">
        <v>2</v>
      </c>
      <c r="O727" s="10">
        <v>61</v>
      </c>
      <c r="P727" s="10">
        <v>63</v>
      </c>
      <c r="Q727" s="13" t="s">
        <v>98</v>
      </c>
      <c r="R727" s="13" t="s">
        <v>79</v>
      </c>
      <c r="S727" s="10" t="s">
        <v>80</v>
      </c>
      <c r="T727" s="13" t="s">
        <v>81</v>
      </c>
      <c r="U727" s="13" t="s">
        <v>94</v>
      </c>
      <c r="V727" s="11" t="s">
        <v>87</v>
      </c>
      <c r="W727" s="13" t="s">
        <v>90</v>
      </c>
      <c r="X727" s="10" t="s">
        <v>85</v>
      </c>
      <c r="Y727" s="13" t="s">
        <v>99</v>
      </c>
      <c r="Z727">
        <f t="shared" si="67"/>
        <v>180</v>
      </c>
      <c r="AA727" s="39">
        <f t="shared" si="68"/>
        <v>68.8125</v>
      </c>
      <c r="AB727" s="39">
        <f t="shared" si="69"/>
        <v>3505.9630407957184</v>
      </c>
      <c r="AC727">
        <f t="shared" si="72"/>
        <v>0.99987698565997818</v>
      </c>
      <c r="AD727">
        <f t="shared" si="70"/>
        <v>0.99982702929239986</v>
      </c>
      <c r="AE727">
        <f t="shared" si="71"/>
        <v>12455</v>
      </c>
    </row>
    <row r="728" spans="1:31">
      <c r="A728" s="9">
        <v>727</v>
      </c>
      <c r="B728" s="30">
        <v>40576</v>
      </c>
      <c r="C728" s="9">
        <v>1</v>
      </c>
      <c r="D728" s="9">
        <v>0</v>
      </c>
      <c r="E728" s="9">
        <v>2</v>
      </c>
      <c r="F728" s="9">
        <v>15</v>
      </c>
      <c r="G728" s="9" t="b">
        <v>0</v>
      </c>
      <c r="H728" s="9">
        <v>3</v>
      </c>
      <c r="I728" s="9">
        <v>1</v>
      </c>
      <c r="J728" s="9">
        <v>0.38</v>
      </c>
      <c r="K728" s="9">
        <v>0.39389999999999997</v>
      </c>
      <c r="L728" s="9">
        <v>0.76</v>
      </c>
      <c r="M728" s="9">
        <v>0.32840000000000003</v>
      </c>
      <c r="N728" s="9">
        <v>10</v>
      </c>
      <c r="O728" s="9">
        <v>66</v>
      </c>
      <c r="P728" s="9">
        <v>76</v>
      </c>
      <c r="Q728" s="13" t="s">
        <v>98</v>
      </c>
      <c r="R728" s="13" t="s">
        <v>79</v>
      </c>
      <c r="S728" s="9" t="s">
        <v>80</v>
      </c>
      <c r="T728" s="13" t="s">
        <v>81</v>
      </c>
      <c r="U728" s="13" t="s">
        <v>94</v>
      </c>
      <c r="V728" s="13" t="s">
        <v>93</v>
      </c>
      <c r="W728" s="13" t="s">
        <v>90</v>
      </c>
      <c r="X728" s="9" t="s">
        <v>85</v>
      </c>
      <c r="Y728" s="13" t="s">
        <v>99</v>
      </c>
      <c r="Z728">
        <f t="shared" si="67"/>
        <v>179</v>
      </c>
      <c r="AA728" s="39">
        <f t="shared" si="68"/>
        <v>68.842931937172779</v>
      </c>
      <c r="AB728" s="39">
        <f t="shared" si="69"/>
        <v>3512.3310805091846</v>
      </c>
      <c r="AC728">
        <f t="shared" si="72"/>
        <v>0.99987730269111907</v>
      </c>
      <c r="AD728">
        <f t="shared" si="70"/>
        <v>0.99982714768102698</v>
      </c>
      <c r="AE728">
        <f t="shared" si="71"/>
        <v>12392</v>
      </c>
    </row>
    <row r="729" spans="1:31">
      <c r="A729" s="10">
        <v>728</v>
      </c>
      <c r="B729" s="31">
        <v>40576</v>
      </c>
      <c r="C729" s="10">
        <v>1</v>
      </c>
      <c r="D729" s="10">
        <v>0</v>
      </c>
      <c r="E729" s="10">
        <v>2</v>
      </c>
      <c r="F729" s="10">
        <v>16</v>
      </c>
      <c r="G729" s="10" t="b">
        <v>0</v>
      </c>
      <c r="H729" s="10">
        <v>3</v>
      </c>
      <c r="I729" s="10">
        <v>1</v>
      </c>
      <c r="J729" s="10">
        <v>0.36</v>
      </c>
      <c r="K729" s="10">
        <v>0.33329999999999999</v>
      </c>
      <c r="L729" s="10">
        <v>0.71</v>
      </c>
      <c r="M729" s="10">
        <v>0.29849999999999999</v>
      </c>
      <c r="N729" s="10">
        <v>8</v>
      </c>
      <c r="O729" s="10">
        <v>95</v>
      </c>
      <c r="P729" s="10">
        <v>103</v>
      </c>
      <c r="Q729" s="13" t="s">
        <v>98</v>
      </c>
      <c r="R729" s="13" t="s">
        <v>79</v>
      </c>
      <c r="S729" s="10" t="s">
        <v>80</v>
      </c>
      <c r="T729" s="13" t="s">
        <v>81</v>
      </c>
      <c r="U729" s="13" t="s">
        <v>94</v>
      </c>
      <c r="V729" s="13" t="s">
        <v>93</v>
      </c>
      <c r="W729" s="13" t="s">
        <v>90</v>
      </c>
      <c r="X729" s="10" t="s">
        <v>85</v>
      </c>
      <c r="Y729" s="13" t="s">
        <v>99</v>
      </c>
      <c r="Z729">
        <f t="shared" si="67"/>
        <v>178</v>
      </c>
      <c r="AA729" s="39">
        <f t="shared" si="68"/>
        <v>68.805263157894743</v>
      </c>
      <c r="AB729" s="39">
        <f t="shared" si="69"/>
        <v>3518.7367751330867</v>
      </c>
      <c r="AC729">
        <f t="shared" si="72"/>
        <v>0.99987746783048348</v>
      </c>
      <c r="AD729">
        <f t="shared" si="70"/>
        <v>0.99982715931993993</v>
      </c>
      <c r="AE729">
        <f t="shared" si="71"/>
        <v>12316</v>
      </c>
    </row>
    <row r="730" spans="1:31">
      <c r="A730" s="9">
        <v>729</v>
      </c>
      <c r="B730" s="30">
        <v>40576</v>
      </c>
      <c r="C730" s="9">
        <v>1</v>
      </c>
      <c r="D730" s="9">
        <v>0</v>
      </c>
      <c r="E730" s="9">
        <v>2</v>
      </c>
      <c r="F730" s="9">
        <v>17</v>
      </c>
      <c r="G730" s="9" t="b">
        <v>0</v>
      </c>
      <c r="H730" s="9">
        <v>3</v>
      </c>
      <c r="I730" s="9">
        <v>1</v>
      </c>
      <c r="J730" s="9">
        <v>0.36</v>
      </c>
      <c r="K730" s="9">
        <v>0.31819999999999998</v>
      </c>
      <c r="L730" s="9">
        <v>0.53</v>
      </c>
      <c r="M730" s="9">
        <v>0.52239999999999998</v>
      </c>
      <c r="N730" s="9">
        <v>7</v>
      </c>
      <c r="O730" s="9">
        <v>183</v>
      </c>
      <c r="P730" s="9">
        <v>190</v>
      </c>
      <c r="Q730" s="13" t="s">
        <v>98</v>
      </c>
      <c r="R730" s="13" t="s">
        <v>79</v>
      </c>
      <c r="S730" s="9" t="s">
        <v>80</v>
      </c>
      <c r="T730" s="13" t="s">
        <v>81</v>
      </c>
      <c r="U730" s="15" t="s">
        <v>95</v>
      </c>
      <c r="V730" s="13" t="s">
        <v>93</v>
      </c>
      <c r="W730" s="13" t="s">
        <v>90</v>
      </c>
      <c r="X730" s="9" t="s">
        <v>85</v>
      </c>
      <c r="Y730" s="13" t="s">
        <v>99</v>
      </c>
      <c r="Z730">
        <f t="shared" si="67"/>
        <v>177</v>
      </c>
      <c r="AA730" s="39">
        <f t="shared" si="68"/>
        <v>68.62433862433862</v>
      </c>
      <c r="AB730" s="39">
        <f t="shared" si="69"/>
        <v>3525.1829872344774</v>
      </c>
      <c r="AC730">
        <f t="shared" si="72"/>
        <v>0.99987746684617618</v>
      </c>
      <c r="AD730">
        <f t="shared" si="70"/>
        <v>0.99982723193576051</v>
      </c>
      <c r="AE730">
        <f t="shared" si="71"/>
        <v>12213</v>
      </c>
    </row>
    <row r="731" spans="1:31">
      <c r="A731" s="10">
        <v>730</v>
      </c>
      <c r="B731" s="31">
        <v>40576</v>
      </c>
      <c r="C731" s="10">
        <v>1</v>
      </c>
      <c r="D731" s="10">
        <v>0</v>
      </c>
      <c r="E731" s="10">
        <v>2</v>
      </c>
      <c r="F731" s="10">
        <v>18</v>
      </c>
      <c r="G731" s="10" t="b">
        <v>0</v>
      </c>
      <c r="H731" s="10">
        <v>3</v>
      </c>
      <c r="I731" s="10">
        <v>1</v>
      </c>
      <c r="J731" s="10">
        <v>0.34</v>
      </c>
      <c r="K731" s="10">
        <v>0.28789999999999999</v>
      </c>
      <c r="L731" s="10">
        <v>0.42</v>
      </c>
      <c r="M731" s="10">
        <v>0.55220000000000002</v>
      </c>
      <c r="N731" s="10">
        <v>7</v>
      </c>
      <c r="O731" s="10">
        <v>175</v>
      </c>
      <c r="P731" s="10">
        <v>182</v>
      </c>
      <c r="Q731" s="13" t="s">
        <v>98</v>
      </c>
      <c r="R731" s="13" t="s">
        <v>79</v>
      </c>
      <c r="S731" s="10" t="s">
        <v>80</v>
      </c>
      <c r="T731" s="13" t="s">
        <v>81</v>
      </c>
      <c r="U731" s="15" t="s">
        <v>95</v>
      </c>
      <c r="V731" s="13" t="s">
        <v>93</v>
      </c>
      <c r="W731" s="13" t="s">
        <v>90</v>
      </c>
      <c r="X731" s="10" t="s">
        <v>85</v>
      </c>
      <c r="Y731" s="13" t="s">
        <v>99</v>
      </c>
      <c r="Z731">
        <f t="shared" si="67"/>
        <v>176</v>
      </c>
      <c r="AA731" s="39">
        <f t="shared" si="68"/>
        <v>67.978723404255319</v>
      </c>
      <c r="AB731" s="39">
        <f t="shared" si="69"/>
        <v>3531.676859261921</v>
      </c>
      <c r="AC731">
        <f t="shared" si="72"/>
        <v>0.99987856574252432</v>
      </c>
      <c r="AD731">
        <f t="shared" si="70"/>
        <v>0.99982964355956649</v>
      </c>
      <c r="AE731">
        <f t="shared" si="71"/>
        <v>12023</v>
      </c>
    </row>
    <row r="732" spans="1:31">
      <c r="A732" s="9">
        <v>731</v>
      </c>
      <c r="B732" s="30">
        <v>40576</v>
      </c>
      <c r="C732" s="9">
        <v>1</v>
      </c>
      <c r="D732" s="9">
        <v>0</v>
      </c>
      <c r="E732" s="9">
        <v>2</v>
      </c>
      <c r="F732" s="9">
        <v>19</v>
      </c>
      <c r="G732" s="9" t="b">
        <v>0</v>
      </c>
      <c r="H732" s="9">
        <v>3</v>
      </c>
      <c r="I732" s="9">
        <v>1</v>
      </c>
      <c r="J732" s="9">
        <v>0.28000000000000003</v>
      </c>
      <c r="K732" s="9">
        <v>0.2424</v>
      </c>
      <c r="L732" s="9">
        <v>0.45</v>
      </c>
      <c r="M732" s="9">
        <v>0.49249999999999999</v>
      </c>
      <c r="N732" s="9">
        <v>3</v>
      </c>
      <c r="O732" s="9">
        <v>88</v>
      </c>
      <c r="P732" s="9">
        <v>91</v>
      </c>
      <c r="Q732" s="13" t="s">
        <v>98</v>
      </c>
      <c r="R732" s="13" t="s">
        <v>79</v>
      </c>
      <c r="S732" s="9" t="s">
        <v>80</v>
      </c>
      <c r="T732" s="13" t="s">
        <v>81</v>
      </c>
      <c r="U732" s="15" t="s">
        <v>95</v>
      </c>
      <c r="V732" s="13" t="s">
        <v>93</v>
      </c>
      <c r="W732" s="13" t="s">
        <v>90</v>
      </c>
      <c r="X732" s="9" t="s">
        <v>85</v>
      </c>
      <c r="Y732" s="13" t="s">
        <v>99</v>
      </c>
      <c r="Z732">
        <f t="shared" si="67"/>
        <v>175</v>
      </c>
      <c r="AA732" s="39">
        <f t="shared" si="68"/>
        <v>67.368983957219257</v>
      </c>
      <c r="AB732" s="39">
        <f t="shared" si="69"/>
        <v>3538.2059663012742</v>
      </c>
      <c r="AC732">
        <f t="shared" si="72"/>
        <v>0.99987961359900268</v>
      </c>
      <c r="AD732">
        <f t="shared" si="70"/>
        <v>0.99983218861232004</v>
      </c>
      <c r="AE732">
        <f t="shared" si="71"/>
        <v>11841</v>
      </c>
    </row>
    <row r="733" spans="1:31">
      <c r="A733" s="10">
        <v>732</v>
      </c>
      <c r="B733" s="31">
        <v>40576</v>
      </c>
      <c r="C733" s="10">
        <v>1</v>
      </c>
      <c r="D733" s="10">
        <v>0</v>
      </c>
      <c r="E733" s="10">
        <v>2</v>
      </c>
      <c r="F733" s="10">
        <v>20</v>
      </c>
      <c r="G733" s="10" t="b">
        <v>0</v>
      </c>
      <c r="H733" s="10">
        <v>3</v>
      </c>
      <c r="I733" s="10">
        <v>1</v>
      </c>
      <c r="J733" s="10">
        <v>0.24</v>
      </c>
      <c r="K733" s="10">
        <v>0.19700000000000001</v>
      </c>
      <c r="L733" s="10">
        <v>0.48</v>
      </c>
      <c r="M733" s="10">
        <v>0.55220000000000002</v>
      </c>
      <c r="N733" s="10">
        <v>4</v>
      </c>
      <c r="O733" s="10">
        <v>71</v>
      </c>
      <c r="P733" s="10">
        <v>75</v>
      </c>
      <c r="Q733" s="13" t="s">
        <v>98</v>
      </c>
      <c r="R733" s="13" t="s">
        <v>79</v>
      </c>
      <c r="S733" s="10" t="s">
        <v>80</v>
      </c>
      <c r="T733" s="13" t="s">
        <v>81</v>
      </c>
      <c r="U733" s="16" t="s">
        <v>97</v>
      </c>
      <c r="V733" s="13" t="s">
        <v>93</v>
      </c>
      <c r="W733" s="15" t="s">
        <v>84</v>
      </c>
      <c r="X733" s="10" t="s">
        <v>85</v>
      </c>
      <c r="Y733" s="13" t="s">
        <v>99</v>
      </c>
      <c r="Z733">
        <f t="shared" si="67"/>
        <v>174</v>
      </c>
      <c r="AA733" s="39">
        <f t="shared" si="68"/>
        <v>67.241935483870961</v>
      </c>
      <c r="AB733" s="39">
        <f t="shared" si="69"/>
        <v>3544.7576902747446</v>
      </c>
      <c r="AC733">
        <f t="shared" si="72"/>
        <v>0.99987962813425713</v>
      </c>
      <c r="AD733">
        <f t="shared" si="70"/>
        <v>0.99983239466367846</v>
      </c>
      <c r="AE733">
        <f t="shared" si="71"/>
        <v>11750</v>
      </c>
    </row>
    <row r="734" spans="1:31">
      <c r="A734" s="9">
        <v>733</v>
      </c>
      <c r="B734" s="30">
        <v>40576</v>
      </c>
      <c r="C734" s="9">
        <v>1</v>
      </c>
      <c r="D734" s="9">
        <v>0</v>
      </c>
      <c r="E734" s="9">
        <v>2</v>
      </c>
      <c r="F734" s="9">
        <v>21</v>
      </c>
      <c r="G734" s="9" t="b">
        <v>0</v>
      </c>
      <c r="H734" s="9">
        <v>3</v>
      </c>
      <c r="I734" s="9">
        <v>1</v>
      </c>
      <c r="J734" s="9">
        <v>0.22</v>
      </c>
      <c r="K734" s="9">
        <v>0.19700000000000001</v>
      </c>
      <c r="L734" s="9">
        <v>0.47</v>
      </c>
      <c r="M734" s="9">
        <v>0.32840000000000003</v>
      </c>
      <c r="N734" s="9">
        <v>1</v>
      </c>
      <c r="O734" s="9">
        <v>62</v>
      </c>
      <c r="P734" s="9">
        <v>63</v>
      </c>
      <c r="Q734" s="13" t="s">
        <v>98</v>
      </c>
      <c r="R734" s="13" t="s">
        <v>79</v>
      </c>
      <c r="S734" s="9" t="s">
        <v>80</v>
      </c>
      <c r="T734" s="13" t="s">
        <v>81</v>
      </c>
      <c r="U734" s="16" t="s">
        <v>97</v>
      </c>
      <c r="V734" s="11" t="s">
        <v>87</v>
      </c>
      <c r="W734" s="15" t="s">
        <v>84</v>
      </c>
      <c r="X734" s="9" t="s">
        <v>85</v>
      </c>
      <c r="Y734" s="13" t="s">
        <v>99</v>
      </c>
      <c r="Z734">
        <f t="shared" si="67"/>
        <v>173</v>
      </c>
      <c r="AA734" s="39">
        <f t="shared" si="68"/>
        <v>67.2</v>
      </c>
      <c r="AB734" s="39">
        <f t="shared" si="69"/>
        <v>3551.3426123083682</v>
      </c>
      <c r="AC734">
        <f t="shared" si="72"/>
        <v>0.9998796314200441</v>
      </c>
      <c r="AD734">
        <f t="shared" si="70"/>
        <v>0.99983244364459856</v>
      </c>
      <c r="AE734">
        <f t="shared" si="71"/>
        <v>11675</v>
      </c>
    </row>
    <row r="735" spans="1:31">
      <c r="A735" s="10">
        <v>734</v>
      </c>
      <c r="B735" s="31">
        <v>40576</v>
      </c>
      <c r="C735" s="10">
        <v>1</v>
      </c>
      <c r="D735" s="10">
        <v>0</v>
      </c>
      <c r="E735" s="10">
        <v>2</v>
      </c>
      <c r="F735" s="10">
        <v>22</v>
      </c>
      <c r="G735" s="10" t="b">
        <v>0</v>
      </c>
      <c r="H735" s="10">
        <v>3</v>
      </c>
      <c r="I735" s="10">
        <v>1</v>
      </c>
      <c r="J735" s="10">
        <v>0.22</v>
      </c>
      <c r="K735" s="10">
        <v>0.21210000000000001</v>
      </c>
      <c r="L735" s="10">
        <v>0.44</v>
      </c>
      <c r="M735" s="10">
        <v>0.25369999999999998</v>
      </c>
      <c r="N735" s="10">
        <v>5</v>
      </c>
      <c r="O735" s="10">
        <v>35</v>
      </c>
      <c r="P735" s="10">
        <v>40</v>
      </c>
      <c r="Q735" s="13" t="s">
        <v>98</v>
      </c>
      <c r="R735" s="13" t="s">
        <v>79</v>
      </c>
      <c r="S735" s="10" t="s">
        <v>80</v>
      </c>
      <c r="T735" s="13" t="s">
        <v>81</v>
      </c>
      <c r="U735" s="16" t="s">
        <v>97</v>
      </c>
      <c r="V735" s="11" t="s">
        <v>87</v>
      </c>
      <c r="W735" s="15" t="s">
        <v>84</v>
      </c>
      <c r="X735" s="10" t="s">
        <v>85</v>
      </c>
      <c r="Y735" s="13" t="s">
        <v>99</v>
      </c>
      <c r="Z735">
        <f t="shared" si="67"/>
        <v>172</v>
      </c>
      <c r="AA735" s="39">
        <f t="shared" si="68"/>
        <v>67.222826086956516</v>
      </c>
      <c r="AB735" s="39">
        <f t="shared" si="69"/>
        <v>3557.961677050931</v>
      </c>
      <c r="AC735">
        <f t="shared" si="72"/>
        <v>0.99987962977606948</v>
      </c>
      <c r="AD735">
        <f t="shared" si="70"/>
        <v>0.99983244988923836</v>
      </c>
      <c r="AE735">
        <f t="shared" si="71"/>
        <v>11612</v>
      </c>
    </row>
    <row r="736" spans="1:31">
      <c r="A736" s="9">
        <v>735</v>
      </c>
      <c r="B736" s="30">
        <v>40576</v>
      </c>
      <c r="C736" s="9">
        <v>1</v>
      </c>
      <c r="D736" s="9">
        <v>0</v>
      </c>
      <c r="E736" s="9">
        <v>2</v>
      </c>
      <c r="F736" s="9">
        <v>23</v>
      </c>
      <c r="G736" s="9" t="b">
        <v>0</v>
      </c>
      <c r="H736" s="9">
        <v>3</v>
      </c>
      <c r="I736" s="9">
        <v>1</v>
      </c>
      <c r="J736" s="9">
        <v>0.2</v>
      </c>
      <c r="K736" s="9">
        <v>0.16669999999999999</v>
      </c>
      <c r="L736" s="9">
        <v>0.44</v>
      </c>
      <c r="M736" s="9">
        <v>0.44779999999999998</v>
      </c>
      <c r="N736" s="9">
        <v>3</v>
      </c>
      <c r="O736" s="9">
        <v>29</v>
      </c>
      <c r="P736" s="9">
        <v>32</v>
      </c>
      <c r="Q736" s="13" t="s">
        <v>98</v>
      </c>
      <c r="R736" s="13" t="s">
        <v>79</v>
      </c>
      <c r="S736" s="9" t="s">
        <v>80</v>
      </c>
      <c r="T736" s="13" t="s">
        <v>81</v>
      </c>
      <c r="U736" s="16" t="s">
        <v>97</v>
      </c>
      <c r="V736" s="11" t="s">
        <v>87</v>
      </c>
      <c r="W736" s="15" t="s">
        <v>84</v>
      </c>
      <c r="X736" s="9" t="s">
        <v>85</v>
      </c>
      <c r="Y736" s="13" t="s">
        <v>99</v>
      </c>
      <c r="Z736">
        <f t="shared" si="67"/>
        <v>171</v>
      </c>
      <c r="AA736" s="39">
        <f t="shared" si="68"/>
        <v>67.37158469945355</v>
      </c>
      <c r="AB736" s="39">
        <f t="shared" si="69"/>
        <v>3564.6122757554499</v>
      </c>
      <c r="AC736">
        <f t="shared" si="72"/>
        <v>0.99987971063930492</v>
      </c>
      <c r="AD736">
        <f t="shared" si="70"/>
        <v>0.99983246963272687</v>
      </c>
      <c r="AE736">
        <f t="shared" si="71"/>
        <v>11572</v>
      </c>
    </row>
    <row r="737" spans="1:31">
      <c r="A737" s="10">
        <v>736</v>
      </c>
      <c r="B737" s="31">
        <v>40577</v>
      </c>
      <c r="C737" s="10">
        <v>1</v>
      </c>
      <c r="D737" s="10">
        <v>0</v>
      </c>
      <c r="E737" s="10">
        <v>2</v>
      </c>
      <c r="F737" s="10">
        <v>0</v>
      </c>
      <c r="G737" s="10" t="b">
        <v>0</v>
      </c>
      <c r="H737" s="10">
        <v>4</v>
      </c>
      <c r="I737" s="10">
        <v>1</v>
      </c>
      <c r="J737" s="10">
        <v>0.2</v>
      </c>
      <c r="K737" s="10">
        <v>0.16669999999999999</v>
      </c>
      <c r="L737" s="10">
        <v>0.4</v>
      </c>
      <c r="M737" s="10">
        <v>0.44779999999999998</v>
      </c>
      <c r="N737" s="10">
        <v>1</v>
      </c>
      <c r="O737" s="10">
        <v>11</v>
      </c>
      <c r="P737" s="10">
        <v>12</v>
      </c>
      <c r="Q737" s="13" t="s">
        <v>98</v>
      </c>
      <c r="R737" s="13" t="s">
        <v>79</v>
      </c>
      <c r="S737" s="10" t="s">
        <v>80</v>
      </c>
      <c r="T737" s="13" t="s">
        <v>81</v>
      </c>
      <c r="U737" s="14" t="s">
        <v>82</v>
      </c>
      <c r="V737" s="12" t="s">
        <v>83</v>
      </c>
      <c r="W737" s="15" t="s">
        <v>84</v>
      </c>
      <c r="X737" s="10" t="s">
        <v>85</v>
      </c>
      <c r="Y737" s="13" t="s">
        <v>99</v>
      </c>
      <c r="Z737">
        <f t="shared" si="67"/>
        <v>170</v>
      </c>
      <c r="AA737" s="39">
        <f t="shared" si="68"/>
        <v>67.565934065934073</v>
      </c>
      <c r="AB737" s="39">
        <f t="shared" si="69"/>
        <v>3571.2982125288481</v>
      </c>
      <c r="AC737">
        <f t="shared" si="72"/>
        <v>0.99987980925296449</v>
      </c>
      <c r="AD737">
        <f t="shared" si="70"/>
        <v>0.99983252829794389</v>
      </c>
      <c r="AE737">
        <f t="shared" si="71"/>
        <v>11540</v>
      </c>
    </row>
    <row r="738" spans="1:31">
      <c r="A738" s="9">
        <v>737</v>
      </c>
      <c r="B738" s="30">
        <v>40577</v>
      </c>
      <c r="C738" s="9">
        <v>1</v>
      </c>
      <c r="D738" s="9">
        <v>0</v>
      </c>
      <c r="E738" s="9">
        <v>2</v>
      </c>
      <c r="F738" s="9">
        <v>1</v>
      </c>
      <c r="G738" s="9" t="b">
        <v>0</v>
      </c>
      <c r="H738" s="9">
        <v>4</v>
      </c>
      <c r="I738" s="9">
        <v>1</v>
      </c>
      <c r="J738" s="9">
        <v>0.2</v>
      </c>
      <c r="K738" s="9">
        <v>0.1515</v>
      </c>
      <c r="L738" s="9">
        <v>0.44</v>
      </c>
      <c r="M738" s="9">
        <v>0.52239999999999998</v>
      </c>
      <c r="N738" s="9">
        <v>0</v>
      </c>
      <c r="O738" s="9">
        <v>5</v>
      </c>
      <c r="P738" s="9">
        <v>5</v>
      </c>
      <c r="Q738" s="13" t="s">
        <v>98</v>
      </c>
      <c r="R738" s="13" t="s">
        <v>79</v>
      </c>
      <c r="S738" s="9" t="s">
        <v>80</v>
      </c>
      <c r="T738" s="13" t="s">
        <v>81</v>
      </c>
      <c r="U738" s="14" t="s">
        <v>82</v>
      </c>
      <c r="V738" s="12" t="s">
        <v>83</v>
      </c>
      <c r="W738" s="15" t="s">
        <v>84</v>
      </c>
      <c r="X738" s="9" t="s">
        <v>85</v>
      </c>
      <c r="Y738" s="13" t="s">
        <v>99</v>
      </c>
      <c r="Z738">
        <f t="shared" si="67"/>
        <v>169</v>
      </c>
      <c r="AA738" s="39">
        <f t="shared" si="68"/>
        <v>67.872928176795583</v>
      </c>
      <c r="AB738" s="39">
        <f t="shared" si="69"/>
        <v>3578.0163445535727</v>
      </c>
      <c r="AC738">
        <f t="shared" si="72"/>
        <v>0.99988012305443674</v>
      </c>
      <c r="AD738">
        <f t="shared" si="70"/>
        <v>0.99983272219554498</v>
      </c>
      <c r="AE738">
        <f t="shared" si="71"/>
        <v>11528</v>
      </c>
    </row>
    <row r="739" spans="1:31">
      <c r="A739" s="10">
        <v>738</v>
      </c>
      <c r="B739" s="31">
        <v>40577</v>
      </c>
      <c r="C739" s="10">
        <v>1</v>
      </c>
      <c r="D739" s="10">
        <v>0</v>
      </c>
      <c r="E739" s="10">
        <v>2</v>
      </c>
      <c r="F739" s="10">
        <v>2</v>
      </c>
      <c r="G739" s="10" t="b">
        <v>0</v>
      </c>
      <c r="H739" s="10">
        <v>4</v>
      </c>
      <c r="I739" s="10">
        <v>1</v>
      </c>
      <c r="J739" s="10">
        <v>0.18</v>
      </c>
      <c r="K739" s="10">
        <v>0.16669999999999999</v>
      </c>
      <c r="L739" s="10">
        <v>0.43</v>
      </c>
      <c r="M739" s="10">
        <v>0.25369999999999998</v>
      </c>
      <c r="N739" s="10">
        <v>0</v>
      </c>
      <c r="O739" s="10">
        <v>2</v>
      </c>
      <c r="P739" s="10">
        <v>2</v>
      </c>
      <c r="Q739" s="13" t="s">
        <v>98</v>
      </c>
      <c r="R739" s="13" t="s">
        <v>79</v>
      </c>
      <c r="S739" s="10" t="s">
        <v>80</v>
      </c>
      <c r="T739" s="13" t="s">
        <v>81</v>
      </c>
      <c r="U739" s="14" t="s">
        <v>82</v>
      </c>
      <c r="V739" s="12" t="s">
        <v>83</v>
      </c>
      <c r="W739" s="15" t="s">
        <v>84</v>
      </c>
      <c r="X739" s="10" t="s">
        <v>85</v>
      </c>
      <c r="Y739" s="13" t="s">
        <v>99</v>
      </c>
      <c r="Z739">
        <f t="shared" si="67"/>
        <v>168</v>
      </c>
      <c r="AA739" s="39">
        <f t="shared" si="68"/>
        <v>68.222222222222229</v>
      </c>
      <c r="AB739" s="39">
        <f t="shared" si="69"/>
        <v>3584.7704719171452</v>
      </c>
      <c r="AC739">
        <f t="shared" si="72"/>
        <v>0.99988054274013105</v>
      </c>
      <c r="AD739">
        <f t="shared" si="70"/>
        <v>0.99983305503177655</v>
      </c>
      <c r="AE739">
        <f t="shared" si="71"/>
        <v>11523</v>
      </c>
    </row>
    <row r="740" spans="1:31">
      <c r="A740" s="9">
        <v>739</v>
      </c>
      <c r="B740" s="30">
        <v>40577</v>
      </c>
      <c r="C740" s="9">
        <v>1</v>
      </c>
      <c r="D740" s="9">
        <v>0</v>
      </c>
      <c r="E740" s="9">
        <v>2</v>
      </c>
      <c r="F740" s="9">
        <v>3</v>
      </c>
      <c r="G740" s="9" t="b">
        <v>0</v>
      </c>
      <c r="H740" s="9">
        <v>4</v>
      </c>
      <c r="I740" s="9">
        <v>1</v>
      </c>
      <c r="J740" s="9">
        <v>0.18</v>
      </c>
      <c r="K740" s="9">
        <v>0.16669999999999999</v>
      </c>
      <c r="L740" s="9">
        <v>0.43</v>
      </c>
      <c r="M740" s="9">
        <v>0.25369999999999998</v>
      </c>
      <c r="N740" s="9">
        <v>0</v>
      </c>
      <c r="O740" s="9">
        <v>1</v>
      </c>
      <c r="P740" s="9">
        <v>1</v>
      </c>
      <c r="Q740" s="13" t="s">
        <v>98</v>
      </c>
      <c r="R740" s="13" t="s">
        <v>79</v>
      </c>
      <c r="S740" s="9" t="s">
        <v>80</v>
      </c>
      <c r="T740" s="13" t="s">
        <v>81</v>
      </c>
      <c r="U740" s="14" t="s">
        <v>82</v>
      </c>
      <c r="V740" s="12" t="s">
        <v>83</v>
      </c>
      <c r="W740" s="15" t="s">
        <v>84</v>
      </c>
      <c r="X740" s="9" t="s">
        <v>85</v>
      </c>
      <c r="Y740" s="13" t="s">
        <v>99</v>
      </c>
      <c r="Z740">
        <f t="shared" si="67"/>
        <v>167</v>
      </c>
      <c r="AA740" s="39">
        <f t="shared" si="68"/>
        <v>68.592178770949715</v>
      </c>
      <c r="AB740" s="39">
        <f t="shared" si="69"/>
        <v>3591.5620880457382</v>
      </c>
      <c r="AC740">
        <f t="shared" si="72"/>
        <v>0.99988092429198683</v>
      </c>
      <c r="AD740">
        <f t="shared" si="70"/>
        <v>0.99983341932186542</v>
      </c>
      <c r="AE740">
        <f t="shared" si="71"/>
        <v>11521</v>
      </c>
    </row>
    <row r="741" spans="1:31">
      <c r="A741" s="10">
        <v>740</v>
      </c>
      <c r="B741" s="31">
        <v>40577</v>
      </c>
      <c r="C741" s="10">
        <v>1</v>
      </c>
      <c r="D741" s="10">
        <v>0</v>
      </c>
      <c r="E741" s="10">
        <v>2</v>
      </c>
      <c r="F741" s="10">
        <v>5</v>
      </c>
      <c r="G741" s="10" t="b">
        <v>0</v>
      </c>
      <c r="H741" s="10">
        <v>4</v>
      </c>
      <c r="I741" s="10">
        <v>1</v>
      </c>
      <c r="J741" s="10">
        <v>0.16</v>
      </c>
      <c r="K741" s="10">
        <v>0.13639999999999999</v>
      </c>
      <c r="L741" s="10">
        <v>0.5</v>
      </c>
      <c r="M741" s="10">
        <v>0.29849999999999999</v>
      </c>
      <c r="N741" s="10">
        <v>0</v>
      </c>
      <c r="O741" s="10">
        <v>2</v>
      </c>
      <c r="P741" s="10">
        <v>2</v>
      </c>
      <c r="Q741" s="13" t="s">
        <v>98</v>
      </c>
      <c r="R741" s="13" t="s">
        <v>79</v>
      </c>
      <c r="S741" s="10" t="s">
        <v>80</v>
      </c>
      <c r="T741" s="13" t="s">
        <v>81</v>
      </c>
      <c r="U741" s="15" t="s">
        <v>89</v>
      </c>
      <c r="V741" s="12" t="s">
        <v>83</v>
      </c>
      <c r="W741" s="15" t="s">
        <v>84</v>
      </c>
      <c r="X741" s="10" t="s">
        <v>85</v>
      </c>
      <c r="Y741" s="13" t="s">
        <v>99</v>
      </c>
      <c r="Z741">
        <f t="shared" si="67"/>
        <v>166</v>
      </c>
      <c r="AA741" s="39">
        <f t="shared" si="68"/>
        <v>68.971910112359552</v>
      </c>
      <c r="AB741" s="39">
        <f t="shared" si="69"/>
        <v>3598.3921465857638</v>
      </c>
      <c r="AC741">
        <f t="shared" si="72"/>
        <v>0.99988132408648023</v>
      </c>
      <c r="AD741">
        <f t="shared" si="70"/>
        <v>0.99983380139232081</v>
      </c>
      <c r="AE741">
        <f t="shared" si="71"/>
        <v>11520</v>
      </c>
    </row>
    <row r="742" spans="1:31">
      <c r="A742" s="9">
        <v>741</v>
      </c>
      <c r="B742" s="30">
        <v>40577</v>
      </c>
      <c r="C742" s="9">
        <v>1</v>
      </c>
      <c r="D742" s="9">
        <v>0</v>
      </c>
      <c r="E742" s="9">
        <v>2</v>
      </c>
      <c r="F742" s="9">
        <v>6</v>
      </c>
      <c r="G742" s="9" t="b">
        <v>0</v>
      </c>
      <c r="H742" s="9">
        <v>4</v>
      </c>
      <c r="I742" s="9">
        <v>1</v>
      </c>
      <c r="J742" s="9">
        <v>0.16</v>
      </c>
      <c r="K742" s="9">
        <v>0.13639999999999999</v>
      </c>
      <c r="L742" s="9">
        <v>0.43</v>
      </c>
      <c r="M742" s="9">
        <v>0.35820000000000002</v>
      </c>
      <c r="N742" s="9">
        <v>0</v>
      </c>
      <c r="O742" s="9">
        <v>39</v>
      </c>
      <c r="P742" s="9">
        <v>39</v>
      </c>
      <c r="Q742" s="13" t="s">
        <v>98</v>
      </c>
      <c r="R742" s="13" t="s">
        <v>79</v>
      </c>
      <c r="S742" s="9" t="s">
        <v>80</v>
      </c>
      <c r="T742" s="13" t="s">
        <v>81</v>
      </c>
      <c r="U742" s="15" t="s">
        <v>89</v>
      </c>
      <c r="V742" s="11" t="s">
        <v>87</v>
      </c>
      <c r="W742" s="15" t="s">
        <v>84</v>
      </c>
      <c r="X742" s="9" t="s">
        <v>85</v>
      </c>
      <c r="Y742" s="13" t="s">
        <v>99</v>
      </c>
      <c r="Z742">
        <f t="shared" si="67"/>
        <v>165</v>
      </c>
      <c r="AA742" s="39">
        <f t="shared" si="68"/>
        <v>69.350282485875709</v>
      </c>
      <c r="AB742" s="39">
        <f t="shared" si="69"/>
        <v>3605.261626182119</v>
      </c>
      <c r="AC742">
        <f t="shared" si="72"/>
        <v>0.99988163013122178</v>
      </c>
      <c r="AD742">
        <f t="shared" si="70"/>
        <v>0.99983428311714406</v>
      </c>
      <c r="AE742">
        <f t="shared" si="71"/>
        <v>11518</v>
      </c>
    </row>
    <row r="743" spans="1:31">
      <c r="A743" s="10">
        <v>742</v>
      </c>
      <c r="B743" s="31">
        <v>40577</v>
      </c>
      <c r="C743" s="10">
        <v>1</v>
      </c>
      <c r="D743" s="10">
        <v>0</v>
      </c>
      <c r="E743" s="10">
        <v>2</v>
      </c>
      <c r="F743" s="10">
        <v>7</v>
      </c>
      <c r="G743" s="10" t="b">
        <v>0</v>
      </c>
      <c r="H743" s="10">
        <v>4</v>
      </c>
      <c r="I743" s="10">
        <v>1</v>
      </c>
      <c r="J743" s="10">
        <v>0.14000000000000001</v>
      </c>
      <c r="K743" s="10">
        <v>0.1212</v>
      </c>
      <c r="L743" s="10">
        <v>0.5</v>
      </c>
      <c r="M743" s="10">
        <v>0.32840000000000003</v>
      </c>
      <c r="N743" s="10">
        <v>1</v>
      </c>
      <c r="O743" s="10">
        <v>86</v>
      </c>
      <c r="P743" s="10">
        <v>87</v>
      </c>
      <c r="Q743" s="13" t="s">
        <v>98</v>
      </c>
      <c r="R743" s="13" t="s">
        <v>79</v>
      </c>
      <c r="S743" s="10" t="s">
        <v>80</v>
      </c>
      <c r="T743" s="13" t="s">
        <v>81</v>
      </c>
      <c r="U743" s="15" t="s">
        <v>89</v>
      </c>
      <c r="V743" s="13" t="s">
        <v>93</v>
      </c>
      <c r="W743" s="15" t="s">
        <v>84</v>
      </c>
      <c r="X743" s="10" t="s">
        <v>85</v>
      </c>
      <c r="Y743" s="13" t="s">
        <v>99</v>
      </c>
      <c r="Z743">
        <f t="shared" si="67"/>
        <v>164</v>
      </c>
      <c r="AA743" s="39">
        <f t="shared" si="68"/>
        <v>69.522727272727266</v>
      </c>
      <c r="AB743" s="39">
        <f t="shared" si="69"/>
        <v>3612.1812702569523</v>
      </c>
      <c r="AC743">
        <f t="shared" si="72"/>
        <v>0.99988163937986518</v>
      </c>
      <c r="AD743">
        <f t="shared" si="70"/>
        <v>0.999834306706612</v>
      </c>
      <c r="AE743">
        <f t="shared" si="71"/>
        <v>11479</v>
      </c>
    </row>
    <row r="744" spans="1:31">
      <c r="A744" s="9">
        <v>743</v>
      </c>
      <c r="B744" s="30">
        <v>40577</v>
      </c>
      <c r="C744" s="9">
        <v>1</v>
      </c>
      <c r="D744" s="9">
        <v>0</v>
      </c>
      <c r="E744" s="9">
        <v>2</v>
      </c>
      <c r="F744" s="9">
        <v>8</v>
      </c>
      <c r="G744" s="9" t="b">
        <v>0</v>
      </c>
      <c r="H744" s="9">
        <v>4</v>
      </c>
      <c r="I744" s="9">
        <v>1</v>
      </c>
      <c r="J744" s="9">
        <v>0.14000000000000001</v>
      </c>
      <c r="K744" s="9">
        <v>0.1212</v>
      </c>
      <c r="L744" s="9">
        <v>0.5</v>
      </c>
      <c r="M744" s="9">
        <v>0.35820000000000002</v>
      </c>
      <c r="N744" s="9">
        <v>4</v>
      </c>
      <c r="O744" s="9">
        <v>184</v>
      </c>
      <c r="P744" s="9">
        <v>188</v>
      </c>
      <c r="Q744" s="13" t="s">
        <v>98</v>
      </c>
      <c r="R744" s="13" t="s">
        <v>79</v>
      </c>
      <c r="S744" s="9" t="s">
        <v>80</v>
      </c>
      <c r="T744" s="13" t="s">
        <v>81</v>
      </c>
      <c r="U744" s="15" t="s">
        <v>89</v>
      </c>
      <c r="V744" s="13" t="s">
        <v>93</v>
      </c>
      <c r="W744" s="15" t="s">
        <v>84</v>
      </c>
      <c r="X744" s="9" t="s">
        <v>85</v>
      </c>
      <c r="Y744" s="13" t="s">
        <v>99</v>
      </c>
      <c r="Z744">
        <f t="shared" si="67"/>
        <v>163</v>
      </c>
      <c r="AA744" s="39">
        <f t="shared" si="68"/>
        <v>69.42285714285714</v>
      </c>
      <c r="AB744" s="39">
        <f t="shared" si="69"/>
        <v>3619.1526391720881</v>
      </c>
      <c r="AC744">
        <f t="shared" si="72"/>
        <v>0.99988193671952652</v>
      </c>
      <c r="AD744">
        <f t="shared" si="70"/>
        <v>0.99983441736966372</v>
      </c>
      <c r="AE744">
        <f t="shared" si="71"/>
        <v>11392</v>
      </c>
    </row>
    <row r="745" spans="1:31">
      <c r="A745" s="10">
        <v>744</v>
      </c>
      <c r="B745" s="31">
        <v>40577</v>
      </c>
      <c r="C745" s="10">
        <v>1</v>
      </c>
      <c r="D745" s="10">
        <v>0</v>
      </c>
      <c r="E745" s="10">
        <v>2</v>
      </c>
      <c r="F745" s="10">
        <v>9</v>
      </c>
      <c r="G745" s="10" t="b">
        <v>0</v>
      </c>
      <c r="H745" s="10">
        <v>4</v>
      </c>
      <c r="I745" s="10">
        <v>1</v>
      </c>
      <c r="J745" s="10">
        <v>0.16</v>
      </c>
      <c r="K745" s="10">
        <v>0.13639999999999999</v>
      </c>
      <c r="L745" s="10">
        <v>0.47</v>
      </c>
      <c r="M745" s="10">
        <v>0.29849999999999999</v>
      </c>
      <c r="N745" s="10">
        <v>6</v>
      </c>
      <c r="O745" s="10">
        <v>127</v>
      </c>
      <c r="P745" s="10">
        <v>133</v>
      </c>
      <c r="Q745" s="13" t="s">
        <v>98</v>
      </c>
      <c r="R745" s="13" t="s">
        <v>79</v>
      </c>
      <c r="S745" s="10" t="s">
        <v>80</v>
      </c>
      <c r="T745" s="13" t="s">
        <v>81</v>
      </c>
      <c r="U745" s="15" t="s">
        <v>89</v>
      </c>
      <c r="V745" s="13" t="s">
        <v>93</v>
      </c>
      <c r="W745" s="15" t="s">
        <v>84</v>
      </c>
      <c r="X745" s="10" t="s">
        <v>85</v>
      </c>
      <c r="Y745" s="13" t="s">
        <v>99</v>
      </c>
      <c r="Z745">
        <f t="shared" si="67"/>
        <v>162</v>
      </c>
      <c r="AA745" s="39">
        <f t="shared" si="68"/>
        <v>68.741379310344826</v>
      </c>
      <c r="AB745" s="39">
        <f t="shared" si="69"/>
        <v>3626.1812352159013</v>
      </c>
      <c r="AC745">
        <f t="shared" si="72"/>
        <v>0.99988510385274187</v>
      </c>
      <c r="AD745">
        <f t="shared" si="70"/>
        <v>0.99983687559855283</v>
      </c>
      <c r="AE745">
        <f t="shared" si="71"/>
        <v>11204</v>
      </c>
    </row>
    <row r="746" spans="1:31">
      <c r="A746" s="9">
        <v>745</v>
      </c>
      <c r="B746" s="30">
        <v>40577</v>
      </c>
      <c r="C746" s="9">
        <v>1</v>
      </c>
      <c r="D746" s="9">
        <v>0</v>
      </c>
      <c r="E746" s="9">
        <v>2</v>
      </c>
      <c r="F746" s="9">
        <v>10</v>
      </c>
      <c r="G746" s="9" t="b">
        <v>0</v>
      </c>
      <c r="H746" s="9">
        <v>4</v>
      </c>
      <c r="I746" s="9">
        <v>1</v>
      </c>
      <c r="J746" s="9">
        <v>0.18</v>
      </c>
      <c r="K746" s="9">
        <v>0.1515</v>
      </c>
      <c r="L746" s="9">
        <v>0.43</v>
      </c>
      <c r="M746" s="9">
        <v>0.32840000000000003</v>
      </c>
      <c r="N746" s="9">
        <v>2</v>
      </c>
      <c r="O746" s="9">
        <v>50</v>
      </c>
      <c r="P746" s="9">
        <v>52</v>
      </c>
      <c r="Q746" s="13" t="s">
        <v>98</v>
      </c>
      <c r="R746" s="13" t="s">
        <v>79</v>
      </c>
      <c r="S746" s="9" t="s">
        <v>80</v>
      </c>
      <c r="T746" s="13" t="s">
        <v>81</v>
      </c>
      <c r="U746" s="13" t="s">
        <v>91</v>
      </c>
      <c r="V746" s="11" t="s">
        <v>87</v>
      </c>
      <c r="W746" s="15" t="s">
        <v>84</v>
      </c>
      <c r="X746" s="9" t="s">
        <v>85</v>
      </c>
      <c r="Y746" s="13" t="s">
        <v>99</v>
      </c>
      <c r="Z746">
        <f t="shared" si="67"/>
        <v>161</v>
      </c>
      <c r="AA746" s="39">
        <f t="shared" si="68"/>
        <v>68.369942196531795</v>
      </c>
      <c r="AB746" s="39">
        <f t="shared" si="69"/>
        <v>3633.2431666463963</v>
      </c>
      <c r="AC746">
        <f t="shared" si="72"/>
        <v>0.99988619987272043</v>
      </c>
      <c r="AD746">
        <f t="shared" si="70"/>
        <v>0.99983775869979896</v>
      </c>
      <c r="AE746">
        <f t="shared" si="71"/>
        <v>11071</v>
      </c>
    </row>
    <row r="747" spans="1:31">
      <c r="A747" s="10">
        <v>746</v>
      </c>
      <c r="B747" s="31">
        <v>40577</v>
      </c>
      <c r="C747" s="10">
        <v>1</v>
      </c>
      <c r="D747" s="10">
        <v>0</v>
      </c>
      <c r="E747" s="10">
        <v>2</v>
      </c>
      <c r="F747" s="10">
        <v>11</v>
      </c>
      <c r="G747" s="10" t="b">
        <v>0</v>
      </c>
      <c r="H747" s="10">
        <v>4</v>
      </c>
      <c r="I747" s="10">
        <v>1</v>
      </c>
      <c r="J747" s="10">
        <v>0.18</v>
      </c>
      <c r="K747" s="10">
        <v>0.13639999999999999</v>
      </c>
      <c r="L747" s="10">
        <v>0.43</v>
      </c>
      <c r="M747" s="10">
        <v>0.44779999999999998</v>
      </c>
      <c r="N747" s="10">
        <v>9</v>
      </c>
      <c r="O747" s="10">
        <v>55</v>
      </c>
      <c r="P747" s="10">
        <v>64</v>
      </c>
      <c r="Q747" s="13" t="s">
        <v>98</v>
      </c>
      <c r="R747" s="13" t="s">
        <v>79</v>
      </c>
      <c r="S747" s="10" t="s">
        <v>80</v>
      </c>
      <c r="T747" s="13" t="s">
        <v>81</v>
      </c>
      <c r="U747" s="13" t="s">
        <v>91</v>
      </c>
      <c r="V747" s="11" t="s">
        <v>87</v>
      </c>
      <c r="W747" s="15" t="s">
        <v>84</v>
      </c>
      <c r="X747" s="10" t="s">
        <v>85</v>
      </c>
      <c r="Y747" s="13" t="s">
        <v>99</v>
      </c>
      <c r="Z747">
        <f t="shared" si="67"/>
        <v>160</v>
      </c>
      <c r="AA747" s="39">
        <f t="shared" si="68"/>
        <v>68.465116279069761</v>
      </c>
      <c r="AB747" s="39">
        <f t="shared" si="69"/>
        <v>3640.3290359459243</v>
      </c>
      <c r="AC747">
        <f t="shared" si="72"/>
        <v>0.9998861979476632</v>
      </c>
      <c r="AD747">
        <f t="shared" si="70"/>
        <v>0.99983775595260538</v>
      </c>
      <c r="AE747">
        <f t="shared" si="71"/>
        <v>11019</v>
      </c>
    </row>
    <row r="748" spans="1:31">
      <c r="A748" s="9">
        <v>747</v>
      </c>
      <c r="B748" s="30">
        <v>40577</v>
      </c>
      <c r="C748" s="9">
        <v>1</v>
      </c>
      <c r="D748" s="9">
        <v>0</v>
      </c>
      <c r="E748" s="9">
        <v>2</v>
      </c>
      <c r="F748" s="9">
        <v>12</v>
      </c>
      <c r="G748" s="9" t="b">
        <v>0</v>
      </c>
      <c r="H748" s="9">
        <v>4</v>
      </c>
      <c r="I748" s="9">
        <v>1</v>
      </c>
      <c r="J748" s="9">
        <v>0.2</v>
      </c>
      <c r="K748" s="9">
        <v>0.18179999999999999</v>
      </c>
      <c r="L748" s="9">
        <v>0.4</v>
      </c>
      <c r="M748" s="9">
        <v>0.35820000000000002</v>
      </c>
      <c r="N748" s="9">
        <v>2</v>
      </c>
      <c r="O748" s="9">
        <v>67</v>
      </c>
      <c r="P748" s="9">
        <v>69</v>
      </c>
      <c r="Q748" s="13" t="s">
        <v>98</v>
      </c>
      <c r="R748" s="13" t="s">
        <v>79</v>
      </c>
      <c r="S748" s="9" t="s">
        <v>80</v>
      </c>
      <c r="T748" s="13" t="s">
        <v>81</v>
      </c>
      <c r="U748" s="11" t="s">
        <v>92</v>
      </c>
      <c r="V748" s="13" t="s">
        <v>93</v>
      </c>
      <c r="W748" s="15" t="s">
        <v>84</v>
      </c>
      <c r="X748" s="9" t="s">
        <v>85</v>
      </c>
      <c r="Y748" s="13" t="s">
        <v>99</v>
      </c>
      <c r="Z748">
        <f t="shared" si="67"/>
        <v>159</v>
      </c>
      <c r="AA748" s="39">
        <f t="shared" si="68"/>
        <v>68.491228070175438</v>
      </c>
      <c r="AB748" s="39">
        <f t="shared" si="69"/>
        <v>3647.4595819523788</v>
      </c>
      <c r="AC748">
        <f t="shared" si="72"/>
        <v>0.99988621616353901</v>
      </c>
      <c r="AD748">
        <f t="shared" si="70"/>
        <v>0.99983777648670513</v>
      </c>
      <c r="AE748">
        <f t="shared" si="71"/>
        <v>10955</v>
      </c>
    </row>
    <row r="749" spans="1:31">
      <c r="A749" s="10">
        <v>748</v>
      </c>
      <c r="B749" s="31">
        <v>40577</v>
      </c>
      <c r="C749" s="10">
        <v>1</v>
      </c>
      <c r="D749" s="10">
        <v>0</v>
      </c>
      <c r="E749" s="10">
        <v>2</v>
      </c>
      <c r="F749" s="10">
        <v>13</v>
      </c>
      <c r="G749" s="10" t="b">
        <v>0</v>
      </c>
      <c r="H749" s="10">
        <v>4</v>
      </c>
      <c r="I749" s="10">
        <v>1</v>
      </c>
      <c r="J749" s="10">
        <v>0.2</v>
      </c>
      <c r="K749" s="10">
        <v>0.16669999999999999</v>
      </c>
      <c r="L749" s="10">
        <v>0.4</v>
      </c>
      <c r="M749" s="10">
        <v>0.41789999999999999</v>
      </c>
      <c r="N749" s="10">
        <v>4</v>
      </c>
      <c r="O749" s="10">
        <v>47</v>
      </c>
      <c r="P749" s="10">
        <v>51</v>
      </c>
      <c r="Q749" s="13" t="s">
        <v>98</v>
      </c>
      <c r="R749" s="13" t="s">
        <v>79</v>
      </c>
      <c r="S749" s="10" t="s">
        <v>80</v>
      </c>
      <c r="T749" s="13" t="s">
        <v>81</v>
      </c>
      <c r="U749" s="11" t="s">
        <v>92</v>
      </c>
      <c r="V749" s="11" t="s">
        <v>87</v>
      </c>
      <c r="W749" s="15" t="s">
        <v>84</v>
      </c>
      <c r="X749" s="10" t="s">
        <v>85</v>
      </c>
      <c r="Y749" s="13" t="s">
        <v>99</v>
      </c>
      <c r="Z749">
        <f t="shared" si="67"/>
        <v>158</v>
      </c>
      <c r="AA749" s="39">
        <f t="shared" si="68"/>
        <v>68.488235294117644</v>
      </c>
      <c r="AB749" s="39">
        <f t="shared" si="69"/>
        <v>3654.6334285499106</v>
      </c>
      <c r="AC749">
        <f t="shared" si="72"/>
        <v>0.99988623237182139</v>
      </c>
      <c r="AD749">
        <f t="shared" si="70"/>
        <v>0.9998378365505467</v>
      </c>
      <c r="AE749">
        <f t="shared" si="71"/>
        <v>10886</v>
      </c>
    </row>
    <row r="750" spans="1:31">
      <c r="A750" s="9">
        <v>749</v>
      </c>
      <c r="B750" s="30">
        <v>40577</v>
      </c>
      <c r="C750" s="9">
        <v>1</v>
      </c>
      <c r="D750" s="9">
        <v>0</v>
      </c>
      <c r="E750" s="9">
        <v>2</v>
      </c>
      <c r="F750" s="9">
        <v>14</v>
      </c>
      <c r="G750" s="9" t="b">
        <v>0</v>
      </c>
      <c r="H750" s="9">
        <v>4</v>
      </c>
      <c r="I750" s="9">
        <v>1</v>
      </c>
      <c r="J750" s="9">
        <v>0.22</v>
      </c>
      <c r="K750" s="9">
        <v>0.19700000000000001</v>
      </c>
      <c r="L750" s="9">
        <v>0.37</v>
      </c>
      <c r="M750" s="9">
        <v>0.3881</v>
      </c>
      <c r="N750" s="9">
        <v>4</v>
      </c>
      <c r="O750" s="9">
        <v>43</v>
      </c>
      <c r="P750" s="9">
        <v>47</v>
      </c>
      <c r="Q750" s="13" t="s">
        <v>98</v>
      </c>
      <c r="R750" s="13" t="s">
        <v>79</v>
      </c>
      <c r="S750" s="9" t="s">
        <v>80</v>
      </c>
      <c r="T750" s="13" t="s">
        <v>81</v>
      </c>
      <c r="U750" s="13" t="s">
        <v>94</v>
      </c>
      <c r="V750" s="11" t="s">
        <v>87</v>
      </c>
      <c r="W750" s="15" t="s">
        <v>84</v>
      </c>
      <c r="X750" s="9" t="s">
        <v>85</v>
      </c>
      <c r="Y750" s="13" t="s">
        <v>99</v>
      </c>
      <c r="Z750">
        <f t="shared" si="67"/>
        <v>157</v>
      </c>
      <c r="AA750" s="39">
        <f t="shared" si="68"/>
        <v>68.591715976331358</v>
      </c>
      <c r="AB750" s="39">
        <f t="shared" si="69"/>
        <v>3661.8451729311078</v>
      </c>
      <c r="AC750">
        <f t="shared" si="72"/>
        <v>0.99988623758960071</v>
      </c>
      <c r="AD750">
        <f t="shared" si="70"/>
        <v>0.99983783468445231</v>
      </c>
      <c r="AE750">
        <f t="shared" si="71"/>
        <v>10835</v>
      </c>
    </row>
    <row r="751" spans="1:31">
      <c r="A751" s="10">
        <v>750</v>
      </c>
      <c r="B751" s="31">
        <v>40577</v>
      </c>
      <c r="C751" s="10">
        <v>1</v>
      </c>
      <c r="D751" s="10">
        <v>0</v>
      </c>
      <c r="E751" s="10">
        <v>2</v>
      </c>
      <c r="F751" s="10">
        <v>15</v>
      </c>
      <c r="G751" s="10" t="b">
        <v>0</v>
      </c>
      <c r="H751" s="10">
        <v>4</v>
      </c>
      <c r="I751" s="10">
        <v>1</v>
      </c>
      <c r="J751" s="10">
        <v>0.22</v>
      </c>
      <c r="K751" s="10">
        <v>0.19700000000000001</v>
      </c>
      <c r="L751" s="10">
        <v>0.37</v>
      </c>
      <c r="M751" s="10">
        <v>0.32840000000000003</v>
      </c>
      <c r="N751" s="10">
        <v>4</v>
      </c>
      <c r="O751" s="10">
        <v>56</v>
      </c>
      <c r="P751" s="10">
        <v>60</v>
      </c>
      <c r="Q751" s="13" t="s">
        <v>98</v>
      </c>
      <c r="R751" s="13" t="s">
        <v>79</v>
      </c>
      <c r="S751" s="10" t="s">
        <v>80</v>
      </c>
      <c r="T751" s="13" t="s">
        <v>81</v>
      </c>
      <c r="U751" s="13" t="s">
        <v>94</v>
      </c>
      <c r="V751" s="11" t="s">
        <v>87</v>
      </c>
      <c r="W751" s="15" t="s">
        <v>84</v>
      </c>
      <c r="X751" s="10" t="s">
        <v>85</v>
      </c>
      <c r="Y751" s="13" t="s">
        <v>99</v>
      </c>
      <c r="Z751">
        <f t="shared" si="67"/>
        <v>156</v>
      </c>
      <c r="AA751" s="39">
        <f t="shared" si="68"/>
        <v>68.720238095238102</v>
      </c>
      <c r="AB751" s="39">
        <f t="shared" si="69"/>
        <v>3669.0987034715668</v>
      </c>
      <c r="AC751">
        <f t="shared" si="72"/>
        <v>0.99988627676217934</v>
      </c>
      <c r="AD751">
        <f t="shared" si="70"/>
        <v>0.99983783208487831</v>
      </c>
      <c r="AE751">
        <f t="shared" si="71"/>
        <v>10788</v>
      </c>
    </row>
    <row r="752" spans="1:31">
      <c r="A752" s="9">
        <v>751</v>
      </c>
      <c r="B752" s="30">
        <v>40577</v>
      </c>
      <c r="C752" s="9">
        <v>1</v>
      </c>
      <c r="D752" s="9">
        <v>0</v>
      </c>
      <c r="E752" s="9">
        <v>2</v>
      </c>
      <c r="F752" s="9">
        <v>16</v>
      </c>
      <c r="G752" s="9" t="b">
        <v>0</v>
      </c>
      <c r="H752" s="9">
        <v>4</v>
      </c>
      <c r="I752" s="9">
        <v>1</v>
      </c>
      <c r="J752" s="9">
        <v>0.22</v>
      </c>
      <c r="K752" s="9">
        <v>0.21210000000000001</v>
      </c>
      <c r="L752" s="9">
        <v>0.37</v>
      </c>
      <c r="M752" s="9">
        <v>0.25369999999999998</v>
      </c>
      <c r="N752" s="9">
        <v>5</v>
      </c>
      <c r="O752" s="9">
        <v>73</v>
      </c>
      <c r="P752" s="9">
        <v>78</v>
      </c>
      <c r="Q752" s="13" t="s">
        <v>98</v>
      </c>
      <c r="R752" s="13" t="s">
        <v>79</v>
      </c>
      <c r="S752" s="9" t="s">
        <v>80</v>
      </c>
      <c r="T752" s="13" t="s">
        <v>81</v>
      </c>
      <c r="U752" s="13" t="s">
        <v>94</v>
      </c>
      <c r="V752" s="13" t="s">
        <v>93</v>
      </c>
      <c r="W752" s="15" t="s">
        <v>84</v>
      </c>
      <c r="X752" s="9" t="s">
        <v>85</v>
      </c>
      <c r="Y752" s="13" t="s">
        <v>99</v>
      </c>
      <c r="Z752">
        <f t="shared" si="67"/>
        <v>155</v>
      </c>
      <c r="AA752" s="39">
        <f t="shared" si="68"/>
        <v>68.772455089820355</v>
      </c>
      <c r="AB752" s="39">
        <f t="shared" si="69"/>
        <v>3676.3989638658568</v>
      </c>
      <c r="AC752">
        <f t="shared" si="72"/>
        <v>0.99988627693711118</v>
      </c>
      <c r="AD752">
        <f t="shared" si="70"/>
        <v>0.9998378611028077</v>
      </c>
      <c r="AE752">
        <f t="shared" si="71"/>
        <v>10728</v>
      </c>
    </row>
    <row r="753" spans="1:31">
      <c r="A753" s="10">
        <v>752</v>
      </c>
      <c r="B753" s="31">
        <v>40577</v>
      </c>
      <c r="C753" s="10">
        <v>1</v>
      </c>
      <c r="D753" s="10">
        <v>0</v>
      </c>
      <c r="E753" s="10">
        <v>2</v>
      </c>
      <c r="F753" s="10">
        <v>17</v>
      </c>
      <c r="G753" s="10" t="b">
        <v>0</v>
      </c>
      <c r="H753" s="10">
        <v>4</v>
      </c>
      <c r="I753" s="10">
        <v>1</v>
      </c>
      <c r="J753" s="10">
        <v>0.2</v>
      </c>
      <c r="K753" s="10">
        <v>0.19700000000000001</v>
      </c>
      <c r="L753" s="10">
        <v>0.4</v>
      </c>
      <c r="M753" s="10">
        <v>0.19400000000000001</v>
      </c>
      <c r="N753" s="10">
        <v>5</v>
      </c>
      <c r="O753" s="10">
        <v>170</v>
      </c>
      <c r="P753" s="10">
        <v>175</v>
      </c>
      <c r="Q753" s="13" t="s">
        <v>98</v>
      </c>
      <c r="R753" s="13" t="s">
        <v>79</v>
      </c>
      <c r="S753" s="10" t="s">
        <v>80</v>
      </c>
      <c r="T753" s="13" t="s">
        <v>81</v>
      </c>
      <c r="U753" s="15" t="s">
        <v>95</v>
      </c>
      <c r="V753" s="13" t="s">
        <v>93</v>
      </c>
      <c r="W753" s="15" t="s">
        <v>84</v>
      </c>
      <c r="X753" s="10" t="s">
        <v>85</v>
      </c>
      <c r="Y753" s="13" t="s">
        <v>99</v>
      </c>
      <c r="Z753">
        <f t="shared" si="67"/>
        <v>154</v>
      </c>
      <c r="AA753" s="39">
        <f t="shared" si="68"/>
        <v>68.716867469879517</v>
      </c>
      <c r="AB753" s="39">
        <f t="shared" si="69"/>
        <v>3683.7474792362082</v>
      </c>
      <c r="AC753">
        <f t="shared" si="72"/>
        <v>0.99988630549321922</v>
      </c>
      <c r="AD753">
        <f t="shared" si="70"/>
        <v>0.99983801736655231</v>
      </c>
      <c r="AE753">
        <f t="shared" si="71"/>
        <v>10650</v>
      </c>
    </row>
    <row r="754" spans="1:31">
      <c r="A754" s="9">
        <v>753</v>
      </c>
      <c r="B754" s="30">
        <v>40577</v>
      </c>
      <c r="C754" s="9">
        <v>1</v>
      </c>
      <c r="D754" s="9">
        <v>0</v>
      </c>
      <c r="E754" s="9">
        <v>2</v>
      </c>
      <c r="F754" s="9">
        <v>18</v>
      </c>
      <c r="G754" s="9" t="b">
        <v>0</v>
      </c>
      <c r="H754" s="9">
        <v>4</v>
      </c>
      <c r="I754" s="9">
        <v>1</v>
      </c>
      <c r="J754" s="9">
        <v>0.2</v>
      </c>
      <c r="K754" s="9">
        <v>0.21210000000000001</v>
      </c>
      <c r="L754" s="9">
        <v>0.4</v>
      </c>
      <c r="M754" s="9">
        <v>0.16420000000000001</v>
      </c>
      <c r="N754" s="9">
        <v>2</v>
      </c>
      <c r="O754" s="9">
        <v>145</v>
      </c>
      <c r="P754" s="9">
        <v>147</v>
      </c>
      <c r="Q754" s="13" t="s">
        <v>98</v>
      </c>
      <c r="R754" s="13" t="s">
        <v>79</v>
      </c>
      <c r="S754" s="9" t="s">
        <v>80</v>
      </c>
      <c r="T754" s="13" t="s">
        <v>81</v>
      </c>
      <c r="U754" s="15" t="s">
        <v>95</v>
      </c>
      <c r="V754" s="13" t="s">
        <v>93</v>
      </c>
      <c r="W754" s="15" t="s">
        <v>84</v>
      </c>
      <c r="X754" s="9" t="s">
        <v>85</v>
      </c>
      <c r="Y754" s="13" t="s">
        <v>99</v>
      </c>
      <c r="Z754">
        <f t="shared" si="67"/>
        <v>153</v>
      </c>
      <c r="AA754" s="39">
        <f t="shared" si="68"/>
        <v>68.072727272727278</v>
      </c>
      <c r="AB754" s="39">
        <f t="shared" si="69"/>
        <v>3691.1585436707455</v>
      </c>
      <c r="AC754">
        <f t="shared" si="72"/>
        <v>0.99988833811718725</v>
      </c>
      <c r="AD754">
        <f t="shared" si="70"/>
        <v>0.99984040574131761</v>
      </c>
      <c r="AE754">
        <f t="shared" si="71"/>
        <v>10475</v>
      </c>
    </row>
    <row r="755" spans="1:31">
      <c r="A755" s="10">
        <v>754</v>
      </c>
      <c r="B755" s="31">
        <v>40577</v>
      </c>
      <c r="C755" s="10">
        <v>1</v>
      </c>
      <c r="D755" s="10">
        <v>0</v>
      </c>
      <c r="E755" s="10">
        <v>2</v>
      </c>
      <c r="F755" s="10">
        <v>19</v>
      </c>
      <c r="G755" s="10" t="b">
        <v>0</v>
      </c>
      <c r="H755" s="10">
        <v>4</v>
      </c>
      <c r="I755" s="10">
        <v>1</v>
      </c>
      <c r="J755" s="10">
        <v>0.2</v>
      </c>
      <c r="K755" s="10">
        <v>0.2576</v>
      </c>
      <c r="L755" s="10">
        <v>0.4</v>
      </c>
      <c r="M755" s="10">
        <v>0</v>
      </c>
      <c r="N755" s="10">
        <v>4</v>
      </c>
      <c r="O755" s="10">
        <v>92</v>
      </c>
      <c r="P755" s="10">
        <v>96</v>
      </c>
      <c r="Q755" s="13" t="s">
        <v>98</v>
      </c>
      <c r="R755" s="13" t="s">
        <v>79</v>
      </c>
      <c r="S755" s="10" t="s">
        <v>80</v>
      </c>
      <c r="T755" s="13" t="s">
        <v>81</v>
      </c>
      <c r="U755" s="15" t="s">
        <v>95</v>
      </c>
      <c r="V755" s="13" t="s">
        <v>93</v>
      </c>
      <c r="W755" s="15" t="s">
        <v>84</v>
      </c>
      <c r="X755" s="10" t="s">
        <v>85</v>
      </c>
      <c r="Y755" s="13" t="s">
        <v>99</v>
      </c>
      <c r="Z755">
        <f t="shared" si="67"/>
        <v>152</v>
      </c>
      <c r="AA755" s="39">
        <f t="shared" si="68"/>
        <v>67.591463414634148</v>
      </c>
      <c r="AB755" s="39">
        <f t="shared" si="69"/>
        <v>3698.6102696088678</v>
      </c>
      <c r="AC755">
        <f t="shared" si="72"/>
        <v>0.99988952617323756</v>
      </c>
      <c r="AD755">
        <f t="shared" si="70"/>
        <v>0.99984187020232573</v>
      </c>
      <c r="AE755">
        <f t="shared" si="71"/>
        <v>10328</v>
      </c>
    </row>
    <row r="756" spans="1:31">
      <c r="A756" s="9">
        <v>755</v>
      </c>
      <c r="B756" s="30">
        <v>40577</v>
      </c>
      <c r="C756" s="9">
        <v>1</v>
      </c>
      <c r="D756" s="9">
        <v>0</v>
      </c>
      <c r="E756" s="9">
        <v>2</v>
      </c>
      <c r="F756" s="9">
        <v>20</v>
      </c>
      <c r="G756" s="9" t="b">
        <v>0</v>
      </c>
      <c r="H756" s="9">
        <v>4</v>
      </c>
      <c r="I756" s="9">
        <v>1</v>
      </c>
      <c r="J756" s="9">
        <v>0.2</v>
      </c>
      <c r="K756" s="9">
        <v>0.2273</v>
      </c>
      <c r="L756" s="9">
        <v>0.47</v>
      </c>
      <c r="M756" s="9">
        <v>8.9599999999999999E-2</v>
      </c>
      <c r="N756" s="9">
        <v>1</v>
      </c>
      <c r="O756" s="9">
        <v>108</v>
      </c>
      <c r="P756" s="9">
        <v>109</v>
      </c>
      <c r="Q756" s="13" t="s">
        <v>98</v>
      </c>
      <c r="R756" s="13" t="s">
        <v>79</v>
      </c>
      <c r="S756" s="9" t="s">
        <v>80</v>
      </c>
      <c r="T756" s="13" t="s">
        <v>81</v>
      </c>
      <c r="U756" s="16" t="s">
        <v>97</v>
      </c>
      <c r="V756" s="13" t="s">
        <v>93</v>
      </c>
      <c r="W756" s="15" t="s">
        <v>84</v>
      </c>
      <c r="X756" s="9" t="s">
        <v>85</v>
      </c>
      <c r="Y756" s="13" t="s">
        <v>99</v>
      </c>
      <c r="Z756">
        <f t="shared" si="67"/>
        <v>151</v>
      </c>
      <c r="AA756" s="39">
        <f t="shared" si="68"/>
        <v>67.417177914110425</v>
      </c>
      <c r="AB756" s="39">
        <f t="shared" si="69"/>
        <v>3706.0973017891506</v>
      </c>
      <c r="AC756">
        <f t="shared" si="72"/>
        <v>0.99988974860615043</v>
      </c>
      <c r="AD756">
        <f t="shared" si="70"/>
        <v>0.99984222086930974</v>
      </c>
      <c r="AE756">
        <f t="shared" si="71"/>
        <v>10232</v>
      </c>
    </row>
    <row r="757" spans="1:31">
      <c r="A757" s="10">
        <v>756</v>
      </c>
      <c r="B757" s="31">
        <v>40577</v>
      </c>
      <c r="C757" s="10">
        <v>1</v>
      </c>
      <c r="D757" s="10">
        <v>0</v>
      </c>
      <c r="E757" s="10">
        <v>2</v>
      </c>
      <c r="F757" s="10">
        <v>21</v>
      </c>
      <c r="G757" s="10" t="b">
        <v>0</v>
      </c>
      <c r="H757" s="10">
        <v>4</v>
      </c>
      <c r="I757" s="10">
        <v>1</v>
      </c>
      <c r="J757" s="10">
        <v>0.18</v>
      </c>
      <c r="K757" s="10">
        <v>0.21210000000000001</v>
      </c>
      <c r="L757" s="10">
        <v>0.55000000000000004</v>
      </c>
      <c r="M757" s="10">
        <v>0.1045</v>
      </c>
      <c r="N757" s="10">
        <v>1</v>
      </c>
      <c r="O757" s="10">
        <v>53</v>
      </c>
      <c r="P757" s="10">
        <v>54</v>
      </c>
      <c r="Q757" s="13" t="s">
        <v>98</v>
      </c>
      <c r="R757" s="13" t="s">
        <v>79</v>
      </c>
      <c r="S757" s="10" t="s">
        <v>80</v>
      </c>
      <c r="T757" s="13" t="s">
        <v>81</v>
      </c>
      <c r="U757" s="16" t="s">
        <v>97</v>
      </c>
      <c r="V757" s="11" t="s">
        <v>87</v>
      </c>
      <c r="W757" s="15" t="s">
        <v>84</v>
      </c>
      <c r="X757" s="10" t="s">
        <v>85</v>
      </c>
      <c r="Y757" s="13" t="s">
        <v>99</v>
      </c>
      <c r="Z757">
        <f t="shared" si="67"/>
        <v>150</v>
      </c>
      <c r="AA757" s="39">
        <f t="shared" si="68"/>
        <v>67.160493827160494</v>
      </c>
      <c r="AB757" s="39">
        <f t="shared" si="69"/>
        <v>3713.6328272787073</v>
      </c>
      <c r="AC757">
        <f t="shared" si="72"/>
        <v>0.99989014869199877</v>
      </c>
      <c r="AD757">
        <f t="shared" si="70"/>
        <v>0.99984266713212244</v>
      </c>
      <c r="AE757">
        <f t="shared" si="71"/>
        <v>10123</v>
      </c>
    </row>
    <row r="758" spans="1:31">
      <c r="A758" s="9">
        <v>757</v>
      </c>
      <c r="B758" s="30">
        <v>40577</v>
      </c>
      <c r="C758" s="9">
        <v>1</v>
      </c>
      <c r="D758" s="9">
        <v>0</v>
      </c>
      <c r="E758" s="9">
        <v>2</v>
      </c>
      <c r="F758" s="9">
        <v>22</v>
      </c>
      <c r="G758" s="9" t="b">
        <v>0</v>
      </c>
      <c r="H758" s="9">
        <v>4</v>
      </c>
      <c r="I758" s="9">
        <v>1</v>
      </c>
      <c r="J758" s="9">
        <v>0.18</v>
      </c>
      <c r="K758" s="9">
        <v>0.21210000000000001</v>
      </c>
      <c r="L758" s="9">
        <v>0.51</v>
      </c>
      <c r="M758" s="9">
        <v>8.9599999999999999E-2</v>
      </c>
      <c r="N758" s="9">
        <v>2</v>
      </c>
      <c r="O758" s="9">
        <v>39</v>
      </c>
      <c r="P758" s="9">
        <v>41</v>
      </c>
      <c r="Q758" s="13" t="s">
        <v>98</v>
      </c>
      <c r="R758" s="13" t="s">
        <v>79</v>
      </c>
      <c r="S758" s="9" t="s">
        <v>80</v>
      </c>
      <c r="T758" s="13" t="s">
        <v>81</v>
      </c>
      <c r="U758" s="16" t="s">
        <v>97</v>
      </c>
      <c r="V758" s="11" t="s">
        <v>87</v>
      </c>
      <c r="W758" s="15" t="s">
        <v>84</v>
      </c>
      <c r="X758" s="9" t="s">
        <v>85</v>
      </c>
      <c r="Y758" s="13" t="s">
        <v>99</v>
      </c>
      <c r="Z758">
        <f t="shared" si="67"/>
        <v>149</v>
      </c>
      <c r="AA758" s="39">
        <f t="shared" si="68"/>
        <v>67.242236024844715</v>
      </c>
      <c r="AB758" s="39">
        <f t="shared" si="69"/>
        <v>3721.201138514557</v>
      </c>
      <c r="AC758">
        <f t="shared" si="72"/>
        <v>0.99989014789510555</v>
      </c>
      <c r="AD758">
        <f t="shared" si="70"/>
        <v>0.9998426734950856</v>
      </c>
      <c r="AE758">
        <f t="shared" si="71"/>
        <v>10069</v>
      </c>
    </row>
    <row r="759" spans="1:31">
      <c r="A759" s="10">
        <v>758</v>
      </c>
      <c r="B759" s="31">
        <v>40577</v>
      </c>
      <c r="C759" s="10">
        <v>1</v>
      </c>
      <c r="D759" s="10">
        <v>0</v>
      </c>
      <c r="E759" s="10">
        <v>2</v>
      </c>
      <c r="F759" s="10">
        <v>23</v>
      </c>
      <c r="G759" s="10" t="b">
        <v>0</v>
      </c>
      <c r="H759" s="10">
        <v>4</v>
      </c>
      <c r="I759" s="10">
        <v>1</v>
      </c>
      <c r="J759" s="10">
        <v>0.2</v>
      </c>
      <c r="K759" s="10">
        <v>0.2273</v>
      </c>
      <c r="L759" s="10">
        <v>0.47</v>
      </c>
      <c r="M759" s="10">
        <v>0.1045</v>
      </c>
      <c r="N759" s="10">
        <v>4</v>
      </c>
      <c r="O759" s="10">
        <v>34</v>
      </c>
      <c r="P759" s="10">
        <v>38</v>
      </c>
      <c r="Q759" s="13" t="s">
        <v>98</v>
      </c>
      <c r="R759" s="13" t="s">
        <v>79</v>
      </c>
      <c r="S759" s="10" t="s">
        <v>80</v>
      </c>
      <c r="T759" s="13" t="s">
        <v>81</v>
      </c>
      <c r="U759" s="16" t="s">
        <v>97</v>
      </c>
      <c r="V759" s="11" t="s">
        <v>87</v>
      </c>
      <c r="W759" s="15" t="s">
        <v>84</v>
      </c>
      <c r="X759" s="10" t="s">
        <v>85</v>
      </c>
      <c r="Y759" s="13" t="s">
        <v>99</v>
      </c>
      <c r="Z759">
        <f t="shared" si="67"/>
        <v>148</v>
      </c>
      <c r="AA759" s="39">
        <f t="shared" si="68"/>
        <v>67.40625</v>
      </c>
      <c r="AB759" s="39">
        <f t="shared" si="69"/>
        <v>3728.8122407127503</v>
      </c>
      <c r="AC759">
        <f t="shared" si="72"/>
        <v>0.99989016096845618</v>
      </c>
      <c r="AD759">
        <f t="shared" si="70"/>
        <v>0.99984271278331571</v>
      </c>
      <c r="AE759">
        <f t="shared" si="71"/>
        <v>10028</v>
      </c>
    </row>
    <row r="760" spans="1:31">
      <c r="A760" s="9">
        <v>759</v>
      </c>
      <c r="B760" s="30">
        <v>40578</v>
      </c>
      <c r="C760" s="9">
        <v>1</v>
      </c>
      <c r="D760" s="9">
        <v>0</v>
      </c>
      <c r="E760" s="9">
        <v>2</v>
      </c>
      <c r="F760" s="9">
        <v>0</v>
      </c>
      <c r="G760" s="9" t="b">
        <v>0</v>
      </c>
      <c r="H760" s="9">
        <v>5</v>
      </c>
      <c r="I760" s="9">
        <v>2</v>
      </c>
      <c r="J760" s="9">
        <v>0.2</v>
      </c>
      <c r="K760" s="9">
        <v>0.2576</v>
      </c>
      <c r="L760" s="9">
        <v>0.44</v>
      </c>
      <c r="M760" s="9">
        <v>0</v>
      </c>
      <c r="N760" s="9">
        <v>3</v>
      </c>
      <c r="O760" s="9">
        <v>10</v>
      </c>
      <c r="P760" s="9">
        <v>13</v>
      </c>
      <c r="Q760" s="13" t="s">
        <v>98</v>
      </c>
      <c r="R760" s="13" t="s">
        <v>79</v>
      </c>
      <c r="S760" s="9" t="s">
        <v>80</v>
      </c>
      <c r="T760" s="11" t="s">
        <v>88</v>
      </c>
      <c r="U760" s="14" t="s">
        <v>82</v>
      </c>
      <c r="V760" s="12" t="s">
        <v>83</v>
      </c>
      <c r="W760" s="15" t="s">
        <v>84</v>
      </c>
      <c r="X760" s="9" t="s">
        <v>85</v>
      </c>
      <c r="Y760" s="13" t="s">
        <v>99</v>
      </c>
      <c r="Z760">
        <f t="shared" si="67"/>
        <v>147</v>
      </c>
      <c r="AA760" s="39">
        <f t="shared" si="68"/>
        <v>67.591194968553452</v>
      </c>
      <c r="AB760" s="39">
        <f t="shared" si="69"/>
        <v>3736.4693572171459</v>
      </c>
      <c r="AC760">
        <f t="shared" si="72"/>
        <v>0.99989021148995882</v>
      </c>
      <c r="AD760">
        <f t="shared" si="70"/>
        <v>0.99984274741165424</v>
      </c>
      <c r="AE760">
        <f t="shared" si="71"/>
        <v>9990</v>
      </c>
    </row>
    <row r="761" spans="1:31">
      <c r="A761" s="10">
        <v>760</v>
      </c>
      <c r="B761" s="31">
        <v>40578</v>
      </c>
      <c r="C761" s="10">
        <v>1</v>
      </c>
      <c r="D761" s="10">
        <v>0</v>
      </c>
      <c r="E761" s="10">
        <v>2</v>
      </c>
      <c r="F761" s="10">
        <v>1</v>
      </c>
      <c r="G761" s="10" t="b">
        <v>0</v>
      </c>
      <c r="H761" s="10">
        <v>5</v>
      </c>
      <c r="I761" s="10">
        <v>2</v>
      </c>
      <c r="J761" s="10">
        <v>0.16</v>
      </c>
      <c r="K761" s="10">
        <v>0.2273</v>
      </c>
      <c r="L761" s="10">
        <v>0.59</v>
      </c>
      <c r="M761" s="10">
        <v>0</v>
      </c>
      <c r="N761" s="10">
        <v>0</v>
      </c>
      <c r="O761" s="10">
        <v>7</v>
      </c>
      <c r="P761" s="10">
        <v>7</v>
      </c>
      <c r="Q761" s="13" t="s">
        <v>98</v>
      </c>
      <c r="R761" s="13" t="s">
        <v>79</v>
      </c>
      <c r="S761" s="10" t="s">
        <v>80</v>
      </c>
      <c r="T761" s="11" t="s">
        <v>88</v>
      </c>
      <c r="U761" s="14" t="s">
        <v>82</v>
      </c>
      <c r="V761" s="12" t="s">
        <v>83</v>
      </c>
      <c r="W761" s="15" t="s">
        <v>84</v>
      </c>
      <c r="X761" s="10" t="s">
        <v>85</v>
      </c>
      <c r="Y761" s="13" t="s">
        <v>99</v>
      </c>
      <c r="Z761">
        <f t="shared" si="67"/>
        <v>146</v>
      </c>
      <c r="AA761" s="39">
        <f t="shared" si="68"/>
        <v>67.591194968553452</v>
      </c>
      <c r="AB761" s="39">
        <f t="shared" si="69"/>
        <v>3744.1660790418496</v>
      </c>
      <c r="AC761">
        <f t="shared" si="72"/>
        <v>0.99989049554282594</v>
      </c>
      <c r="AD761">
        <f t="shared" si="70"/>
        <v>0.99984295848090354</v>
      </c>
      <c r="AE761">
        <f t="shared" si="71"/>
        <v>9977</v>
      </c>
    </row>
    <row r="762" spans="1:31">
      <c r="A762" s="9">
        <v>761</v>
      </c>
      <c r="B762" s="30">
        <v>40578</v>
      </c>
      <c r="C762" s="9">
        <v>1</v>
      </c>
      <c r="D762" s="9">
        <v>0</v>
      </c>
      <c r="E762" s="9">
        <v>2</v>
      </c>
      <c r="F762" s="9">
        <v>2</v>
      </c>
      <c r="G762" s="9" t="b">
        <v>0</v>
      </c>
      <c r="H762" s="9">
        <v>5</v>
      </c>
      <c r="I762" s="9">
        <v>2</v>
      </c>
      <c r="J762" s="9">
        <v>0.14000000000000001</v>
      </c>
      <c r="K762" s="9">
        <v>0.16669999999999999</v>
      </c>
      <c r="L762" s="9">
        <v>0.63</v>
      </c>
      <c r="M762" s="9">
        <v>0.1045</v>
      </c>
      <c r="N762" s="9">
        <v>0</v>
      </c>
      <c r="O762" s="9">
        <v>1</v>
      </c>
      <c r="P762" s="9">
        <v>1</v>
      </c>
      <c r="Q762" s="13" t="s">
        <v>98</v>
      </c>
      <c r="R762" s="13" t="s">
        <v>79</v>
      </c>
      <c r="S762" s="9" t="s">
        <v>80</v>
      </c>
      <c r="T762" s="11" t="s">
        <v>88</v>
      </c>
      <c r="U762" s="14" t="s">
        <v>82</v>
      </c>
      <c r="V762" s="12" t="s">
        <v>83</v>
      </c>
      <c r="W762" s="15" t="s">
        <v>84</v>
      </c>
      <c r="X762" s="9" t="s">
        <v>85</v>
      </c>
      <c r="Y762" s="13" t="s">
        <v>99</v>
      </c>
      <c r="Z762">
        <f t="shared" si="67"/>
        <v>145</v>
      </c>
      <c r="AA762" s="39">
        <f t="shared" si="68"/>
        <v>67.591194968553452</v>
      </c>
      <c r="AB762" s="39">
        <f t="shared" si="69"/>
        <v>3751.9085818697877</v>
      </c>
      <c r="AC762">
        <f t="shared" si="72"/>
        <v>0.99989071623528347</v>
      </c>
      <c r="AD762">
        <f t="shared" si="70"/>
        <v>0.99984347535034845</v>
      </c>
      <c r="AE762">
        <f t="shared" si="71"/>
        <v>9970</v>
      </c>
    </row>
    <row r="763" spans="1:31">
      <c r="A763" s="10">
        <v>762</v>
      </c>
      <c r="B763" s="31">
        <v>40578</v>
      </c>
      <c r="C763" s="10">
        <v>1</v>
      </c>
      <c r="D763" s="10">
        <v>0</v>
      </c>
      <c r="E763" s="10">
        <v>2</v>
      </c>
      <c r="F763" s="10">
        <v>3</v>
      </c>
      <c r="G763" s="10" t="b">
        <v>0</v>
      </c>
      <c r="H763" s="10">
        <v>5</v>
      </c>
      <c r="I763" s="10">
        <v>2</v>
      </c>
      <c r="J763" s="10">
        <v>0.14000000000000001</v>
      </c>
      <c r="K763" s="10">
        <v>0.16669999999999999</v>
      </c>
      <c r="L763" s="10">
        <v>0.63</v>
      </c>
      <c r="M763" s="10">
        <v>0.1045</v>
      </c>
      <c r="N763" s="10">
        <v>0</v>
      </c>
      <c r="O763" s="10">
        <v>1</v>
      </c>
      <c r="P763" s="10">
        <v>1</v>
      </c>
      <c r="Q763" s="13" t="s">
        <v>98</v>
      </c>
      <c r="R763" s="13" t="s">
        <v>79</v>
      </c>
      <c r="S763" s="10" t="s">
        <v>80</v>
      </c>
      <c r="T763" s="11" t="s">
        <v>88</v>
      </c>
      <c r="U763" s="14" t="s">
        <v>82</v>
      </c>
      <c r="V763" s="12" t="s">
        <v>83</v>
      </c>
      <c r="W763" s="15" t="s">
        <v>84</v>
      </c>
      <c r="X763" s="10" t="s">
        <v>85</v>
      </c>
      <c r="Y763" s="13" t="s">
        <v>99</v>
      </c>
      <c r="Z763">
        <f t="shared" si="67"/>
        <v>144</v>
      </c>
      <c r="AA763" s="39">
        <f t="shared" si="68"/>
        <v>67.591194968553452</v>
      </c>
      <c r="AB763" s="39">
        <f t="shared" si="69"/>
        <v>3759.697284089722</v>
      </c>
      <c r="AC763">
        <f t="shared" si="72"/>
        <v>0.99989094258681988</v>
      </c>
      <c r="AD763">
        <f t="shared" si="70"/>
        <v>0.99984418807871533</v>
      </c>
      <c r="AE763">
        <f t="shared" si="71"/>
        <v>9969</v>
      </c>
    </row>
    <row r="764" spans="1:31">
      <c r="A764" s="9">
        <v>763</v>
      </c>
      <c r="B764" s="30">
        <v>40578</v>
      </c>
      <c r="C764" s="9">
        <v>1</v>
      </c>
      <c r="D764" s="9">
        <v>0</v>
      </c>
      <c r="E764" s="9">
        <v>2</v>
      </c>
      <c r="F764" s="9">
        <v>5</v>
      </c>
      <c r="G764" s="9" t="b">
        <v>0</v>
      </c>
      <c r="H764" s="9">
        <v>5</v>
      </c>
      <c r="I764" s="9">
        <v>2</v>
      </c>
      <c r="J764" s="9">
        <v>0.14000000000000001</v>
      </c>
      <c r="K764" s="9">
        <v>0.1515</v>
      </c>
      <c r="L764" s="9">
        <v>0.63</v>
      </c>
      <c r="M764" s="9">
        <v>0.1343</v>
      </c>
      <c r="N764" s="9">
        <v>0</v>
      </c>
      <c r="O764" s="9">
        <v>7</v>
      </c>
      <c r="P764" s="9">
        <v>7</v>
      </c>
      <c r="Q764" s="13" t="s">
        <v>98</v>
      </c>
      <c r="R764" s="13" t="s">
        <v>79</v>
      </c>
      <c r="S764" s="9" t="s">
        <v>80</v>
      </c>
      <c r="T764" s="11" t="s">
        <v>88</v>
      </c>
      <c r="U764" s="15" t="s">
        <v>89</v>
      </c>
      <c r="V764" s="12" t="s">
        <v>83</v>
      </c>
      <c r="W764" s="15" t="s">
        <v>84</v>
      </c>
      <c r="X764" s="9" t="s">
        <v>85</v>
      </c>
      <c r="Y764" s="13" t="s">
        <v>99</v>
      </c>
      <c r="Z764">
        <f t="shared" si="67"/>
        <v>143</v>
      </c>
      <c r="AA764" s="39">
        <f t="shared" si="68"/>
        <v>67.591194968553452</v>
      </c>
      <c r="AB764" s="39">
        <f t="shared" si="69"/>
        <v>3767.5346938856278</v>
      </c>
      <c r="AC764">
        <f t="shared" si="72"/>
        <v>0.99989117085502799</v>
      </c>
      <c r="AD764">
        <f t="shared" si="70"/>
        <v>0.99984490683510985</v>
      </c>
      <c r="AE764">
        <f t="shared" si="71"/>
        <v>9968</v>
      </c>
    </row>
    <row r="765" spans="1:31">
      <c r="A765" s="10">
        <v>764</v>
      </c>
      <c r="B765" s="31">
        <v>40578</v>
      </c>
      <c r="C765" s="10">
        <v>1</v>
      </c>
      <c r="D765" s="10">
        <v>0</v>
      </c>
      <c r="E765" s="10">
        <v>2</v>
      </c>
      <c r="F765" s="10">
        <v>6</v>
      </c>
      <c r="G765" s="10" t="b">
        <v>0</v>
      </c>
      <c r="H765" s="10">
        <v>5</v>
      </c>
      <c r="I765" s="10">
        <v>2</v>
      </c>
      <c r="J765" s="10">
        <v>0.16</v>
      </c>
      <c r="K765" s="10">
        <v>0.2273</v>
      </c>
      <c r="L765" s="10">
        <v>0.55000000000000004</v>
      </c>
      <c r="M765" s="10">
        <v>0</v>
      </c>
      <c r="N765" s="10">
        <v>2</v>
      </c>
      <c r="O765" s="10">
        <v>26</v>
      </c>
      <c r="P765" s="10">
        <v>28</v>
      </c>
      <c r="Q765" s="13" t="s">
        <v>98</v>
      </c>
      <c r="R765" s="13" t="s">
        <v>79</v>
      </c>
      <c r="S765" s="10" t="s">
        <v>80</v>
      </c>
      <c r="T765" s="11" t="s">
        <v>88</v>
      </c>
      <c r="U765" s="15" t="s">
        <v>89</v>
      </c>
      <c r="V765" s="12" t="s">
        <v>83</v>
      </c>
      <c r="W765" s="15" t="s">
        <v>84</v>
      </c>
      <c r="X765" s="10" t="s">
        <v>85</v>
      </c>
      <c r="Y765" s="13" t="s">
        <v>99</v>
      </c>
      <c r="Z765">
        <f t="shared" si="67"/>
        <v>142</v>
      </c>
      <c r="AA765" s="39">
        <f t="shared" si="68"/>
        <v>67.591194968553452</v>
      </c>
      <c r="AB765" s="39">
        <f t="shared" si="69"/>
        <v>3775.4233779349665</v>
      </c>
      <c r="AC765">
        <f t="shared" si="72"/>
        <v>0.99989133586809342</v>
      </c>
      <c r="AD765">
        <f t="shared" si="70"/>
        <v>0.99984551227333229</v>
      </c>
      <c r="AE765">
        <f t="shared" si="71"/>
        <v>9961</v>
      </c>
    </row>
    <row r="766" spans="1:31">
      <c r="A766" s="9">
        <v>765</v>
      </c>
      <c r="B766" s="30">
        <v>40578</v>
      </c>
      <c r="C766" s="9">
        <v>1</v>
      </c>
      <c r="D766" s="9">
        <v>0</v>
      </c>
      <c r="E766" s="9">
        <v>2</v>
      </c>
      <c r="F766" s="9">
        <v>7</v>
      </c>
      <c r="G766" s="9" t="b">
        <v>0</v>
      </c>
      <c r="H766" s="9">
        <v>5</v>
      </c>
      <c r="I766" s="9">
        <v>1</v>
      </c>
      <c r="J766" s="9">
        <v>0.14000000000000001</v>
      </c>
      <c r="K766" s="9">
        <v>0.21210000000000001</v>
      </c>
      <c r="L766" s="9">
        <v>0.59</v>
      </c>
      <c r="M766" s="9">
        <v>0</v>
      </c>
      <c r="N766" s="9">
        <v>0</v>
      </c>
      <c r="O766" s="9">
        <v>87</v>
      </c>
      <c r="P766" s="9">
        <v>87</v>
      </c>
      <c r="Q766" s="13" t="s">
        <v>98</v>
      </c>
      <c r="R766" s="13" t="s">
        <v>79</v>
      </c>
      <c r="S766" s="9" t="s">
        <v>80</v>
      </c>
      <c r="T766" s="13" t="s">
        <v>81</v>
      </c>
      <c r="U766" s="15" t="s">
        <v>89</v>
      </c>
      <c r="V766" s="13" t="s">
        <v>93</v>
      </c>
      <c r="W766" s="15" t="s">
        <v>84</v>
      </c>
      <c r="X766" s="9" t="s">
        <v>85</v>
      </c>
      <c r="Y766" s="13" t="s">
        <v>99</v>
      </c>
      <c r="Z766">
        <f t="shared" si="67"/>
        <v>141</v>
      </c>
      <c r="AA766" s="39">
        <f t="shared" si="68"/>
        <v>67.591194968553452</v>
      </c>
      <c r="AB766" s="39">
        <f t="shared" si="69"/>
        <v>3783.3687485397973</v>
      </c>
      <c r="AC766">
        <f t="shared" si="72"/>
        <v>0.99989138372603581</v>
      </c>
      <c r="AD766">
        <f t="shared" si="70"/>
        <v>0.99984569389013755</v>
      </c>
      <c r="AE766">
        <f t="shared" si="71"/>
        <v>9933</v>
      </c>
    </row>
    <row r="767" spans="1:31">
      <c r="A767" s="10">
        <v>766</v>
      </c>
      <c r="B767" s="31">
        <v>40578</v>
      </c>
      <c r="C767" s="10">
        <v>1</v>
      </c>
      <c r="D767" s="10">
        <v>0</v>
      </c>
      <c r="E767" s="10">
        <v>2</v>
      </c>
      <c r="F767" s="10">
        <v>8</v>
      </c>
      <c r="G767" s="10" t="b">
        <v>0</v>
      </c>
      <c r="H767" s="10">
        <v>5</v>
      </c>
      <c r="I767" s="10">
        <v>1</v>
      </c>
      <c r="J767" s="10">
        <v>0.14000000000000001</v>
      </c>
      <c r="K767" s="10">
        <v>0.1515</v>
      </c>
      <c r="L767" s="10">
        <v>0.74</v>
      </c>
      <c r="M767" s="10">
        <v>0.1343</v>
      </c>
      <c r="N767" s="10">
        <v>3</v>
      </c>
      <c r="O767" s="10">
        <v>217</v>
      </c>
      <c r="P767" s="10">
        <v>220</v>
      </c>
      <c r="Q767" s="13" t="s">
        <v>98</v>
      </c>
      <c r="R767" s="13" t="s">
        <v>79</v>
      </c>
      <c r="S767" s="10" t="s">
        <v>80</v>
      </c>
      <c r="T767" s="13" t="s">
        <v>81</v>
      </c>
      <c r="U767" s="15" t="s">
        <v>89</v>
      </c>
      <c r="V767" s="13" t="s">
        <v>93</v>
      </c>
      <c r="W767" s="15" t="s">
        <v>84</v>
      </c>
      <c r="X767" s="10" t="s">
        <v>85</v>
      </c>
      <c r="Y767" s="13" t="s">
        <v>99</v>
      </c>
      <c r="Z767">
        <f t="shared" si="67"/>
        <v>140</v>
      </c>
      <c r="AA767" s="39">
        <f t="shared" si="68"/>
        <v>67.468354430379748</v>
      </c>
      <c r="AB767" s="39">
        <f t="shared" si="69"/>
        <v>3791.3814130048258</v>
      </c>
      <c r="AC767">
        <f t="shared" si="72"/>
        <v>0.99989169891836216</v>
      </c>
      <c r="AD767">
        <f t="shared" si="70"/>
        <v>0.99984574835303341</v>
      </c>
      <c r="AE767">
        <f t="shared" si="71"/>
        <v>9846</v>
      </c>
    </row>
    <row r="768" spans="1:31">
      <c r="A768" s="9">
        <v>767</v>
      </c>
      <c r="B768" s="30">
        <v>40578</v>
      </c>
      <c r="C768" s="9">
        <v>1</v>
      </c>
      <c r="D768" s="9">
        <v>0</v>
      </c>
      <c r="E768" s="9">
        <v>2</v>
      </c>
      <c r="F768" s="9">
        <v>9</v>
      </c>
      <c r="G768" s="9" t="b">
        <v>0</v>
      </c>
      <c r="H768" s="9">
        <v>5</v>
      </c>
      <c r="I768" s="9">
        <v>2</v>
      </c>
      <c r="J768" s="9">
        <v>0.16</v>
      </c>
      <c r="K768" s="9">
        <v>0.18179999999999999</v>
      </c>
      <c r="L768" s="9">
        <v>0.8</v>
      </c>
      <c r="M768" s="9">
        <v>0.1343</v>
      </c>
      <c r="N768" s="9">
        <v>3</v>
      </c>
      <c r="O768" s="9">
        <v>124</v>
      </c>
      <c r="P768" s="9">
        <v>127</v>
      </c>
      <c r="Q768" s="13" t="s">
        <v>98</v>
      </c>
      <c r="R768" s="13" t="s">
        <v>79</v>
      </c>
      <c r="S768" s="9" t="s">
        <v>80</v>
      </c>
      <c r="T768" s="11" t="s">
        <v>88</v>
      </c>
      <c r="U768" s="15" t="s">
        <v>89</v>
      </c>
      <c r="V768" s="13" t="s">
        <v>93</v>
      </c>
      <c r="W768" s="15" t="s">
        <v>84</v>
      </c>
      <c r="X768" s="9" t="s">
        <v>85</v>
      </c>
      <c r="Y768" s="13" t="s">
        <v>99</v>
      </c>
      <c r="Z768">
        <f t="shared" si="67"/>
        <v>139</v>
      </c>
      <c r="AA768" s="39">
        <f t="shared" si="68"/>
        <v>66.496815286624198</v>
      </c>
      <c r="AB768" s="39">
        <f t="shared" si="69"/>
        <v>3799.4691467767707</v>
      </c>
      <c r="AC768">
        <f t="shared" si="72"/>
        <v>0.99989648125969188</v>
      </c>
      <c r="AD768">
        <f t="shared" si="70"/>
        <v>0.99984856348176743</v>
      </c>
      <c r="AE768">
        <f t="shared" si="71"/>
        <v>9626</v>
      </c>
    </row>
    <row r="769" spans="1:31">
      <c r="A769" s="10">
        <v>768</v>
      </c>
      <c r="B769" s="31">
        <v>40578</v>
      </c>
      <c r="C769" s="10">
        <v>1</v>
      </c>
      <c r="D769" s="10">
        <v>0</v>
      </c>
      <c r="E769" s="10">
        <v>2</v>
      </c>
      <c r="F769" s="10">
        <v>10</v>
      </c>
      <c r="G769" s="10" t="b">
        <v>0</v>
      </c>
      <c r="H769" s="10">
        <v>5</v>
      </c>
      <c r="I769" s="10">
        <v>2</v>
      </c>
      <c r="J769" s="10">
        <v>0.2</v>
      </c>
      <c r="K769" s="10">
        <v>0.21210000000000001</v>
      </c>
      <c r="L769" s="10">
        <v>0.51</v>
      </c>
      <c r="M769" s="10">
        <v>0.1343</v>
      </c>
      <c r="N769" s="10">
        <v>5</v>
      </c>
      <c r="O769" s="10">
        <v>46</v>
      </c>
      <c r="P769" s="10">
        <v>51</v>
      </c>
      <c r="Q769" s="13" t="s">
        <v>98</v>
      </c>
      <c r="R769" s="13" t="s">
        <v>79</v>
      </c>
      <c r="S769" s="10" t="s">
        <v>80</v>
      </c>
      <c r="T769" s="11" t="s">
        <v>88</v>
      </c>
      <c r="U769" s="13" t="s">
        <v>91</v>
      </c>
      <c r="V769" s="11" t="s">
        <v>87</v>
      </c>
      <c r="W769" s="15" t="s">
        <v>84</v>
      </c>
      <c r="X769" s="10" t="s">
        <v>85</v>
      </c>
      <c r="Y769" s="13" t="s">
        <v>99</v>
      </c>
      <c r="Z769">
        <f t="shared" si="67"/>
        <v>138</v>
      </c>
      <c r="AA769" s="39">
        <f t="shared" si="68"/>
        <v>66.496815286624198</v>
      </c>
      <c r="AB769" s="39">
        <f t="shared" si="69"/>
        <v>3807.5941458950169</v>
      </c>
      <c r="AC769">
        <f t="shared" si="72"/>
        <v>0.99989746684529113</v>
      </c>
      <c r="AD769">
        <f t="shared" si="70"/>
        <v>0.99984879036149699</v>
      </c>
      <c r="AE769">
        <f t="shared" si="71"/>
        <v>9499</v>
      </c>
    </row>
    <row r="770" spans="1:31">
      <c r="A770" s="9">
        <v>769</v>
      </c>
      <c r="B770" s="30">
        <v>40578</v>
      </c>
      <c r="C770" s="9">
        <v>1</v>
      </c>
      <c r="D770" s="9">
        <v>0</v>
      </c>
      <c r="E770" s="9">
        <v>2</v>
      </c>
      <c r="F770" s="9">
        <v>11</v>
      </c>
      <c r="G770" s="9" t="b">
        <v>0</v>
      </c>
      <c r="H770" s="9">
        <v>5</v>
      </c>
      <c r="I770" s="9">
        <v>1</v>
      </c>
      <c r="J770" s="9">
        <v>0.22</v>
      </c>
      <c r="K770" s="9">
        <v>0.2273</v>
      </c>
      <c r="L770" s="9">
        <v>0.51</v>
      </c>
      <c r="M770" s="9">
        <v>0.16420000000000001</v>
      </c>
      <c r="N770" s="9">
        <v>3</v>
      </c>
      <c r="O770" s="9">
        <v>61</v>
      </c>
      <c r="P770" s="9">
        <v>64</v>
      </c>
      <c r="Q770" s="13" t="s">
        <v>98</v>
      </c>
      <c r="R770" s="13" t="s">
        <v>79</v>
      </c>
      <c r="S770" s="9" t="s">
        <v>80</v>
      </c>
      <c r="T770" s="13" t="s">
        <v>81</v>
      </c>
      <c r="U770" s="13" t="s">
        <v>91</v>
      </c>
      <c r="V770" s="11" t="s">
        <v>87</v>
      </c>
      <c r="W770" s="15" t="s">
        <v>84</v>
      </c>
      <c r="X770" s="9" t="s">
        <v>85</v>
      </c>
      <c r="Y770" s="13" t="s">
        <v>99</v>
      </c>
      <c r="Z770">
        <f t="shared" ref="Z770:Z833" si="73">COUNTIF(Q770:Q1769,"Weekday")</f>
        <v>137</v>
      </c>
      <c r="AA770" s="39">
        <f t="shared" ref="AA770:AA833" si="74">AVERAGEIF(T770:T1769,"Clear",P770:P1769)</f>
        <v>66.496815286624198</v>
      </c>
      <c r="AB770" s="39">
        <f t="shared" ref="AB770:AB833" si="75">STDEV(P770:P1769)</f>
        <v>3815.7520889018533</v>
      </c>
      <c r="AC770">
        <f t="shared" si="72"/>
        <v>0.99989746925135869</v>
      </c>
      <c r="AD770">
        <f t="shared" ref="AD770:AD833" si="76">CORREL(L770:L1769,P770:P1769)</f>
        <v>0.9998487958628709</v>
      </c>
      <c r="AE770">
        <f t="shared" ref="AE770:AE833" si="77">SUMIF(Q770:Q1769,"Weekday",P770:P1769)</f>
        <v>9448</v>
      </c>
    </row>
    <row r="771" spans="1:31">
      <c r="A771" s="10">
        <v>770</v>
      </c>
      <c r="B771" s="31">
        <v>40578</v>
      </c>
      <c r="C771" s="10">
        <v>1</v>
      </c>
      <c r="D771" s="10">
        <v>0</v>
      </c>
      <c r="E771" s="10">
        <v>2</v>
      </c>
      <c r="F771" s="10">
        <v>12</v>
      </c>
      <c r="G771" s="10" t="b">
        <v>0</v>
      </c>
      <c r="H771" s="10">
        <v>5</v>
      </c>
      <c r="I771" s="10">
        <v>2</v>
      </c>
      <c r="J771" s="10">
        <v>0.24</v>
      </c>
      <c r="K771" s="10">
        <v>0.2424</v>
      </c>
      <c r="L771" s="10">
        <v>0.48</v>
      </c>
      <c r="M771" s="10">
        <v>0.16420000000000001</v>
      </c>
      <c r="N771" s="10">
        <v>8</v>
      </c>
      <c r="O771" s="10">
        <v>78</v>
      </c>
      <c r="P771" s="10">
        <v>86</v>
      </c>
      <c r="Q771" s="13" t="s">
        <v>98</v>
      </c>
      <c r="R771" s="13" t="s">
        <v>79</v>
      </c>
      <c r="S771" s="10" t="s">
        <v>80</v>
      </c>
      <c r="T771" s="11" t="s">
        <v>88</v>
      </c>
      <c r="U771" s="11" t="s">
        <v>92</v>
      </c>
      <c r="V771" s="13" t="s">
        <v>93</v>
      </c>
      <c r="W771" s="15" t="s">
        <v>84</v>
      </c>
      <c r="X771" s="10" t="s">
        <v>85</v>
      </c>
      <c r="Y771" s="13" t="s">
        <v>99</v>
      </c>
      <c r="Z771">
        <f t="shared" si="73"/>
        <v>136</v>
      </c>
      <c r="AA771" s="39">
        <f t="shared" si="74"/>
        <v>66.512820512820511</v>
      </c>
      <c r="AB771" s="39">
        <f t="shared" si="75"/>
        <v>3823.9665025910595</v>
      </c>
      <c r="AC771">
        <f t="shared" si="72"/>
        <v>0.99989746781030886</v>
      </c>
      <c r="AD771">
        <f t="shared" si="76"/>
        <v>0.99984879729145182</v>
      </c>
      <c r="AE771">
        <f t="shared" si="77"/>
        <v>9384</v>
      </c>
    </row>
    <row r="772" spans="1:31">
      <c r="A772" s="9">
        <v>771</v>
      </c>
      <c r="B772" s="30">
        <v>40578</v>
      </c>
      <c r="C772" s="9">
        <v>1</v>
      </c>
      <c r="D772" s="9">
        <v>0</v>
      </c>
      <c r="E772" s="9">
        <v>2</v>
      </c>
      <c r="F772" s="9">
        <v>13</v>
      </c>
      <c r="G772" s="9" t="b">
        <v>0</v>
      </c>
      <c r="H772" s="9">
        <v>5</v>
      </c>
      <c r="I772" s="9">
        <v>2</v>
      </c>
      <c r="J772" s="9">
        <v>0.26</v>
      </c>
      <c r="K772" s="9">
        <v>0.2576</v>
      </c>
      <c r="L772" s="9">
        <v>0.5</v>
      </c>
      <c r="M772" s="9">
        <v>0.22389999999999999</v>
      </c>
      <c r="N772" s="9">
        <v>9</v>
      </c>
      <c r="O772" s="9">
        <v>73</v>
      </c>
      <c r="P772" s="9">
        <v>82</v>
      </c>
      <c r="Q772" s="13" t="s">
        <v>98</v>
      </c>
      <c r="R772" s="13" t="s">
        <v>79</v>
      </c>
      <c r="S772" s="9" t="s">
        <v>80</v>
      </c>
      <c r="T772" s="11" t="s">
        <v>88</v>
      </c>
      <c r="U772" s="11" t="s">
        <v>92</v>
      </c>
      <c r="V772" s="13" t="s">
        <v>93</v>
      </c>
      <c r="W772" s="13" t="s">
        <v>90</v>
      </c>
      <c r="X772" s="9" t="s">
        <v>85</v>
      </c>
      <c r="Y772" s="13" t="s">
        <v>99</v>
      </c>
      <c r="Z772">
        <f t="shared" si="73"/>
        <v>135</v>
      </c>
      <c r="AA772" s="39">
        <f t="shared" si="74"/>
        <v>66.512820512820511</v>
      </c>
      <c r="AB772" s="39">
        <f t="shared" si="75"/>
        <v>3832.2402451854609</v>
      </c>
      <c r="AC772">
        <f t="shared" si="72"/>
        <v>0.99989751515335101</v>
      </c>
      <c r="AD772">
        <f t="shared" si="76"/>
        <v>0.99984893215632187</v>
      </c>
      <c r="AE772">
        <f t="shared" si="77"/>
        <v>9298</v>
      </c>
    </row>
    <row r="773" spans="1:31">
      <c r="A773" s="10">
        <v>772</v>
      </c>
      <c r="B773" s="31">
        <v>40578</v>
      </c>
      <c r="C773" s="10">
        <v>1</v>
      </c>
      <c r="D773" s="10">
        <v>0</v>
      </c>
      <c r="E773" s="10">
        <v>2</v>
      </c>
      <c r="F773" s="10">
        <v>14</v>
      </c>
      <c r="G773" s="10" t="b">
        <v>0</v>
      </c>
      <c r="H773" s="10">
        <v>5</v>
      </c>
      <c r="I773" s="10">
        <v>2</v>
      </c>
      <c r="J773" s="10">
        <v>0.28000000000000003</v>
      </c>
      <c r="K773" s="10">
        <v>0.2727</v>
      </c>
      <c r="L773" s="10">
        <v>0.45</v>
      </c>
      <c r="M773" s="10">
        <v>0.16420000000000001</v>
      </c>
      <c r="N773" s="10">
        <v>15</v>
      </c>
      <c r="O773" s="10">
        <v>76</v>
      </c>
      <c r="P773" s="10">
        <v>91</v>
      </c>
      <c r="Q773" s="13" t="s">
        <v>98</v>
      </c>
      <c r="R773" s="13" t="s">
        <v>79</v>
      </c>
      <c r="S773" s="10" t="s">
        <v>80</v>
      </c>
      <c r="T773" s="11" t="s">
        <v>88</v>
      </c>
      <c r="U773" s="13" t="s">
        <v>94</v>
      </c>
      <c r="V773" s="13" t="s">
        <v>93</v>
      </c>
      <c r="W773" s="13" t="s">
        <v>90</v>
      </c>
      <c r="X773" s="10" t="s">
        <v>85</v>
      </c>
      <c r="Y773" s="13" t="s">
        <v>99</v>
      </c>
      <c r="Z773">
        <f t="shared" si="73"/>
        <v>134</v>
      </c>
      <c r="AA773" s="39">
        <f t="shared" si="74"/>
        <v>66.512820512820511</v>
      </c>
      <c r="AB773" s="39">
        <f t="shared" si="75"/>
        <v>3840.5668603957811</v>
      </c>
      <c r="AC773">
        <f t="shared" si="72"/>
        <v>0.99989752436623047</v>
      </c>
      <c r="AD773">
        <f t="shared" si="76"/>
        <v>0.999849019014172</v>
      </c>
      <c r="AE773">
        <f t="shared" si="77"/>
        <v>9216</v>
      </c>
    </row>
    <row r="774" spans="1:31">
      <c r="A774" s="9">
        <v>773</v>
      </c>
      <c r="B774" s="30">
        <v>40578</v>
      </c>
      <c r="C774" s="9">
        <v>1</v>
      </c>
      <c r="D774" s="9">
        <v>0</v>
      </c>
      <c r="E774" s="9">
        <v>2</v>
      </c>
      <c r="F774" s="9">
        <v>15</v>
      </c>
      <c r="G774" s="9" t="b">
        <v>0</v>
      </c>
      <c r="H774" s="9">
        <v>5</v>
      </c>
      <c r="I774" s="9">
        <v>2</v>
      </c>
      <c r="J774" s="9">
        <v>0.28000000000000003</v>
      </c>
      <c r="K774" s="9">
        <v>0.2727</v>
      </c>
      <c r="L774" s="9">
        <v>0.48</v>
      </c>
      <c r="M774" s="9">
        <v>0.25369999999999998</v>
      </c>
      <c r="N774" s="9">
        <v>9</v>
      </c>
      <c r="O774" s="9">
        <v>81</v>
      </c>
      <c r="P774" s="9">
        <v>90</v>
      </c>
      <c r="Q774" s="13" t="s">
        <v>98</v>
      </c>
      <c r="R774" s="13" t="s">
        <v>79</v>
      </c>
      <c r="S774" s="9" t="s">
        <v>80</v>
      </c>
      <c r="T774" s="11" t="s">
        <v>88</v>
      </c>
      <c r="U774" s="13" t="s">
        <v>94</v>
      </c>
      <c r="V774" s="13" t="s">
        <v>93</v>
      </c>
      <c r="W774" s="13" t="s">
        <v>90</v>
      </c>
      <c r="X774" s="9" t="s">
        <v>85</v>
      </c>
      <c r="Y774" s="13" t="s">
        <v>99</v>
      </c>
      <c r="Z774">
        <f t="shared" si="73"/>
        <v>133</v>
      </c>
      <c r="AA774" s="39">
        <f t="shared" si="74"/>
        <v>66.512820512820511</v>
      </c>
      <c r="AB774" s="39">
        <f t="shared" si="75"/>
        <v>3848.9503760579883</v>
      </c>
      <c r="AC774">
        <f t="shared" si="72"/>
        <v>0.99989754397604946</v>
      </c>
      <c r="AD774">
        <f t="shared" si="76"/>
        <v>0.99984923852101093</v>
      </c>
      <c r="AE774">
        <f t="shared" si="77"/>
        <v>9125</v>
      </c>
    </row>
    <row r="775" spans="1:31">
      <c r="A775" s="10">
        <v>774</v>
      </c>
      <c r="B775" s="31">
        <v>40578</v>
      </c>
      <c r="C775" s="10">
        <v>1</v>
      </c>
      <c r="D775" s="10">
        <v>0</v>
      </c>
      <c r="E775" s="10">
        <v>2</v>
      </c>
      <c r="F775" s="10">
        <v>16</v>
      </c>
      <c r="G775" s="10" t="b">
        <v>0</v>
      </c>
      <c r="H775" s="10">
        <v>5</v>
      </c>
      <c r="I775" s="10">
        <v>2</v>
      </c>
      <c r="J775" s="10">
        <v>0.3</v>
      </c>
      <c r="K775" s="10">
        <v>0.28789999999999999</v>
      </c>
      <c r="L775" s="10">
        <v>0.42</v>
      </c>
      <c r="M775" s="10">
        <v>0.22389999999999999</v>
      </c>
      <c r="N775" s="10">
        <v>8</v>
      </c>
      <c r="O775" s="10">
        <v>91</v>
      </c>
      <c r="P775" s="10">
        <v>99</v>
      </c>
      <c r="Q775" s="13" t="s">
        <v>98</v>
      </c>
      <c r="R775" s="13" t="s">
        <v>79</v>
      </c>
      <c r="S775" s="10" t="s">
        <v>80</v>
      </c>
      <c r="T775" s="11" t="s">
        <v>88</v>
      </c>
      <c r="U775" s="13" t="s">
        <v>94</v>
      </c>
      <c r="V775" s="13" t="s">
        <v>93</v>
      </c>
      <c r="W775" s="13" t="s">
        <v>90</v>
      </c>
      <c r="X775" s="10" t="s">
        <v>85</v>
      </c>
      <c r="Y775" s="13" t="s">
        <v>99</v>
      </c>
      <c r="Z775">
        <f t="shared" si="73"/>
        <v>132</v>
      </c>
      <c r="AA775" s="39">
        <f t="shared" si="74"/>
        <v>66.512820512820511</v>
      </c>
      <c r="AB775" s="39">
        <f t="shared" si="75"/>
        <v>3857.388771036959</v>
      </c>
      <c r="AC775">
        <f t="shared" si="72"/>
        <v>0.99989756032866595</v>
      </c>
      <c r="AD775">
        <f t="shared" si="76"/>
        <v>0.99984941615417</v>
      </c>
      <c r="AE775">
        <f t="shared" si="77"/>
        <v>9035</v>
      </c>
    </row>
    <row r="776" spans="1:31">
      <c r="A776" s="9">
        <v>775</v>
      </c>
      <c r="B776" s="30">
        <v>40578</v>
      </c>
      <c r="C776" s="9">
        <v>1</v>
      </c>
      <c r="D776" s="9">
        <v>0</v>
      </c>
      <c r="E776" s="9">
        <v>2</v>
      </c>
      <c r="F776" s="9">
        <v>17</v>
      </c>
      <c r="G776" s="9" t="b">
        <v>0</v>
      </c>
      <c r="H776" s="9">
        <v>5</v>
      </c>
      <c r="I776" s="9">
        <v>2</v>
      </c>
      <c r="J776" s="9">
        <v>0.26</v>
      </c>
      <c r="K776" s="9">
        <v>0.2727</v>
      </c>
      <c r="L776" s="9">
        <v>0.56000000000000005</v>
      </c>
      <c r="M776" s="9">
        <v>0.1343</v>
      </c>
      <c r="N776" s="9">
        <v>10</v>
      </c>
      <c r="O776" s="9">
        <v>195</v>
      </c>
      <c r="P776" s="9">
        <v>205</v>
      </c>
      <c r="Q776" s="13" t="s">
        <v>98</v>
      </c>
      <c r="R776" s="13" t="s">
        <v>79</v>
      </c>
      <c r="S776" s="9" t="s">
        <v>80</v>
      </c>
      <c r="T776" s="11" t="s">
        <v>88</v>
      </c>
      <c r="U776" s="15" t="s">
        <v>95</v>
      </c>
      <c r="V776" s="13" t="s">
        <v>93</v>
      </c>
      <c r="W776" s="13" t="s">
        <v>90</v>
      </c>
      <c r="X776" s="9" t="s">
        <v>85</v>
      </c>
      <c r="Y776" s="13" t="s">
        <v>99</v>
      </c>
      <c r="Z776">
        <f t="shared" si="73"/>
        <v>131</v>
      </c>
      <c r="AA776" s="39">
        <f t="shared" si="74"/>
        <v>66.512820512820511</v>
      </c>
      <c r="AB776" s="39">
        <f t="shared" si="75"/>
        <v>3865.885247660618</v>
      </c>
      <c r="AC776">
        <f t="shared" si="72"/>
        <v>0.99989758955845465</v>
      </c>
      <c r="AD776">
        <f t="shared" si="76"/>
        <v>0.99984978497398846</v>
      </c>
      <c r="AE776">
        <f t="shared" si="77"/>
        <v>8936</v>
      </c>
    </row>
    <row r="777" spans="1:31">
      <c r="A777" s="10">
        <v>776</v>
      </c>
      <c r="B777" s="31">
        <v>40578</v>
      </c>
      <c r="C777" s="10">
        <v>1</v>
      </c>
      <c r="D777" s="10">
        <v>0</v>
      </c>
      <c r="E777" s="10">
        <v>2</v>
      </c>
      <c r="F777" s="10">
        <v>18</v>
      </c>
      <c r="G777" s="10" t="b">
        <v>0</v>
      </c>
      <c r="H777" s="10">
        <v>5</v>
      </c>
      <c r="I777" s="10">
        <v>2</v>
      </c>
      <c r="J777" s="10">
        <v>0.24</v>
      </c>
      <c r="K777" s="10">
        <v>0.2576</v>
      </c>
      <c r="L777" s="10">
        <v>0.6</v>
      </c>
      <c r="M777" s="10">
        <v>0.1045</v>
      </c>
      <c r="N777" s="10">
        <v>3</v>
      </c>
      <c r="O777" s="10">
        <v>152</v>
      </c>
      <c r="P777" s="10">
        <v>155</v>
      </c>
      <c r="Q777" s="13" t="s">
        <v>98</v>
      </c>
      <c r="R777" s="13" t="s">
        <v>79</v>
      </c>
      <c r="S777" s="10" t="s">
        <v>80</v>
      </c>
      <c r="T777" s="11" t="s">
        <v>88</v>
      </c>
      <c r="U777" s="15" t="s">
        <v>95</v>
      </c>
      <c r="V777" s="13" t="s">
        <v>93</v>
      </c>
      <c r="W777" s="15" t="s">
        <v>84</v>
      </c>
      <c r="X777" s="10" t="s">
        <v>85</v>
      </c>
      <c r="Y777" s="13" t="s">
        <v>99</v>
      </c>
      <c r="Z777">
        <f t="shared" si="73"/>
        <v>130</v>
      </c>
      <c r="AA777" s="39">
        <f t="shared" si="74"/>
        <v>66.512820512820511</v>
      </c>
      <c r="AB777" s="39">
        <f t="shared" si="75"/>
        <v>3874.4587910544556</v>
      </c>
      <c r="AC777">
        <f t="shared" si="72"/>
        <v>0.99990017096262518</v>
      </c>
      <c r="AD777">
        <f t="shared" si="76"/>
        <v>0.99985278976455505</v>
      </c>
      <c r="AE777">
        <f t="shared" si="77"/>
        <v>8731</v>
      </c>
    </row>
    <row r="778" spans="1:31">
      <c r="A778" s="9">
        <v>777</v>
      </c>
      <c r="B778" s="30">
        <v>40578</v>
      </c>
      <c r="C778" s="9">
        <v>1</v>
      </c>
      <c r="D778" s="9">
        <v>0</v>
      </c>
      <c r="E778" s="9">
        <v>2</v>
      </c>
      <c r="F778" s="9">
        <v>19</v>
      </c>
      <c r="G778" s="9" t="b">
        <v>0</v>
      </c>
      <c r="H778" s="9">
        <v>5</v>
      </c>
      <c r="I778" s="9">
        <v>2</v>
      </c>
      <c r="J778" s="9">
        <v>0.24</v>
      </c>
      <c r="K778" s="9">
        <v>0.2424</v>
      </c>
      <c r="L778" s="9">
        <v>0.65</v>
      </c>
      <c r="M778" s="9">
        <v>0.1343</v>
      </c>
      <c r="N778" s="9">
        <v>1</v>
      </c>
      <c r="O778" s="9">
        <v>102</v>
      </c>
      <c r="P778" s="9">
        <v>103</v>
      </c>
      <c r="Q778" s="13" t="s">
        <v>98</v>
      </c>
      <c r="R778" s="13" t="s">
        <v>79</v>
      </c>
      <c r="S778" s="9" t="s">
        <v>80</v>
      </c>
      <c r="T778" s="11" t="s">
        <v>88</v>
      </c>
      <c r="U778" s="15" t="s">
        <v>95</v>
      </c>
      <c r="V778" s="13" t="s">
        <v>93</v>
      </c>
      <c r="W778" s="15" t="s">
        <v>84</v>
      </c>
      <c r="X778" s="9" t="s">
        <v>85</v>
      </c>
      <c r="Y778" s="13" t="s">
        <v>99</v>
      </c>
      <c r="Z778">
        <f t="shared" si="73"/>
        <v>129</v>
      </c>
      <c r="AA778" s="39">
        <f t="shared" si="74"/>
        <v>66.512820512820511</v>
      </c>
      <c r="AB778" s="39">
        <f t="shared" si="75"/>
        <v>3883.0814439408528</v>
      </c>
      <c r="AC778">
        <f t="shared" si="72"/>
        <v>0.99990132208633931</v>
      </c>
      <c r="AD778">
        <f t="shared" si="76"/>
        <v>0.99985396092335521</v>
      </c>
      <c r="AE778">
        <f t="shared" si="77"/>
        <v>8576</v>
      </c>
    </row>
    <row r="779" spans="1:31">
      <c r="A779" s="10">
        <v>778</v>
      </c>
      <c r="B779" s="31">
        <v>40578</v>
      </c>
      <c r="C779" s="10">
        <v>1</v>
      </c>
      <c r="D779" s="10">
        <v>0</v>
      </c>
      <c r="E779" s="10">
        <v>2</v>
      </c>
      <c r="F779" s="10">
        <v>20</v>
      </c>
      <c r="G779" s="10" t="b">
        <v>0</v>
      </c>
      <c r="H779" s="10">
        <v>5</v>
      </c>
      <c r="I779" s="10">
        <v>2</v>
      </c>
      <c r="J779" s="10">
        <v>0.24</v>
      </c>
      <c r="K779" s="10">
        <v>0.2424</v>
      </c>
      <c r="L779" s="10">
        <v>0.65</v>
      </c>
      <c r="M779" s="10">
        <v>0.16420000000000001</v>
      </c>
      <c r="N779" s="10">
        <v>2</v>
      </c>
      <c r="O779" s="10">
        <v>69</v>
      </c>
      <c r="P779" s="10">
        <v>71</v>
      </c>
      <c r="Q779" s="13" t="s">
        <v>98</v>
      </c>
      <c r="R779" s="13" t="s">
        <v>79</v>
      </c>
      <c r="S779" s="10" t="s">
        <v>80</v>
      </c>
      <c r="T779" s="11" t="s">
        <v>88</v>
      </c>
      <c r="U779" s="16" t="s">
        <v>97</v>
      </c>
      <c r="V779" s="13" t="s">
        <v>93</v>
      </c>
      <c r="W779" s="15" t="s">
        <v>84</v>
      </c>
      <c r="X779" s="10" t="s">
        <v>85</v>
      </c>
      <c r="Y779" s="13" t="s">
        <v>99</v>
      </c>
      <c r="Z779">
        <f t="shared" si="73"/>
        <v>128</v>
      </c>
      <c r="AA779" s="39">
        <f t="shared" si="74"/>
        <v>66.512820512820511</v>
      </c>
      <c r="AB779" s="39">
        <f t="shared" si="75"/>
        <v>3891.7502765679301</v>
      </c>
      <c r="AC779">
        <f t="shared" si="72"/>
        <v>0.9999015177725975</v>
      </c>
      <c r="AD779">
        <f t="shared" si="76"/>
        <v>0.99985411283664871</v>
      </c>
      <c r="AE779">
        <f t="shared" si="77"/>
        <v>8473</v>
      </c>
    </row>
    <row r="780" spans="1:31">
      <c r="A780" s="9">
        <v>779</v>
      </c>
      <c r="B780" s="30">
        <v>40578</v>
      </c>
      <c r="C780" s="9">
        <v>1</v>
      </c>
      <c r="D780" s="9">
        <v>0</v>
      </c>
      <c r="E780" s="9">
        <v>2</v>
      </c>
      <c r="F780" s="9">
        <v>21</v>
      </c>
      <c r="G780" s="9" t="b">
        <v>0</v>
      </c>
      <c r="H780" s="9">
        <v>5</v>
      </c>
      <c r="I780" s="9">
        <v>2</v>
      </c>
      <c r="J780" s="9">
        <v>0.24</v>
      </c>
      <c r="K780" s="9">
        <v>0.2424</v>
      </c>
      <c r="L780" s="9">
        <v>0.7</v>
      </c>
      <c r="M780" s="9">
        <v>0.16420000000000001</v>
      </c>
      <c r="N780" s="9">
        <v>2</v>
      </c>
      <c r="O780" s="9">
        <v>41</v>
      </c>
      <c r="P780" s="9">
        <v>43</v>
      </c>
      <c r="Q780" s="13" t="s">
        <v>98</v>
      </c>
      <c r="R780" s="13" t="s">
        <v>79</v>
      </c>
      <c r="S780" s="9" t="s">
        <v>80</v>
      </c>
      <c r="T780" s="11" t="s">
        <v>88</v>
      </c>
      <c r="U780" s="16" t="s">
        <v>97</v>
      </c>
      <c r="V780" s="11" t="s">
        <v>87</v>
      </c>
      <c r="W780" s="15" t="s">
        <v>84</v>
      </c>
      <c r="X780" s="9" t="s">
        <v>85</v>
      </c>
      <c r="Y780" s="13" t="s">
        <v>99</v>
      </c>
      <c r="Z780">
        <f t="shared" si="73"/>
        <v>127</v>
      </c>
      <c r="AA780" s="39">
        <f t="shared" si="74"/>
        <v>66.512820512820511</v>
      </c>
      <c r="AB780" s="39">
        <f t="shared" si="75"/>
        <v>3900.4686489617566</v>
      </c>
      <c r="AC780">
        <f t="shared" si="72"/>
        <v>0.99990151900892188</v>
      </c>
      <c r="AD780">
        <f t="shared" si="76"/>
        <v>0.99985411008555736</v>
      </c>
      <c r="AE780">
        <f t="shared" si="77"/>
        <v>8402</v>
      </c>
    </row>
    <row r="781" spans="1:31">
      <c r="A781" s="10">
        <v>780</v>
      </c>
      <c r="B781" s="31">
        <v>40578</v>
      </c>
      <c r="C781" s="10">
        <v>1</v>
      </c>
      <c r="D781" s="10">
        <v>0</v>
      </c>
      <c r="E781" s="10">
        <v>2</v>
      </c>
      <c r="F781" s="10">
        <v>22</v>
      </c>
      <c r="G781" s="10" t="b">
        <v>0</v>
      </c>
      <c r="H781" s="10">
        <v>5</v>
      </c>
      <c r="I781" s="10">
        <v>2</v>
      </c>
      <c r="J781" s="10">
        <v>0.24</v>
      </c>
      <c r="K781" s="10">
        <v>0.2424</v>
      </c>
      <c r="L781" s="10">
        <v>0.65</v>
      </c>
      <c r="M781" s="10">
        <v>0.16420000000000001</v>
      </c>
      <c r="N781" s="10">
        <v>1</v>
      </c>
      <c r="O781" s="10">
        <v>45</v>
      </c>
      <c r="P781" s="10">
        <v>46</v>
      </c>
      <c r="Q781" s="13" t="s">
        <v>98</v>
      </c>
      <c r="R781" s="13" t="s">
        <v>79</v>
      </c>
      <c r="S781" s="10" t="s">
        <v>80</v>
      </c>
      <c r="T781" s="11" t="s">
        <v>88</v>
      </c>
      <c r="U781" s="16" t="s">
        <v>97</v>
      </c>
      <c r="V781" s="11" t="s">
        <v>87</v>
      </c>
      <c r="W781" s="15" t="s">
        <v>84</v>
      </c>
      <c r="X781" s="10" t="s">
        <v>85</v>
      </c>
      <c r="Y781" s="13" t="s">
        <v>99</v>
      </c>
      <c r="Z781">
        <f t="shared" si="73"/>
        <v>126</v>
      </c>
      <c r="AA781" s="39">
        <f t="shared" si="74"/>
        <v>66.512820512820511</v>
      </c>
      <c r="AB781" s="39">
        <f t="shared" si="75"/>
        <v>3909.2371651725748</v>
      </c>
      <c r="AC781">
        <f t="shared" si="72"/>
        <v>0.99990159820016378</v>
      </c>
      <c r="AD781">
        <f t="shared" si="76"/>
        <v>0.99985426547971556</v>
      </c>
      <c r="AE781">
        <f t="shared" si="77"/>
        <v>8359</v>
      </c>
    </row>
    <row r="782" spans="1:31">
      <c r="A782" s="9">
        <v>781</v>
      </c>
      <c r="B782" s="30">
        <v>40578</v>
      </c>
      <c r="C782" s="9">
        <v>1</v>
      </c>
      <c r="D782" s="9">
        <v>0</v>
      </c>
      <c r="E782" s="9">
        <v>2</v>
      </c>
      <c r="F782" s="9">
        <v>23</v>
      </c>
      <c r="G782" s="9" t="b">
        <v>0</v>
      </c>
      <c r="H782" s="9">
        <v>5</v>
      </c>
      <c r="I782" s="9">
        <v>2</v>
      </c>
      <c r="J782" s="9">
        <v>0.24</v>
      </c>
      <c r="K782" s="9">
        <v>0.2424</v>
      </c>
      <c r="L782" s="9">
        <v>0.7</v>
      </c>
      <c r="M782" s="9">
        <v>0.1343</v>
      </c>
      <c r="N782" s="9">
        <v>1</v>
      </c>
      <c r="O782" s="9">
        <v>30</v>
      </c>
      <c r="P782" s="9">
        <v>31</v>
      </c>
      <c r="Q782" s="13" t="s">
        <v>98</v>
      </c>
      <c r="R782" s="13" t="s">
        <v>79</v>
      </c>
      <c r="S782" s="9" t="s">
        <v>80</v>
      </c>
      <c r="T782" s="11" t="s">
        <v>88</v>
      </c>
      <c r="U782" s="16" t="s">
        <v>97</v>
      </c>
      <c r="V782" s="11" t="s">
        <v>87</v>
      </c>
      <c r="W782" s="15" t="s">
        <v>84</v>
      </c>
      <c r="X782" s="9" t="s">
        <v>85</v>
      </c>
      <c r="Y782" s="13" t="s">
        <v>99</v>
      </c>
      <c r="Z782">
        <f t="shared" si="73"/>
        <v>125</v>
      </c>
      <c r="AA782" s="39">
        <f t="shared" si="74"/>
        <v>66.512820512820511</v>
      </c>
      <c r="AB782" s="39">
        <f t="shared" si="75"/>
        <v>3918.066068702336</v>
      </c>
      <c r="AC782">
        <f t="shared" si="72"/>
        <v>0.99990165851628132</v>
      </c>
      <c r="AD782">
        <f t="shared" si="76"/>
        <v>0.99985435373303699</v>
      </c>
      <c r="AE782">
        <f t="shared" si="77"/>
        <v>8313</v>
      </c>
    </row>
    <row r="783" spans="1:31">
      <c r="A783" s="10">
        <v>782</v>
      </c>
      <c r="B783" s="31">
        <v>40579</v>
      </c>
      <c r="C783" s="10">
        <v>1</v>
      </c>
      <c r="D783" s="10">
        <v>0</v>
      </c>
      <c r="E783" s="10">
        <v>2</v>
      </c>
      <c r="F783" s="10">
        <v>0</v>
      </c>
      <c r="G783" s="10" t="b">
        <v>0</v>
      </c>
      <c r="H783" s="10">
        <v>6</v>
      </c>
      <c r="I783" s="10">
        <v>2</v>
      </c>
      <c r="J783" s="10">
        <v>0.24</v>
      </c>
      <c r="K783" s="10">
        <v>0.2424</v>
      </c>
      <c r="L783" s="10">
        <v>0.7</v>
      </c>
      <c r="M783" s="10">
        <v>0.16420000000000001</v>
      </c>
      <c r="N783" s="10">
        <v>3</v>
      </c>
      <c r="O783" s="10">
        <v>36</v>
      </c>
      <c r="P783" s="10">
        <v>39</v>
      </c>
      <c r="Q783" s="12" t="s">
        <v>78</v>
      </c>
      <c r="R783" s="13" t="s">
        <v>79</v>
      </c>
      <c r="S783" s="10" t="s">
        <v>80</v>
      </c>
      <c r="T783" s="11" t="s">
        <v>88</v>
      </c>
      <c r="U783" s="14" t="s">
        <v>82</v>
      </c>
      <c r="V783" s="11" t="s">
        <v>87</v>
      </c>
      <c r="W783" s="15" t="s">
        <v>84</v>
      </c>
      <c r="X783" s="10" t="s">
        <v>85</v>
      </c>
      <c r="Y783" s="12" t="s">
        <v>86</v>
      </c>
      <c r="Z783">
        <f t="shared" si="73"/>
        <v>124</v>
      </c>
      <c r="AA783" s="39">
        <f t="shared" si="74"/>
        <v>66.512820512820511</v>
      </c>
      <c r="AB783" s="39">
        <f t="shared" si="75"/>
        <v>3926.9500050225829</v>
      </c>
      <c r="AC783">
        <f t="shared" si="72"/>
        <v>0.99990184456846676</v>
      </c>
      <c r="AD783">
        <f t="shared" si="76"/>
        <v>0.99985465034016741</v>
      </c>
      <c r="AE783">
        <f t="shared" si="77"/>
        <v>8282</v>
      </c>
    </row>
    <row r="784" spans="1:31">
      <c r="A784" s="9">
        <v>783</v>
      </c>
      <c r="B784" s="30">
        <v>40579</v>
      </c>
      <c r="C784" s="9">
        <v>1</v>
      </c>
      <c r="D784" s="9">
        <v>0</v>
      </c>
      <c r="E784" s="9">
        <v>2</v>
      </c>
      <c r="F784" s="9">
        <v>1</v>
      </c>
      <c r="G784" s="9" t="b">
        <v>0</v>
      </c>
      <c r="H784" s="9">
        <v>6</v>
      </c>
      <c r="I784" s="9">
        <v>2</v>
      </c>
      <c r="J784" s="9">
        <v>0.24</v>
      </c>
      <c r="K784" s="9">
        <v>0.2424</v>
      </c>
      <c r="L784" s="9">
        <v>0.65</v>
      </c>
      <c r="M784" s="9">
        <v>0.16420000000000001</v>
      </c>
      <c r="N784" s="9">
        <v>1</v>
      </c>
      <c r="O784" s="9">
        <v>17</v>
      </c>
      <c r="P784" s="9">
        <v>18</v>
      </c>
      <c r="Q784" s="12" t="s">
        <v>78</v>
      </c>
      <c r="R784" s="13" t="s">
        <v>79</v>
      </c>
      <c r="S784" s="9" t="s">
        <v>80</v>
      </c>
      <c r="T784" s="11" t="s">
        <v>88</v>
      </c>
      <c r="U784" s="14" t="s">
        <v>82</v>
      </c>
      <c r="V784" s="12" t="s">
        <v>83</v>
      </c>
      <c r="W784" s="15" t="s">
        <v>84</v>
      </c>
      <c r="X784" s="9" t="s">
        <v>85</v>
      </c>
      <c r="Y784" s="12" t="s">
        <v>86</v>
      </c>
      <c r="Z784">
        <f t="shared" si="73"/>
        <v>124</v>
      </c>
      <c r="AA784" s="39">
        <f t="shared" si="74"/>
        <v>66.512820512820511</v>
      </c>
      <c r="AB784" s="39">
        <f t="shared" si="75"/>
        <v>3935.8973964314746</v>
      </c>
      <c r="AC784">
        <f t="shared" ref="AC784:AC847" si="78">CORREL(J784:J1783,P784:P1783)</f>
        <v>0.99990195685522132</v>
      </c>
      <c r="AD784">
        <f t="shared" si="76"/>
        <v>0.99985485195748414</v>
      </c>
      <c r="AE784">
        <f t="shared" si="77"/>
        <v>8282</v>
      </c>
    </row>
    <row r="785" spans="1:31">
      <c r="A785" s="10">
        <v>784</v>
      </c>
      <c r="B785" s="31">
        <v>40579</v>
      </c>
      <c r="C785" s="10">
        <v>1</v>
      </c>
      <c r="D785" s="10">
        <v>0</v>
      </c>
      <c r="E785" s="10">
        <v>2</v>
      </c>
      <c r="F785" s="10">
        <v>2</v>
      </c>
      <c r="G785" s="10" t="b">
        <v>0</v>
      </c>
      <c r="H785" s="10">
        <v>6</v>
      </c>
      <c r="I785" s="10">
        <v>2</v>
      </c>
      <c r="J785" s="10">
        <v>0.24</v>
      </c>
      <c r="K785" s="10">
        <v>0.2424</v>
      </c>
      <c r="L785" s="10">
        <v>0.75</v>
      </c>
      <c r="M785" s="10">
        <v>0.16420000000000001</v>
      </c>
      <c r="N785" s="10">
        <v>5</v>
      </c>
      <c r="O785" s="10">
        <v>12</v>
      </c>
      <c r="P785" s="10">
        <v>17</v>
      </c>
      <c r="Q785" s="12" t="s">
        <v>78</v>
      </c>
      <c r="R785" s="13" t="s">
        <v>79</v>
      </c>
      <c r="S785" s="10" t="s">
        <v>80</v>
      </c>
      <c r="T785" s="11" t="s">
        <v>88</v>
      </c>
      <c r="U785" s="14" t="s">
        <v>82</v>
      </c>
      <c r="V785" s="12" t="s">
        <v>83</v>
      </c>
      <c r="W785" s="15" t="s">
        <v>84</v>
      </c>
      <c r="X785" s="10" t="s">
        <v>85</v>
      </c>
      <c r="Y785" s="12" t="s">
        <v>86</v>
      </c>
      <c r="Z785">
        <f t="shared" si="73"/>
        <v>124</v>
      </c>
      <c r="AA785" s="39">
        <f t="shared" si="74"/>
        <v>66.512820512820511</v>
      </c>
      <c r="AB785" s="39">
        <f t="shared" si="75"/>
        <v>3944.898799894775</v>
      </c>
      <c r="AC785">
        <f t="shared" si="78"/>
        <v>0.9999023097299512</v>
      </c>
      <c r="AD785">
        <f t="shared" si="76"/>
        <v>0.99985527055291479</v>
      </c>
      <c r="AE785">
        <f t="shared" si="77"/>
        <v>8282</v>
      </c>
    </row>
    <row r="786" spans="1:31">
      <c r="A786" s="9">
        <v>785</v>
      </c>
      <c r="B786" s="30">
        <v>40579</v>
      </c>
      <c r="C786" s="9">
        <v>1</v>
      </c>
      <c r="D786" s="9">
        <v>0</v>
      </c>
      <c r="E786" s="9">
        <v>2</v>
      </c>
      <c r="F786" s="9">
        <v>3</v>
      </c>
      <c r="G786" s="9" t="b">
        <v>0</v>
      </c>
      <c r="H786" s="9">
        <v>6</v>
      </c>
      <c r="I786" s="9">
        <v>2</v>
      </c>
      <c r="J786" s="9">
        <v>0.24</v>
      </c>
      <c r="K786" s="9">
        <v>0.2424</v>
      </c>
      <c r="L786" s="9">
        <v>0.75</v>
      </c>
      <c r="M786" s="9">
        <v>0.16420000000000001</v>
      </c>
      <c r="N786" s="9">
        <v>1</v>
      </c>
      <c r="O786" s="9">
        <v>10</v>
      </c>
      <c r="P786" s="9">
        <v>11</v>
      </c>
      <c r="Q786" s="12" t="s">
        <v>78</v>
      </c>
      <c r="R786" s="13" t="s">
        <v>79</v>
      </c>
      <c r="S786" s="9" t="s">
        <v>80</v>
      </c>
      <c r="T786" s="11" t="s">
        <v>88</v>
      </c>
      <c r="U786" s="14" t="s">
        <v>82</v>
      </c>
      <c r="V786" s="12" t="s">
        <v>83</v>
      </c>
      <c r="W786" s="15" t="s">
        <v>84</v>
      </c>
      <c r="X786" s="9" t="s">
        <v>85</v>
      </c>
      <c r="Y786" s="12" t="s">
        <v>86</v>
      </c>
      <c r="Z786">
        <f t="shared" si="73"/>
        <v>124</v>
      </c>
      <c r="AA786" s="39">
        <f t="shared" si="74"/>
        <v>66.512820512820511</v>
      </c>
      <c r="AB786" s="39">
        <f t="shared" si="75"/>
        <v>3953.9618758642168</v>
      </c>
      <c r="AC786">
        <f t="shared" si="78"/>
        <v>0.9999026806392336</v>
      </c>
      <c r="AD786">
        <f t="shared" si="76"/>
        <v>0.99985588646180734</v>
      </c>
      <c r="AE786">
        <f t="shared" si="77"/>
        <v>8282</v>
      </c>
    </row>
    <row r="787" spans="1:31">
      <c r="A787" s="10">
        <v>786</v>
      </c>
      <c r="B787" s="31">
        <v>40579</v>
      </c>
      <c r="C787" s="10">
        <v>1</v>
      </c>
      <c r="D787" s="10">
        <v>0</v>
      </c>
      <c r="E787" s="10">
        <v>2</v>
      </c>
      <c r="F787" s="10">
        <v>4</v>
      </c>
      <c r="G787" s="10" t="b">
        <v>0</v>
      </c>
      <c r="H787" s="10">
        <v>6</v>
      </c>
      <c r="I787" s="10">
        <v>3</v>
      </c>
      <c r="J787" s="10">
        <v>0.22</v>
      </c>
      <c r="K787" s="10">
        <v>0.2273</v>
      </c>
      <c r="L787" s="10">
        <v>0.93</v>
      </c>
      <c r="M787" s="10">
        <v>0.1343</v>
      </c>
      <c r="N787" s="10">
        <v>0</v>
      </c>
      <c r="O787" s="10">
        <v>8</v>
      </c>
      <c r="P787" s="10">
        <v>8</v>
      </c>
      <c r="Q787" s="12" t="s">
        <v>78</v>
      </c>
      <c r="R787" s="13" t="s">
        <v>79</v>
      </c>
      <c r="S787" s="10" t="s">
        <v>80</v>
      </c>
      <c r="T787" s="12" t="s">
        <v>96</v>
      </c>
      <c r="U787" s="14" t="s">
        <v>82</v>
      </c>
      <c r="V787" s="12" t="s">
        <v>83</v>
      </c>
      <c r="W787" s="15" t="s">
        <v>84</v>
      </c>
      <c r="X787" s="10" t="s">
        <v>85</v>
      </c>
      <c r="Y787" s="12" t="s">
        <v>86</v>
      </c>
      <c r="Z787">
        <f t="shared" si="73"/>
        <v>124</v>
      </c>
      <c r="AA787" s="39">
        <f t="shared" si="74"/>
        <v>66.512820512820511</v>
      </c>
      <c r="AB787" s="39">
        <f t="shared" si="75"/>
        <v>3963.0854494973014</v>
      </c>
      <c r="AC787">
        <f t="shared" si="78"/>
        <v>0.99990315016757747</v>
      </c>
      <c r="AD787">
        <f t="shared" si="76"/>
        <v>0.99985662912907436</v>
      </c>
      <c r="AE787">
        <f t="shared" si="77"/>
        <v>8282</v>
      </c>
    </row>
    <row r="788" spans="1:31">
      <c r="A788" s="9">
        <v>787</v>
      </c>
      <c r="B788" s="30">
        <v>40579</v>
      </c>
      <c r="C788" s="9">
        <v>1</v>
      </c>
      <c r="D788" s="9">
        <v>0</v>
      </c>
      <c r="E788" s="9">
        <v>2</v>
      </c>
      <c r="F788" s="9">
        <v>5</v>
      </c>
      <c r="G788" s="9" t="b">
        <v>0</v>
      </c>
      <c r="H788" s="9">
        <v>6</v>
      </c>
      <c r="I788" s="9">
        <v>3</v>
      </c>
      <c r="J788" s="9">
        <v>0.2</v>
      </c>
      <c r="K788" s="9">
        <v>0.2273</v>
      </c>
      <c r="L788" s="9">
        <v>1</v>
      </c>
      <c r="M788" s="9">
        <v>8.9599999999999999E-2</v>
      </c>
      <c r="N788" s="9">
        <v>0</v>
      </c>
      <c r="O788" s="9">
        <v>9</v>
      </c>
      <c r="P788" s="9">
        <v>9</v>
      </c>
      <c r="Q788" s="12" t="s">
        <v>78</v>
      </c>
      <c r="R788" s="13" t="s">
        <v>79</v>
      </c>
      <c r="S788" s="9" t="s">
        <v>80</v>
      </c>
      <c r="T788" s="12" t="s">
        <v>96</v>
      </c>
      <c r="U788" s="15" t="s">
        <v>89</v>
      </c>
      <c r="V788" s="12" t="s">
        <v>83</v>
      </c>
      <c r="W788" s="15" t="s">
        <v>84</v>
      </c>
      <c r="X788" s="9" t="s">
        <v>85</v>
      </c>
      <c r="Y788" s="12" t="s">
        <v>86</v>
      </c>
      <c r="Z788">
        <f t="shared" si="73"/>
        <v>124</v>
      </c>
      <c r="AA788" s="39">
        <f t="shared" si="74"/>
        <v>66.512820512820511</v>
      </c>
      <c r="AB788" s="39">
        <f t="shared" si="75"/>
        <v>3972.2713201522565</v>
      </c>
      <c r="AC788">
        <f t="shared" si="78"/>
        <v>0.99990358024250847</v>
      </c>
      <c r="AD788">
        <f t="shared" si="76"/>
        <v>0.99985788957777466</v>
      </c>
      <c r="AE788">
        <f t="shared" si="77"/>
        <v>8282</v>
      </c>
    </row>
    <row r="789" spans="1:31">
      <c r="A789" s="10">
        <v>788</v>
      </c>
      <c r="B789" s="31">
        <v>40579</v>
      </c>
      <c r="C789" s="10">
        <v>1</v>
      </c>
      <c r="D789" s="10">
        <v>0</v>
      </c>
      <c r="E789" s="10">
        <v>2</v>
      </c>
      <c r="F789" s="10">
        <v>6</v>
      </c>
      <c r="G789" s="10" t="b">
        <v>0</v>
      </c>
      <c r="H789" s="10">
        <v>6</v>
      </c>
      <c r="I789" s="10">
        <v>3</v>
      </c>
      <c r="J789" s="10">
        <v>0.2</v>
      </c>
      <c r="K789" s="10">
        <v>0.2576</v>
      </c>
      <c r="L789" s="10">
        <v>1</v>
      </c>
      <c r="M789" s="10">
        <v>0</v>
      </c>
      <c r="N789" s="10">
        <v>0</v>
      </c>
      <c r="O789" s="10">
        <v>4</v>
      </c>
      <c r="P789" s="10">
        <v>4</v>
      </c>
      <c r="Q789" s="12" t="s">
        <v>78</v>
      </c>
      <c r="R789" s="13" t="s">
        <v>79</v>
      </c>
      <c r="S789" s="10" t="s">
        <v>80</v>
      </c>
      <c r="T789" s="12" t="s">
        <v>96</v>
      </c>
      <c r="U789" s="15" t="s">
        <v>89</v>
      </c>
      <c r="V789" s="12" t="s">
        <v>83</v>
      </c>
      <c r="W789" s="15" t="s">
        <v>84</v>
      </c>
      <c r="X789" s="10" t="s">
        <v>85</v>
      </c>
      <c r="Y789" s="12" t="s">
        <v>86</v>
      </c>
      <c r="Z789">
        <f t="shared" si="73"/>
        <v>124</v>
      </c>
      <c r="AA789" s="39">
        <f t="shared" si="74"/>
        <v>66.512820512820511</v>
      </c>
      <c r="AB789" s="39">
        <f t="shared" si="75"/>
        <v>3981.5217493664832</v>
      </c>
      <c r="AC789">
        <f t="shared" si="78"/>
        <v>0.9999039135227844</v>
      </c>
      <c r="AD789">
        <f t="shared" si="76"/>
        <v>0.99985933287478634</v>
      </c>
      <c r="AE789">
        <f t="shared" si="77"/>
        <v>8282</v>
      </c>
    </row>
    <row r="790" spans="1:31">
      <c r="A790" s="9">
        <v>789</v>
      </c>
      <c r="B790" s="30">
        <v>40579</v>
      </c>
      <c r="C790" s="9">
        <v>1</v>
      </c>
      <c r="D790" s="9">
        <v>0</v>
      </c>
      <c r="E790" s="9">
        <v>2</v>
      </c>
      <c r="F790" s="9">
        <v>7</v>
      </c>
      <c r="G790" s="9" t="b">
        <v>0</v>
      </c>
      <c r="H790" s="9">
        <v>6</v>
      </c>
      <c r="I790" s="9">
        <v>3</v>
      </c>
      <c r="J790" s="9">
        <v>0.22</v>
      </c>
      <c r="K790" s="9">
        <v>0.2576</v>
      </c>
      <c r="L790" s="9">
        <v>0.93</v>
      </c>
      <c r="M790" s="9">
        <v>8.9599999999999999E-2</v>
      </c>
      <c r="N790" s="9">
        <v>0</v>
      </c>
      <c r="O790" s="9">
        <v>4</v>
      </c>
      <c r="P790" s="9">
        <v>4</v>
      </c>
      <c r="Q790" s="12" t="s">
        <v>78</v>
      </c>
      <c r="R790" s="13" t="s">
        <v>79</v>
      </c>
      <c r="S790" s="9" t="s">
        <v>80</v>
      </c>
      <c r="T790" s="12" t="s">
        <v>96</v>
      </c>
      <c r="U790" s="15" t="s">
        <v>89</v>
      </c>
      <c r="V790" s="12" t="s">
        <v>83</v>
      </c>
      <c r="W790" s="15" t="s">
        <v>84</v>
      </c>
      <c r="X790" s="9" t="s">
        <v>85</v>
      </c>
      <c r="Y790" s="12" t="s">
        <v>86</v>
      </c>
      <c r="Z790">
        <f t="shared" si="73"/>
        <v>124</v>
      </c>
      <c r="AA790" s="39">
        <f t="shared" si="74"/>
        <v>66.512820512820511</v>
      </c>
      <c r="AB790" s="39">
        <f t="shared" si="75"/>
        <v>3990.8351417215076</v>
      </c>
      <c r="AC790">
        <f t="shared" si="78"/>
        <v>0.9999043246731204</v>
      </c>
      <c r="AD790">
        <f t="shared" si="76"/>
        <v>0.99986094091295619</v>
      </c>
      <c r="AE790">
        <f t="shared" si="77"/>
        <v>8282</v>
      </c>
    </row>
    <row r="791" spans="1:31">
      <c r="A791" s="10">
        <v>790</v>
      </c>
      <c r="B791" s="31">
        <v>40579</v>
      </c>
      <c r="C791" s="10">
        <v>1</v>
      </c>
      <c r="D791" s="10">
        <v>0</v>
      </c>
      <c r="E791" s="10">
        <v>2</v>
      </c>
      <c r="F791" s="10">
        <v>8</v>
      </c>
      <c r="G791" s="10" t="b">
        <v>0</v>
      </c>
      <c r="H791" s="10">
        <v>6</v>
      </c>
      <c r="I791" s="10">
        <v>3</v>
      </c>
      <c r="J791" s="10">
        <v>0.2</v>
      </c>
      <c r="K791" s="10">
        <v>0.2273</v>
      </c>
      <c r="L791" s="10">
        <v>1</v>
      </c>
      <c r="M791" s="10">
        <v>8.9599999999999999E-2</v>
      </c>
      <c r="N791" s="10">
        <v>0</v>
      </c>
      <c r="O791" s="10">
        <v>10</v>
      </c>
      <c r="P791" s="10">
        <v>10</v>
      </c>
      <c r="Q791" s="12" t="s">
        <v>78</v>
      </c>
      <c r="R791" s="13" t="s">
        <v>79</v>
      </c>
      <c r="S791" s="10" t="s">
        <v>80</v>
      </c>
      <c r="T791" s="12" t="s">
        <v>96</v>
      </c>
      <c r="U791" s="15" t="s">
        <v>89</v>
      </c>
      <c r="V791" s="12" t="s">
        <v>83</v>
      </c>
      <c r="W791" s="15" t="s">
        <v>84</v>
      </c>
      <c r="X791" s="10" t="s">
        <v>85</v>
      </c>
      <c r="Y791" s="12" t="s">
        <v>86</v>
      </c>
      <c r="Z791">
        <f t="shared" si="73"/>
        <v>124</v>
      </c>
      <c r="AA791" s="39">
        <f t="shared" si="74"/>
        <v>66.512820512820511</v>
      </c>
      <c r="AB791" s="39">
        <f t="shared" si="75"/>
        <v>4000.2141962317096</v>
      </c>
      <c r="AC791">
        <f t="shared" si="78"/>
        <v>0.99990483387804363</v>
      </c>
      <c r="AD791">
        <f t="shared" si="76"/>
        <v>0.99986235350917552</v>
      </c>
      <c r="AE791">
        <f t="shared" si="77"/>
        <v>8282</v>
      </c>
    </row>
    <row r="792" spans="1:31">
      <c r="A792" s="9">
        <v>791</v>
      </c>
      <c r="B792" s="30">
        <v>40579</v>
      </c>
      <c r="C792" s="9">
        <v>1</v>
      </c>
      <c r="D792" s="9">
        <v>0</v>
      </c>
      <c r="E792" s="9">
        <v>2</v>
      </c>
      <c r="F792" s="9">
        <v>9</v>
      </c>
      <c r="G792" s="9" t="b">
        <v>0</v>
      </c>
      <c r="H792" s="9">
        <v>6</v>
      </c>
      <c r="I792" s="9">
        <v>3</v>
      </c>
      <c r="J792" s="9">
        <v>0.2</v>
      </c>
      <c r="K792" s="9">
        <v>0.2273</v>
      </c>
      <c r="L792" s="9">
        <v>1</v>
      </c>
      <c r="M792" s="9">
        <v>8.9599999999999999E-2</v>
      </c>
      <c r="N792" s="9">
        <v>3</v>
      </c>
      <c r="O792" s="9">
        <v>17</v>
      </c>
      <c r="P792" s="9">
        <v>20</v>
      </c>
      <c r="Q792" s="12" t="s">
        <v>78</v>
      </c>
      <c r="R792" s="13" t="s">
        <v>79</v>
      </c>
      <c r="S792" s="9" t="s">
        <v>80</v>
      </c>
      <c r="T792" s="12" t="s">
        <v>96</v>
      </c>
      <c r="U792" s="15" t="s">
        <v>89</v>
      </c>
      <c r="V792" s="12" t="s">
        <v>83</v>
      </c>
      <c r="W792" s="15" t="s">
        <v>84</v>
      </c>
      <c r="X792" s="9" t="s">
        <v>85</v>
      </c>
      <c r="Y792" s="12" t="s">
        <v>86</v>
      </c>
      <c r="Z792">
        <f t="shared" si="73"/>
        <v>124</v>
      </c>
      <c r="AA792" s="39">
        <f t="shared" si="74"/>
        <v>66.512820512820511</v>
      </c>
      <c r="AB792" s="39">
        <f t="shared" si="75"/>
        <v>4009.6620750428597</v>
      </c>
      <c r="AC792">
        <f t="shared" si="78"/>
        <v>0.9999051636622337</v>
      </c>
      <c r="AD792">
        <f t="shared" si="76"/>
        <v>0.99986380928531005</v>
      </c>
      <c r="AE792">
        <f t="shared" si="77"/>
        <v>8282</v>
      </c>
    </row>
    <row r="793" spans="1:31">
      <c r="A793" s="10">
        <v>792</v>
      </c>
      <c r="B793" s="31">
        <v>40579</v>
      </c>
      <c r="C793" s="10">
        <v>1</v>
      </c>
      <c r="D793" s="10">
        <v>0</v>
      </c>
      <c r="E793" s="10">
        <v>2</v>
      </c>
      <c r="F793" s="10">
        <v>10</v>
      </c>
      <c r="G793" s="10" t="b">
        <v>0</v>
      </c>
      <c r="H793" s="10">
        <v>6</v>
      </c>
      <c r="I793" s="10">
        <v>3</v>
      </c>
      <c r="J793" s="10">
        <v>0.2</v>
      </c>
      <c r="K793" s="10">
        <v>0.21210000000000001</v>
      </c>
      <c r="L793" s="10">
        <v>1</v>
      </c>
      <c r="M793" s="10">
        <v>0.1343</v>
      </c>
      <c r="N793" s="10">
        <v>3</v>
      </c>
      <c r="O793" s="10">
        <v>31</v>
      </c>
      <c r="P793" s="10">
        <v>34</v>
      </c>
      <c r="Q793" s="12" t="s">
        <v>78</v>
      </c>
      <c r="R793" s="13" t="s">
        <v>79</v>
      </c>
      <c r="S793" s="10" t="s">
        <v>80</v>
      </c>
      <c r="T793" s="12" t="s">
        <v>96</v>
      </c>
      <c r="U793" s="13" t="s">
        <v>91</v>
      </c>
      <c r="V793" s="11" t="s">
        <v>87</v>
      </c>
      <c r="W793" s="15" t="s">
        <v>84</v>
      </c>
      <c r="X793" s="10" t="s">
        <v>85</v>
      </c>
      <c r="Y793" s="12" t="s">
        <v>86</v>
      </c>
      <c r="Z793">
        <f t="shared" si="73"/>
        <v>124</v>
      </c>
      <c r="AA793" s="39">
        <f t="shared" si="74"/>
        <v>66.512820512820511</v>
      </c>
      <c r="AB793" s="39">
        <f t="shared" si="75"/>
        <v>4019.1811244933033</v>
      </c>
      <c r="AC793">
        <f t="shared" si="78"/>
        <v>0.99990537024904047</v>
      </c>
      <c r="AD793">
        <f t="shared" si="76"/>
        <v>0.99986499796507422</v>
      </c>
      <c r="AE793">
        <f t="shared" si="77"/>
        <v>8282</v>
      </c>
    </row>
    <row r="794" spans="1:31">
      <c r="A794" s="9">
        <v>793</v>
      </c>
      <c r="B794" s="30">
        <v>40579</v>
      </c>
      <c r="C794" s="9">
        <v>1</v>
      </c>
      <c r="D794" s="9">
        <v>0</v>
      </c>
      <c r="E794" s="9">
        <v>2</v>
      </c>
      <c r="F794" s="9">
        <v>11</v>
      </c>
      <c r="G794" s="9" t="b">
        <v>0</v>
      </c>
      <c r="H794" s="9">
        <v>6</v>
      </c>
      <c r="I794" s="9">
        <v>3</v>
      </c>
      <c r="J794" s="9">
        <v>0.22</v>
      </c>
      <c r="K794" s="9">
        <v>0.2273</v>
      </c>
      <c r="L794" s="9">
        <v>1</v>
      </c>
      <c r="M794" s="9">
        <v>0.1343</v>
      </c>
      <c r="N794" s="9">
        <v>1</v>
      </c>
      <c r="O794" s="9">
        <v>46</v>
      </c>
      <c r="P794" s="9">
        <v>47</v>
      </c>
      <c r="Q794" s="12" t="s">
        <v>78</v>
      </c>
      <c r="R794" s="13" t="s">
        <v>79</v>
      </c>
      <c r="S794" s="9" t="s">
        <v>80</v>
      </c>
      <c r="T794" s="12" t="s">
        <v>96</v>
      </c>
      <c r="U794" s="13" t="s">
        <v>91</v>
      </c>
      <c r="V794" s="11" t="s">
        <v>87</v>
      </c>
      <c r="W794" s="15" t="s">
        <v>84</v>
      </c>
      <c r="X794" s="9" t="s">
        <v>85</v>
      </c>
      <c r="Y794" s="12" t="s">
        <v>86</v>
      </c>
      <c r="Z794">
        <f t="shared" si="73"/>
        <v>124</v>
      </c>
      <c r="AA794" s="39">
        <f t="shared" si="74"/>
        <v>66.512820512820511</v>
      </c>
      <c r="AB794" s="39">
        <f t="shared" si="75"/>
        <v>4028.7736048638089</v>
      </c>
      <c r="AC794">
        <f t="shared" si="78"/>
        <v>0.99990545115002005</v>
      </c>
      <c r="AD794">
        <f t="shared" si="76"/>
        <v>0.99986585278019258</v>
      </c>
      <c r="AE794">
        <f t="shared" si="77"/>
        <v>8282</v>
      </c>
    </row>
    <row r="795" spans="1:31">
      <c r="A795" s="10">
        <v>794</v>
      </c>
      <c r="B795" s="31">
        <v>40579</v>
      </c>
      <c r="C795" s="10">
        <v>1</v>
      </c>
      <c r="D795" s="10">
        <v>0</v>
      </c>
      <c r="E795" s="10">
        <v>2</v>
      </c>
      <c r="F795" s="10">
        <v>12</v>
      </c>
      <c r="G795" s="10" t="b">
        <v>0</v>
      </c>
      <c r="H795" s="10">
        <v>6</v>
      </c>
      <c r="I795" s="10">
        <v>3</v>
      </c>
      <c r="J795" s="10">
        <v>0.22</v>
      </c>
      <c r="K795" s="10">
        <v>0.2273</v>
      </c>
      <c r="L795" s="10">
        <v>1</v>
      </c>
      <c r="M795" s="10">
        <v>0.16420000000000001</v>
      </c>
      <c r="N795" s="10">
        <v>10</v>
      </c>
      <c r="O795" s="10">
        <v>42</v>
      </c>
      <c r="P795" s="10">
        <v>52</v>
      </c>
      <c r="Q795" s="12" t="s">
        <v>78</v>
      </c>
      <c r="R795" s="13" t="s">
        <v>79</v>
      </c>
      <c r="S795" s="10" t="s">
        <v>80</v>
      </c>
      <c r="T795" s="12" t="s">
        <v>96</v>
      </c>
      <c r="U795" s="11" t="s">
        <v>92</v>
      </c>
      <c r="V795" s="11" t="s">
        <v>87</v>
      </c>
      <c r="W795" s="15" t="s">
        <v>84</v>
      </c>
      <c r="X795" s="10" t="s">
        <v>85</v>
      </c>
      <c r="Y795" s="12" t="s">
        <v>86</v>
      </c>
      <c r="Z795">
        <f t="shared" si="73"/>
        <v>124</v>
      </c>
      <c r="AA795" s="39">
        <f t="shared" si="74"/>
        <v>66.512820512820511</v>
      </c>
      <c r="AB795" s="39">
        <f t="shared" si="75"/>
        <v>4038.4398542312142</v>
      </c>
      <c r="AC795">
        <f t="shared" si="78"/>
        <v>0.99990548906172949</v>
      </c>
      <c r="AD795">
        <f t="shared" si="76"/>
        <v>0.99986644601056018</v>
      </c>
      <c r="AE795">
        <f t="shared" si="77"/>
        <v>8282</v>
      </c>
    </row>
    <row r="796" spans="1:31">
      <c r="A796" s="9">
        <v>795</v>
      </c>
      <c r="B796" s="30">
        <v>40579</v>
      </c>
      <c r="C796" s="9">
        <v>1</v>
      </c>
      <c r="D796" s="9">
        <v>0</v>
      </c>
      <c r="E796" s="9">
        <v>2</v>
      </c>
      <c r="F796" s="9">
        <v>13</v>
      </c>
      <c r="G796" s="9" t="b">
        <v>0</v>
      </c>
      <c r="H796" s="9">
        <v>6</v>
      </c>
      <c r="I796" s="9">
        <v>3</v>
      </c>
      <c r="J796" s="9">
        <v>0.22</v>
      </c>
      <c r="K796" s="9">
        <v>0.2273</v>
      </c>
      <c r="L796" s="9">
        <v>1</v>
      </c>
      <c r="M796" s="9">
        <v>0.16420000000000001</v>
      </c>
      <c r="N796" s="9">
        <v>10</v>
      </c>
      <c r="O796" s="9">
        <v>62</v>
      </c>
      <c r="P796" s="9">
        <v>72</v>
      </c>
      <c r="Q796" s="12" t="s">
        <v>78</v>
      </c>
      <c r="R796" s="13" t="s">
        <v>79</v>
      </c>
      <c r="S796" s="9" t="s">
        <v>80</v>
      </c>
      <c r="T796" s="12" t="s">
        <v>96</v>
      </c>
      <c r="U796" s="11" t="s">
        <v>92</v>
      </c>
      <c r="V796" s="13" t="s">
        <v>93</v>
      </c>
      <c r="W796" s="15" t="s">
        <v>84</v>
      </c>
      <c r="X796" s="9" t="s">
        <v>85</v>
      </c>
      <c r="Y796" s="12" t="s">
        <v>86</v>
      </c>
      <c r="Z796">
        <f t="shared" si="73"/>
        <v>124</v>
      </c>
      <c r="AA796" s="39">
        <f t="shared" si="74"/>
        <v>66.512820512820511</v>
      </c>
      <c r="AB796" s="39">
        <f t="shared" si="75"/>
        <v>4048.1778043951299</v>
      </c>
      <c r="AC796">
        <f t="shared" si="78"/>
        <v>0.99990550650403875</v>
      </c>
      <c r="AD796">
        <f t="shared" si="76"/>
        <v>0.9998669541567472</v>
      </c>
      <c r="AE796">
        <f t="shared" si="77"/>
        <v>8282</v>
      </c>
    </row>
    <row r="797" spans="1:31">
      <c r="A797" s="10">
        <v>796</v>
      </c>
      <c r="B797" s="31">
        <v>40579</v>
      </c>
      <c r="C797" s="10">
        <v>1</v>
      </c>
      <c r="D797" s="10">
        <v>0</v>
      </c>
      <c r="E797" s="10">
        <v>2</v>
      </c>
      <c r="F797" s="10">
        <v>14</v>
      </c>
      <c r="G797" s="10" t="b">
        <v>0</v>
      </c>
      <c r="H797" s="10">
        <v>6</v>
      </c>
      <c r="I797" s="10">
        <v>3</v>
      </c>
      <c r="J797" s="10">
        <v>0.22</v>
      </c>
      <c r="K797" s="10">
        <v>0.2727</v>
      </c>
      <c r="L797" s="10">
        <v>1</v>
      </c>
      <c r="M797" s="10">
        <v>0</v>
      </c>
      <c r="N797" s="10">
        <v>5</v>
      </c>
      <c r="O797" s="10">
        <v>50</v>
      </c>
      <c r="P797" s="10">
        <v>55</v>
      </c>
      <c r="Q797" s="12" t="s">
        <v>78</v>
      </c>
      <c r="R797" s="13" t="s">
        <v>79</v>
      </c>
      <c r="S797" s="10" t="s">
        <v>80</v>
      </c>
      <c r="T797" s="12" t="s">
        <v>96</v>
      </c>
      <c r="U797" s="13" t="s">
        <v>94</v>
      </c>
      <c r="V797" s="11" t="s">
        <v>87</v>
      </c>
      <c r="W797" s="15" t="s">
        <v>84</v>
      </c>
      <c r="X797" s="10" t="s">
        <v>85</v>
      </c>
      <c r="Y797" s="12" t="s">
        <v>86</v>
      </c>
      <c r="Z797">
        <f t="shared" si="73"/>
        <v>124</v>
      </c>
      <c r="AA797" s="39">
        <f t="shared" si="74"/>
        <v>66.512820512820511</v>
      </c>
      <c r="AB797" s="39">
        <f t="shared" si="75"/>
        <v>4057.9934448664662</v>
      </c>
      <c r="AC797">
        <f t="shared" si="78"/>
        <v>0.99990551483340928</v>
      </c>
      <c r="AD797">
        <f t="shared" si="76"/>
        <v>0.99986717651058765</v>
      </c>
      <c r="AE797">
        <f t="shared" si="77"/>
        <v>8282</v>
      </c>
    </row>
    <row r="798" spans="1:31">
      <c r="A798" s="9">
        <v>797</v>
      </c>
      <c r="B798" s="30">
        <v>40579</v>
      </c>
      <c r="C798" s="9">
        <v>1</v>
      </c>
      <c r="D798" s="9">
        <v>0</v>
      </c>
      <c r="E798" s="9">
        <v>2</v>
      </c>
      <c r="F798" s="9">
        <v>15</v>
      </c>
      <c r="G798" s="9" t="b">
        <v>0</v>
      </c>
      <c r="H798" s="9">
        <v>6</v>
      </c>
      <c r="I798" s="9">
        <v>3</v>
      </c>
      <c r="J798" s="9">
        <v>0.22</v>
      </c>
      <c r="K798" s="9">
        <v>0.2727</v>
      </c>
      <c r="L798" s="9">
        <v>1</v>
      </c>
      <c r="M798" s="9">
        <v>0</v>
      </c>
      <c r="N798" s="9">
        <v>11</v>
      </c>
      <c r="O798" s="9">
        <v>49</v>
      </c>
      <c r="P798" s="9">
        <v>60</v>
      </c>
      <c r="Q798" s="12" t="s">
        <v>78</v>
      </c>
      <c r="R798" s="13" t="s">
        <v>79</v>
      </c>
      <c r="S798" s="9" t="s">
        <v>80</v>
      </c>
      <c r="T798" s="12" t="s">
        <v>96</v>
      </c>
      <c r="U798" s="13" t="s">
        <v>94</v>
      </c>
      <c r="V798" s="11" t="s">
        <v>87</v>
      </c>
      <c r="W798" s="15" t="s">
        <v>84</v>
      </c>
      <c r="X798" s="9" t="s">
        <v>85</v>
      </c>
      <c r="Y798" s="12" t="s">
        <v>86</v>
      </c>
      <c r="Z798">
        <f t="shared" si="73"/>
        <v>124</v>
      </c>
      <c r="AA798" s="39">
        <f t="shared" si="74"/>
        <v>66.512820512820511</v>
      </c>
      <c r="AB798" s="39">
        <f t="shared" si="75"/>
        <v>4067.8749527581231</v>
      </c>
      <c r="AC798">
        <f t="shared" si="78"/>
        <v>0.99990552333822258</v>
      </c>
      <c r="AD798">
        <f t="shared" si="76"/>
        <v>0.99986764158505137</v>
      </c>
      <c r="AE798">
        <f t="shared" si="77"/>
        <v>8282</v>
      </c>
    </row>
    <row r="799" spans="1:31">
      <c r="A799" s="10">
        <v>798</v>
      </c>
      <c r="B799" s="31">
        <v>40579</v>
      </c>
      <c r="C799" s="10">
        <v>1</v>
      </c>
      <c r="D799" s="10">
        <v>0</v>
      </c>
      <c r="E799" s="10">
        <v>2</v>
      </c>
      <c r="F799" s="10">
        <v>16</v>
      </c>
      <c r="G799" s="10" t="b">
        <v>0</v>
      </c>
      <c r="H799" s="10">
        <v>6</v>
      </c>
      <c r="I799" s="10">
        <v>3</v>
      </c>
      <c r="J799" s="10">
        <v>0.22</v>
      </c>
      <c r="K799" s="10">
        <v>0.2273</v>
      </c>
      <c r="L799" s="10">
        <v>1</v>
      </c>
      <c r="M799" s="10">
        <v>0.1343</v>
      </c>
      <c r="N799" s="10">
        <v>8</v>
      </c>
      <c r="O799" s="10">
        <v>63</v>
      </c>
      <c r="P799" s="10">
        <v>71</v>
      </c>
      <c r="Q799" s="12" t="s">
        <v>78</v>
      </c>
      <c r="R799" s="13" t="s">
        <v>79</v>
      </c>
      <c r="S799" s="10" t="s">
        <v>80</v>
      </c>
      <c r="T799" s="12" t="s">
        <v>96</v>
      </c>
      <c r="U799" s="13" t="s">
        <v>94</v>
      </c>
      <c r="V799" s="13" t="s">
        <v>93</v>
      </c>
      <c r="W799" s="15" t="s">
        <v>84</v>
      </c>
      <c r="X799" s="10" t="s">
        <v>85</v>
      </c>
      <c r="Y799" s="12" t="s">
        <v>86</v>
      </c>
      <c r="Z799">
        <f t="shared" si="73"/>
        <v>124</v>
      </c>
      <c r="AA799" s="39">
        <f t="shared" si="74"/>
        <v>66.512820512820511</v>
      </c>
      <c r="AB799" s="39">
        <f t="shared" si="75"/>
        <v>4077.8307794477987</v>
      </c>
      <c r="AC799">
        <f t="shared" si="78"/>
        <v>0.99990552290761781</v>
      </c>
      <c r="AD799">
        <f t="shared" si="76"/>
        <v>0.9998680311720034</v>
      </c>
      <c r="AE799">
        <f t="shared" si="77"/>
        <v>8282</v>
      </c>
    </row>
    <row r="800" spans="1:31">
      <c r="A800" s="9">
        <v>799</v>
      </c>
      <c r="B800" s="30">
        <v>40579</v>
      </c>
      <c r="C800" s="9">
        <v>1</v>
      </c>
      <c r="D800" s="9">
        <v>0</v>
      </c>
      <c r="E800" s="9">
        <v>2</v>
      </c>
      <c r="F800" s="9">
        <v>17</v>
      </c>
      <c r="G800" s="9" t="b">
        <v>0</v>
      </c>
      <c r="H800" s="9">
        <v>6</v>
      </c>
      <c r="I800" s="9">
        <v>2</v>
      </c>
      <c r="J800" s="9">
        <v>0.24</v>
      </c>
      <c r="K800" s="9">
        <v>0.21210000000000001</v>
      </c>
      <c r="L800" s="9">
        <v>1</v>
      </c>
      <c r="M800" s="9">
        <v>0.28360000000000002</v>
      </c>
      <c r="N800" s="9">
        <v>14</v>
      </c>
      <c r="O800" s="9">
        <v>64</v>
      </c>
      <c r="P800" s="9">
        <v>78</v>
      </c>
      <c r="Q800" s="12" t="s">
        <v>78</v>
      </c>
      <c r="R800" s="13" t="s">
        <v>79</v>
      </c>
      <c r="S800" s="9" t="s">
        <v>80</v>
      </c>
      <c r="T800" s="11" t="s">
        <v>88</v>
      </c>
      <c r="U800" s="15" t="s">
        <v>95</v>
      </c>
      <c r="V800" s="13" t="s">
        <v>93</v>
      </c>
      <c r="W800" s="15" t="s">
        <v>84</v>
      </c>
      <c r="X800" s="9" t="s">
        <v>85</v>
      </c>
      <c r="Y800" s="12" t="s">
        <v>86</v>
      </c>
      <c r="Z800">
        <f t="shared" si="73"/>
        <v>124</v>
      </c>
      <c r="AA800" s="39">
        <f t="shared" si="74"/>
        <v>66.512820512820511</v>
      </c>
      <c r="AB800" s="39">
        <f t="shared" si="75"/>
        <v>4087.8638999360451</v>
      </c>
      <c r="AC800">
        <f t="shared" si="78"/>
        <v>0.99990552876739613</v>
      </c>
      <c r="AD800">
        <f t="shared" si="76"/>
        <v>0.99986827379853926</v>
      </c>
      <c r="AE800">
        <f t="shared" si="77"/>
        <v>8282</v>
      </c>
    </row>
    <row r="801" spans="1:31">
      <c r="A801" s="10">
        <v>800</v>
      </c>
      <c r="B801" s="31">
        <v>40579</v>
      </c>
      <c r="C801" s="10">
        <v>1</v>
      </c>
      <c r="D801" s="10">
        <v>0</v>
      </c>
      <c r="E801" s="10">
        <v>2</v>
      </c>
      <c r="F801" s="10">
        <v>18</v>
      </c>
      <c r="G801" s="10" t="b">
        <v>0</v>
      </c>
      <c r="H801" s="10">
        <v>6</v>
      </c>
      <c r="I801" s="10">
        <v>2</v>
      </c>
      <c r="J801" s="10">
        <v>0.28000000000000003</v>
      </c>
      <c r="K801" s="10">
        <v>0.2424</v>
      </c>
      <c r="L801" s="10">
        <v>0.93</v>
      </c>
      <c r="M801" s="10">
        <v>0.44779999999999998</v>
      </c>
      <c r="N801" s="10">
        <v>2</v>
      </c>
      <c r="O801" s="10">
        <v>81</v>
      </c>
      <c r="P801" s="10">
        <v>83</v>
      </c>
      <c r="Q801" s="12" t="s">
        <v>78</v>
      </c>
      <c r="R801" s="13" t="s">
        <v>79</v>
      </c>
      <c r="S801" s="10" t="s">
        <v>80</v>
      </c>
      <c r="T801" s="11" t="s">
        <v>88</v>
      </c>
      <c r="U801" s="15" t="s">
        <v>95</v>
      </c>
      <c r="V801" s="13" t="s">
        <v>93</v>
      </c>
      <c r="W801" s="13" t="s">
        <v>90</v>
      </c>
      <c r="X801" s="10" t="s">
        <v>85</v>
      </c>
      <c r="Y801" s="12" t="s">
        <v>86</v>
      </c>
      <c r="Z801">
        <f t="shared" si="73"/>
        <v>124</v>
      </c>
      <c r="AA801" s="39">
        <f t="shared" si="74"/>
        <v>66.512820512820511</v>
      </c>
      <c r="AB801" s="39">
        <f t="shared" si="75"/>
        <v>4097.9738255271568</v>
      </c>
      <c r="AC801">
        <f t="shared" si="78"/>
        <v>0.99990553800917181</v>
      </c>
      <c r="AD801">
        <f t="shared" si="76"/>
        <v>0.9998684411952522</v>
      </c>
      <c r="AE801">
        <f t="shared" si="77"/>
        <v>8282</v>
      </c>
    </row>
    <row r="802" spans="1:31">
      <c r="A802" s="9">
        <v>801</v>
      </c>
      <c r="B802" s="30">
        <v>40579</v>
      </c>
      <c r="C802" s="9">
        <v>1</v>
      </c>
      <c r="D802" s="9">
        <v>0</v>
      </c>
      <c r="E802" s="9">
        <v>2</v>
      </c>
      <c r="F802" s="9">
        <v>19</v>
      </c>
      <c r="G802" s="9" t="b">
        <v>0</v>
      </c>
      <c r="H802" s="9">
        <v>6</v>
      </c>
      <c r="I802" s="9">
        <v>2</v>
      </c>
      <c r="J802" s="9">
        <v>0.28000000000000003</v>
      </c>
      <c r="K802" s="9">
        <v>0.2424</v>
      </c>
      <c r="L802" s="9">
        <v>0.93</v>
      </c>
      <c r="M802" s="9">
        <v>0.44779999999999998</v>
      </c>
      <c r="N802" s="9">
        <v>6</v>
      </c>
      <c r="O802" s="9">
        <v>78</v>
      </c>
      <c r="P802" s="9">
        <v>84</v>
      </c>
      <c r="Q802" s="12" t="s">
        <v>78</v>
      </c>
      <c r="R802" s="13" t="s">
        <v>79</v>
      </c>
      <c r="S802" s="9" t="s">
        <v>80</v>
      </c>
      <c r="T802" s="11" t="s">
        <v>88</v>
      </c>
      <c r="U802" s="15" t="s">
        <v>95</v>
      </c>
      <c r="V802" s="13" t="s">
        <v>93</v>
      </c>
      <c r="W802" s="13" t="s">
        <v>90</v>
      </c>
      <c r="X802" s="9" t="s">
        <v>85</v>
      </c>
      <c r="Y802" s="12" t="s">
        <v>86</v>
      </c>
      <c r="Z802">
        <f t="shared" si="73"/>
        <v>124</v>
      </c>
      <c r="AA802" s="39">
        <f t="shared" si="74"/>
        <v>66.512820512820511</v>
      </c>
      <c r="AB802" s="39">
        <f t="shared" si="75"/>
        <v>4108.1608119529192</v>
      </c>
      <c r="AC802">
        <f t="shared" si="78"/>
        <v>0.99990553683143601</v>
      </c>
      <c r="AD802">
        <f t="shared" si="76"/>
        <v>0.99986851030617885</v>
      </c>
      <c r="AE802">
        <f t="shared" si="77"/>
        <v>8282</v>
      </c>
    </row>
    <row r="803" spans="1:31">
      <c r="A803" s="10">
        <v>802</v>
      </c>
      <c r="B803" s="31">
        <v>40579</v>
      </c>
      <c r="C803" s="10">
        <v>1</v>
      </c>
      <c r="D803" s="10">
        <v>0</v>
      </c>
      <c r="E803" s="10">
        <v>2</v>
      </c>
      <c r="F803" s="10">
        <v>20</v>
      </c>
      <c r="G803" s="10" t="b">
        <v>0</v>
      </c>
      <c r="H803" s="10">
        <v>6</v>
      </c>
      <c r="I803" s="10">
        <v>1</v>
      </c>
      <c r="J803" s="10">
        <v>0.3</v>
      </c>
      <c r="K803" s="10">
        <v>0.28789999999999999</v>
      </c>
      <c r="L803" s="10">
        <v>0.87</v>
      </c>
      <c r="M803" s="10">
        <v>0.25369999999999998</v>
      </c>
      <c r="N803" s="10">
        <v>5</v>
      </c>
      <c r="O803" s="10">
        <v>64</v>
      </c>
      <c r="P803" s="10">
        <v>69</v>
      </c>
      <c r="Q803" s="12" t="s">
        <v>78</v>
      </c>
      <c r="R803" s="13" t="s">
        <v>79</v>
      </c>
      <c r="S803" s="10" t="s">
        <v>80</v>
      </c>
      <c r="T803" s="13" t="s">
        <v>81</v>
      </c>
      <c r="U803" s="16" t="s">
        <v>97</v>
      </c>
      <c r="V803" s="13" t="s">
        <v>93</v>
      </c>
      <c r="W803" s="13" t="s">
        <v>90</v>
      </c>
      <c r="X803" s="10" t="s">
        <v>85</v>
      </c>
      <c r="Y803" s="12" t="s">
        <v>86</v>
      </c>
      <c r="Z803">
        <f t="shared" si="73"/>
        <v>124</v>
      </c>
      <c r="AA803" s="39">
        <f t="shared" si="74"/>
        <v>66.512820512820511</v>
      </c>
      <c r="AB803" s="39">
        <f t="shared" si="75"/>
        <v>4118.4244828672527</v>
      </c>
      <c r="AC803">
        <f t="shared" si="78"/>
        <v>0.99990553654186587</v>
      </c>
      <c r="AD803">
        <f t="shared" si="76"/>
        <v>0.99986857370272864</v>
      </c>
      <c r="AE803">
        <f t="shared" si="77"/>
        <v>8282</v>
      </c>
    </row>
    <row r="804" spans="1:31">
      <c r="A804" s="9">
        <v>803</v>
      </c>
      <c r="B804" s="30">
        <v>40579</v>
      </c>
      <c r="C804" s="9">
        <v>1</v>
      </c>
      <c r="D804" s="9">
        <v>0</v>
      </c>
      <c r="E804" s="9">
        <v>2</v>
      </c>
      <c r="F804" s="9">
        <v>21</v>
      </c>
      <c r="G804" s="9" t="b">
        <v>0</v>
      </c>
      <c r="H804" s="9">
        <v>6</v>
      </c>
      <c r="I804" s="9">
        <v>1</v>
      </c>
      <c r="J804" s="9">
        <v>0.26</v>
      </c>
      <c r="K804" s="9">
        <v>0.2576</v>
      </c>
      <c r="L804" s="9">
        <v>1</v>
      </c>
      <c r="M804" s="9">
        <v>0.19400000000000001</v>
      </c>
      <c r="N804" s="9">
        <v>3</v>
      </c>
      <c r="O804" s="9">
        <v>53</v>
      </c>
      <c r="P804" s="9">
        <v>56</v>
      </c>
      <c r="Q804" s="12" t="s">
        <v>78</v>
      </c>
      <c r="R804" s="13" t="s">
        <v>79</v>
      </c>
      <c r="S804" s="9" t="s">
        <v>80</v>
      </c>
      <c r="T804" s="13" t="s">
        <v>81</v>
      </c>
      <c r="U804" s="16" t="s">
        <v>97</v>
      </c>
      <c r="V804" s="11" t="s">
        <v>87</v>
      </c>
      <c r="W804" s="13" t="s">
        <v>90</v>
      </c>
      <c r="X804" s="9" t="s">
        <v>85</v>
      </c>
      <c r="Y804" s="12" t="s">
        <v>86</v>
      </c>
      <c r="Z804">
        <f t="shared" si="73"/>
        <v>124</v>
      </c>
      <c r="AA804" s="39">
        <f t="shared" si="74"/>
        <v>66.49677419354839</v>
      </c>
      <c r="AB804" s="39">
        <f t="shared" si="75"/>
        <v>4128.7602857188367</v>
      </c>
      <c r="AC804">
        <f t="shared" si="78"/>
        <v>0.99990557812322944</v>
      </c>
      <c r="AD804">
        <f t="shared" si="76"/>
        <v>0.99986870627546243</v>
      </c>
      <c r="AE804">
        <f t="shared" si="77"/>
        <v>8282</v>
      </c>
    </row>
    <row r="805" spans="1:31">
      <c r="A805" s="10">
        <v>804</v>
      </c>
      <c r="B805" s="31">
        <v>40579</v>
      </c>
      <c r="C805" s="10">
        <v>1</v>
      </c>
      <c r="D805" s="10">
        <v>0</v>
      </c>
      <c r="E805" s="10">
        <v>2</v>
      </c>
      <c r="F805" s="10">
        <v>22</v>
      </c>
      <c r="G805" s="10" t="b">
        <v>0</v>
      </c>
      <c r="H805" s="10">
        <v>6</v>
      </c>
      <c r="I805" s="10">
        <v>1</v>
      </c>
      <c r="J805" s="10">
        <v>0.26</v>
      </c>
      <c r="K805" s="10">
        <v>0.2727</v>
      </c>
      <c r="L805" s="10">
        <v>0.93</v>
      </c>
      <c r="M805" s="10">
        <v>0.1343</v>
      </c>
      <c r="N805" s="10">
        <v>2</v>
      </c>
      <c r="O805" s="10">
        <v>43</v>
      </c>
      <c r="P805" s="10">
        <v>45</v>
      </c>
      <c r="Q805" s="12" t="s">
        <v>78</v>
      </c>
      <c r="R805" s="13" t="s">
        <v>79</v>
      </c>
      <c r="S805" s="10" t="s">
        <v>80</v>
      </c>
      <c r="T805" s="13" t="s">
        <v>81</v>
      </c>
      <c r="U805" s="16" t="s">
        <v>97</v>
      </c>
      <c r="V805" s="11" t="s">
        <v>87</v>
      </c>
      <c r="W805" s="13" t="s">
        <v>90</v>
      </c>
      <c r="X805" s="10" t="s">
        <v>85</v>
      </c>
      <c r="Y805" s="12" t="s">
        <v>86</v>
      </c>
      <c r="Z805">
        <f t="shared" si="73"/>
        <v>124</v>
      </c>
      <c r="AA805" s="39">
        <f t="shared" si="74"/>
        <v>66.564935064935071</v>
      </c>
      <c r="AB805" s="39">
        <f t="shared" si="75"/>
        <v>4139.1695489791955</v>
      </c>
      <c r="AC805">
        <f t="shared" si="78"/>
        <v>0.99990562893383861</v>
      </c>
      <c r="AD805">
        <f t="shared" si="76"/>
        <v>0.99986917576778933</v>
      </c>
      <c r="AE805">
        <f t="shared" si="77"/>
        <v>8282</v>
      </c>
    </row>
    <row r="806" spans="1:31">
      <c r="A806" s="9">
        <v>805</v>
      </c>
      <c r="B806" s="30">
        <v>40579</v>
      </c>
      <c r="C806" s="9">
        <v>1</v>
      </c>
      <c r="D806" s="9">
        <v>0</v>
      </c>
      <c r="E806" s="9">
        <v>2</v>
      </c>
      <c r="F806" s="9">
        <v>23</v>
      </c>
      <c r="G806" s="9" t="b">
        <v>0</v>
      </c>
      <c r="H806" s="9">
        <v>6</v>
      </c>
      <c r="I806" s="9">
        <v>1</v>
      </c>
      <c r="J806" s="9">
        <v>0.26</v>
      </c>
      <c r="K806" s="9">
        <v>0.2576</v>
      </c>
      <c r="L806" s="9">
        <v>0.93</v>
      </c>
      <c r="M806" s="9">
        <v>0.22389999999999999</v>
      </c>
      <c r="N806" s="9">
        <v>7</v>
      </c>
      <c r="O806" s="9">
        <v>52</v>
      </c>
      <c r="P806" s="9">
        <v>59</v>
      </c>
      <c r="Q806" s="12" t="s">
        <v>78</v>
      </c>
      <c r="R806" s="13" t="s">
        <v>79</v>
      </c>
      <c r="S806" s="9" t="s">
        <v>80</v>
      </c>
      <c r="T806" s="13" t="s">
        <v>81</v>
      </c>
      <c r="U806" s="16" t="s">
        <v>97</v>
      </c>
      <c r="V806" s="11" t="s">
        <v>87</v>
      </c>
      <c r="W806" s="13" t="s">
        <v>90</v>
      </c>
      <c r="X806" s="9" t="s">
        <v>85</v>
      </c>
      <c r="Y806" s="12" t="s">
        <v>86</v>
      </c>
      <c r="Z806">
        <f t="shared" si="73"/>
        <v>124</v>
      </c>
      <c r="AA806" s="39">
        <f t="shared" si="74"/>
        <v>66.705882352941174</v>
      </c>
      <c r="AB806" s="39">
        <f t="shared" si="75"/>
        <v>4149.6537277825155</v>
      </c>
      <c r="AC806">
        <f t="shared" si="78"/>
        <v>0.99990576044320023</v>
      </c>
      <c r="AD806">
        <f t="shared" si="76"/>
        <v>0.99986971959018733</v>
      </c>
      <c r="AE806">
        <f t="shared" si="77"/>
        <v>8282</v>
      </c>
    </row>
    <row r="807" spans="1:31">
      <c r="A807" s="10">
        <v>806</v>
      </c>
      <c r="B807" s="31">
        <v>40580</v>
      </c>
      <c r="C807" s="10">
        <v>1</v>
      </c>
      <c r="D807" s="10">
        <v>0</v>
      </c>
      <c r="E807" s="10">
        <v>2</v>
      </c>
      <c r="F807" s="10">
        <v>0</v>
      </c>
      <c r="G807" s="10" t="b">
        <v>0</v>
      </c>
      <c r="H807" s="10">
        <v>0</v>
      </c>
      <c r="I807" s="10">
        <v>1</v>
      </c>
      <c r="J807" s="10">
        <v>0.26</v>
      </c>
      <c r="K807" s="10">
        <v>0.2576</v>
      </c>
      <c r="L807" s="10">
        <v>0.7</v>
      </c>
      <c r="M807" s="10">
        <v>0.19400000000000001</v>
      </c>
      <c r="N807" s="10">
        <v>2</v>
      </c>
      <c r="O807" s="10">
        <v>37</v>
      </c>
      <c r="P807" s="10">
        <v>39</v>
      </c>
      <c r="Q807" s="12" t="s">
        <v>78</v>
      </c>
      <c r="R807" s="13" t="s">
        <v>79</v>
      </c>
      <c r="S807" s="10" t="s">
        <v>80</v>
      </c>
      <c r="T807" s="13" t="s">
        <v>81</v>
      </c>
      <c r="U807" s="14" t="s">
        <v>82</v>
      </c>
      <c r="V807" s="11" t="s">
        <v>87</v>
      </c>
      <c r="W807" s="13" t="s">
        <v>90</v>
      </c>
      <c r="X807" s="10" t="s">
        <v>85</v>
      </c>
      <c r="Y807" s="12" t="s">
        <v>86</v>
      </c>
      <c r="Z807">
        <f t="shared" si="73"/>
        <v>124</v>
      </c>
      <c r="AA807" s="39">
        <f t="shared" si="74"/>
        <v>66.756578947368425</v>
      </c>
      <c r="AB807" s="39">
        <f t="shared" si="75"/>
        <v>4160.2233569606751</v>
      </c>
      <c r="AC807">
        <f t="shared" si="78"/>
        <v>0.99990579687509973</v>
      </c>
      <c r="AD807">
        <f t="shared" si="76"/>
        <v>0.99987004436383908</v>
      </c>
      <c r="AE807">
        <f t="shared" si="77"/>
        <v>8282</v>
      </c>
    </row>
    <row r="808" spans="1:31">
      <c r="A808" s="9">
        <v>807</v>
      </c>
      <c r="B808" s="30">
        <v>40580</v>
      </c>
      <c r="C808" s="9">
        <v>1</v>
      </c>
      <c r="D808" s="9">
        <v>0</v>
      </c>
      <c r="E808" s="9">
        <v>2</v>
      </c>
      <c r="F808" s="9">
        <v>1</v>
      </c>
      <c r="G808" s="9" t="b">
        <v>0</v>
      </c>
      <c r="H808" s="9">
        <v>0</v>
      </c>
      <c r="I808" s="9">
        <v>1</v>
      </c>
      <c r="J808" s="9">
        <v>0.26</v>
      </c>
      <c r="K808" s="9">
        <v>0.2273</v>
      </c>
      <c r="L808" s="9">
        <v>0.65</v>
      </c>
      <c r="M808" s="9">
        <v>0.41789999999999999</v>
      </c>
      <c r="N808" s="9">
        <v>4</v>
      </c>
      <c r="O808" s="9">
        <v>40</v>
      </c>
      <c r="P808" s="9">
        <v>44</v>
      </c>
      <c r="Q808" s="12" t="s">
        <v>78</v>
      </c>
      <c r="R808" s="13" t="s">
        <v>79</v>
      </c>
      <c r="S808" s="9" t="s">
        <v>80</v>
      </c>
      <c r="T808" s="13" t="s">
        <v>81</v>
      </c>
      <c r="U808" s="14" t="s">
        <v>82</v>
      </c>
      <c r="V808" s="11" t="s">
        <v>87</v>
      </c>
      <c r="W808" s="13" t="s">
        <v>90</v>
      </c>
      <c r="X808" s="9" t="s">
        <v>85</v>
      </c>
      <c r="Y808" s="12" t="s">
        <v>86</v>
      </c>
      <c r="Z808">
        <f t="shared" si="73"/>
        <v>124</v>
      </c>
      <c r="AA808" s="39">
        <f t="shared" si="74"/>
        <v>66.940397350993379</v>
      </c>
      <c r="AB808" s="39">
        <f t="shared" si="75"/>
        <v>4170.8663491737352</v>
      </c>
      <c r="AC808">
        <f t="shared" si="78"/>
        <v>0.99990598981614298</v>
      </c>
      <c r="AD808">
        <f t="shared" si="76"/>
        <v>0.99987033097165146</v>
      </c>
      <c r="AE808">
        <f t="shared" si="77"/>
        <v>8282</v>
      </c>
    </row>
    <row r="809" spans="1:31">
      <c r="A809" s="10">
        <v>808</v>
      </c>
      <c r="B809" s="31">
        <v>40580</v>
      </c>
      <c r="C809" s="10">
        <v>1</v>
      </c>
      <c r="D809" s="10">
        <v>0</v>
      </c>
      <c r="E809" s="10">
        <v>2</v>
      </c>
      <c r="F809" s="10">
        <v>2</v>
      </c>
      <c r="G809" s="10" t="b">
        <v>0</v>
      </c>
      <c r="H809" s="10">
        <v>0</v>
      </c>
      <c r="I809" s="10">
        <v>1</v>
      </c>
      <c r="J809" s="10">
        <v>0.26</v>
      </c>
      <c r="K809" s="10">
        <v>0.2273</v>
      </c>
      <c r="L809" s="10">
        <v>0.6</v>
      </c>
      <c r="M809" s="10">
        <v>0.32840000000000003</v>
      </c>
      <c r="N809" s="10">
        <v>0</v>
      </c>
      <c r="O809" s="10">
        <v>20</v>
      </c>
      <c r="P809" s="10">
        <v>20</v>
      </c>
      <c r="Q809" s="12" t="s">
        <v>78</v>
      </c>
      <c r="R809" s="13" t="s">
        <v>79</v>
      </c>
      <c r="S809" s="10" t="s">
        <v>80</v>
      </c>
      <c r="T809" s="13" t="s">
        <v>81</v>
      </c>
      <c r="U809" s="14" t="s">
        <v>82</v>
      </c>
      <c r="V809" s="12" t="s">
        <v>83</v>
      </c>
      <c r="W809" s="13" t="s">
        <v>90</v>
      </c>
      <c r="X809" s="10" t="s">
        <v>85</v>
      </c>
      <c r="Y809" s="12" t="s">
        <v>86</v>
      </c>
      <c r="Z809">
        <f t="shared" si="73"/>
        <v>124</v>
      </c>
      <c r="AA809" s="39">
        <f t="shared" si="74"/>
        <v>67.093333333333334</v>
      </c>
      <c r="AB809" s="39">
        <f t="shared" si="75"/>
        <v>4181.5934603013075</v>
      </c>
      <c r="AC809">
        <f t="shared" si="78"/>
        <v>0.99990613428659647</v>
      </c>
      <c r="AD809">
        <f t="shared" si="76"/>
        <v>0.9998705032684152</v>
      </c>
      <c r="AE809">
        <f t="shared" si="77"/>
        <v>8282</v>
      </c>
    </row>
    <row r="810" spans="1:31">
      <c r="A810" s="9">
        <v>809</v>
      </c>
      <c r="B810" s="30">
        <v>40580</v>
      </c>
      <c r="C810" s="9">
        <v>1</v>
      </c>
      <c r="D810" s="9">
        <v>0</v>
      </c>
      <c r="E810" s="9">
        <v>2</v>
      </c>
      <c r="F810" s="9">
        <v>3</v>
      </c>
      <c r="G810" s="9" t="b">
        <v>0</v>
      </c>
      <c r="H810" s="9">
        <v>0</v>
      </c>
      <c r="I810" s="9">
        <v>1</v>
      </c>
      <c r="J810" s="9">
        <v>0.26</v>
      </c>
      <c r="K810" s="9">
        <v>0.28789999999999999</v>
      </c>
      <c r="L810" s="9">
        <v>0.6</v>
      </c>
      <c r="M810" s="9">
        <v>8.9599999999999999E-2</v>
      </c>
      <c r="N810" s="9">
        <v>3</v>
      </c>
      <c r="O810" s="9">
        <v>10</v>
      </c>
      <c r="P810" s="9">
        <v>13</v>
      </c>
      <c r="Q810" s="12" t="s">
        <v>78</v>
      </c>
      <c r="R810" s="13" t="s">
        <v>79</v>
      </c>
      <c r="S810" s="9" t="s">
        <v>80</v>
      </c>
      <c r="T810" s="13" t="s">
        <v>81</v>
      </c>
      <c r="U810" s="14" t="s">
        <v>82</v>
      </c>
      <c r="V810" s="12" t="s">
        <v>83</v>
      </c>
      <c r="W810" s="13" t="s">
        <v>90</v>
      </c>
      <c r="X810" s="9" t="s">
        <v>85</v>
      </c>
      <c r="Y810" s="12" t="s">
        <v>86</v>
      </c>
      <c r="Z810">
        <f t="shared" si="73"/>
        <v>124</v>
      </c>
      <c r="AA810" s="39">
        <f t="shared" si="74"/>
        <v>67.409395973154361</v>
      </c>
      <c r="AB810" s="39">
        <f t="shared" si="75"/>
        <v>4192.39372818416</v>
      </c>
      <c r="AC810">
        <f t="shared" si="78"/>
        <v>0.99990659166995</v>
      </c>
      <c r="AD810">
        <f t="shared" si="76"/>
        <v>0.9998709262071438</v>
      </c>
      <c r="AE810">
        <f t="shared" si="77"/>
        <v>8282</v>
      </c>
    </row>
    <row r="811" spans="1:31">
      <c r="A811" s="10">
        <v>810</v>
      </c>
      <c r="B811" s="31">
        <v>40580</v>
      </c>
      <c r="C811" s="10">
        <v>1</v>
      </c>
      <c r="D811" s="10">
        <v>0</v>
      </c>
      <c r="E811" s="10">
        <v>2</v>
      </c>
      <c r="F811" s="10">
        <v>4</v>
      </c>
      <c r="G811" s="10" t="b">
        <v>0</v>
      </c>
      <c r="H811" s="10">
        <v>0</v>
      </c>
      <c r="I811" s="10">
        <v>1</v>
      </c>
      <c r="J811" s="10">
        <v>0.26</v>
      </c>
      <c r="K811" s="10">
        <v>0.2273</v>
      </c>
      <c r="L811" s="10">
        <v>0.6</v>
      </c>
      <c r="M811" s="10">
        <v>0.35820000000000002</v>
      </c>
      <c r="N811" s="10">
        <v>0</v>
      </c>
      <c r="O811" s="10">
        <v>2</v>
      </c>
      <c r="P811" s="10">
        <v>2</v>
      </c>
      <c r="Q811" s="12" t="s">
        <v>78</v>
      </c>
      <c r="R811" s="13" t="s">
        <v>79</v>
      </c>
      <c r="S811" s="10" t="s">
        <v>80</v>
      </c>
      <c r="T811" s="13" t="s">
        <v>81</v>
      </c>
      <c r="U811" s="14" t="s">
        <v>82</v>
      </c>
      <c r="V811" s="12" t="s">
        <v>83</v>
      </c>
      <c r="W811" s="13" t="s">
        <v>90</v>
      </c>
      <c r="X811" s="10" t="s">
        <v>85</v>
      </c>
      <c r="Y811" s="12" t="s">
        <v>86</v>
      </c>
      <c r="Z811">
        <f t="shared" si="73"/>
        <v>124</v>
      </c>
      <c r="AA811" s="39">
        <f t="shared" si="74"/>
        <v>67.777027027027032</v>
      </c>
      <c r="AB811" s="39">
        <f t="shared" si="75"/>
        <v>4203.2750272276626</v>
      </c>
      <c r="AC811">
        <f t="shared" si="78"/>
        <v>0.99990717762762993</v>
      </c>
      <c r="AD811">
        <f t="shared" si="76"/>
        <v>0.99987147303266299</v>
      </c>
      <c r="AE811">
        <f t="shared" si="77"/>
        <v>8282</v>
      </c>
    </row>
    <row r="812" spans="1:31">
      <c r="A812" s="9">
        <v>811</v>
      </c>
      <c r="B812" s="30">
        <v>40580</v>
      </c>
      <c r="C812" s="9">
        <v>1</v>
      </c>
      <c r="D812" s="9">
        <v>0</v>
      </c>
      <c r="E812" s="9">
        <v>2</v>
      </c>
      <c r="F812" s="9">
        <v>5</v>
      </c>
      <c r="G812" s="9" t="b">
        <v>0</v>
      </c>
      <c r="H812" s="9">
        <v>0</v>
      </c>
      <c r="I812" s="9">
        <v>1</v>
      </c>
      <c r="J812" s="9">
        <v>0.26</v>
      </c>
      <c r="K812" s="9">
        <v>0.2576</v>
      </c>
      <c r="L812" s="9">
        <v>0.6</v>
      </c>
      <c r="M812" s="9">
        <v>0.22389999999999999</v>
      </c>
      <c r="N812" s="9">
        <v>0</v>
      </c>
      <c r="O812" s="9">
        <v>1</v>
      </c>
      <c r="P812" s="9">
        <v>1</v>
      </c>
      <c r="Q812" s="12" t="s">
        <v>78</v>
      </c>
      <c r="R812" s="13" t="s">
        <v>79</v>
      </c>
      <c r="S812" s="9" t="s">
        <v>80</v>
      </c>
      <c r="T812" s="13" t="s">
        <v>81</v>
      </c>
      <c r="U812" s="15" t="s">
        <v>89</v>
      </c>
      <c r="V812" s="12" t="s">
        <v>83</v>
      </c>
      <c r="W812" s="13" t="s">
        <v>90</v>
      </c>
      <c r="X812" s="9" t="s">
        <v>85</v>
      </c>
      <c r="Y812" s="12" t="s">
        <v>86</v>
      </c>
      <c r="Z812">
        <f t="shared" si="73"/>
        <v>124</v>
      </c>
      <c r="AA812" s="39">
        <f t="shared" si="74"/>
        <v>68.224489795918373</v>
      </c>
      <c r="AB812" s="39">
        <f t="shared" si="75"/>
        <v>4214.2364792912804</v>
      </c>
      <c r="AC812">
        <f t="shared" si="78"/>
        <v>0.99990799484855997</v>
      </c>
      <c r="AD812">
        <f t="shared" si="76"/>
        <v>0.99987224387384888</v>
      </c>
      <c r="AE812">
        <f t="shared" si="77"/>
        <v>8282</v>
      </c>
    </row>
    <row r="813" spans="1:31">
      <c r="A813" s="10">
        <v>812</v>
      </c>
      <c r="B813" s="31">
        <v>40580</v>
      </c>
      <c r="C813" s="10">
        <v>1</v>
      </c>
      <c r="D813" s="10">
        <v>0</v>
      </c>
      <c r="E813" s="10">
        <v>2</v>
      </c>
      <c r="F813" s="10">
        <v>6</v>
      </c>
      <c r="G813" s="10" t="b">
        <v>0</v>
      </c>
      <c r="H813" s="10">
        <v>0</v>
      </c>
      <c r="I813" s="10">
        <v>1</v>
      </c>
      <c r="J813" s="10">
        <v>0.26</v>
      </c>
      <c r="K813" s="10">
        <v>0.2576</v>
      </c>
      <c r="L813" s="10">
        <v>0.6</v>
      </c>
      <c r="M813" s="10">
        <v>0.22389999999999999</v>
      </c>
      <c r="N813" s="10">
        <v>0</v>
      </c>
      <c r="O813" s="10">
        <v>1</v>
      </c>
      <c r="P813" s="10">
        <v>1</v>
      </c>
      <c r="Q813" s="12" t="s">
        <v>78</v>
      </c>
      <c r="R813" s="13" t="s">
        <v>79</v>
      </c>
      <c r="S813" s="10" t="s">
        <v>80</v>
      </c>
      <c r="T813" s="13" t="s">
        <v>81</v>
      </c>
      <c r="U813" s="15" t="s">
        <v>89</v>
      </c>
      <c r="V813" s="12" t="s">
        <v>83</v>
      </c>
      <c r="W813" s="13" t="s">
        <v>90</v>
      </c>
      <c r="X813" s="10" t="s">
        <v>85</v>
      </c>
      <c r="Y813" s="12" t="s">
        <v>86</v>
      </c>
      <c r="Z813">
        <f t="shared" si="73"/>
        <v>124</v>
      </c>
      <c r="AA813" s="39">
        <f t="shared" si="74"/>
        <v>68.68493150684931</v>
      </c>
      <c r="AB813" s="39">
        <f t="shared" si="75"/>
        <v>4225.2836687688823</v>
      </c>
      <c r="AC813">
        <f t="shared" si="78"/>
        <v>0.99990884314604123</v>
      </c>
      <c r="AD813">
        <f t="shared" si="76"/>
        <v>0.99987304467327032</v>
      </c>
      <c r="AE813">
        <f t="shared" si="77"/>
        <v>8282</v>
      </c>
    </row>
    <row r="814" spans="1:31">
      <c r="A814" s="9">
        <v>813</v>
      </c>
      <c r="B814" s="30">
        <v>40580</v>
      </c>
      <c r="C814" s="9">
        <v>1</v>
      </c>
      <c r="D814" s="9">
        <v>0</v>
      </c>
      <c r="E814" s="9">
        <v>2</v>
      </c>
      <c r="F814" s="9">
        <v>7</v>
      </c>
      <c r="G814" s="9" t="b">
        <v>0</v>
      </c>
      <c r="H814" s="9">
        <v>0</v>
      </c>
      <c r="I814" s="9">
        <v>1</v>
      </c>
      <c r="J814" s="9">
        <v>0.24</v>
      </c>
      <c r="K814" s="9">
        <v>0.2424</v>
      </c>
      <c r="L814" s="9">
        <v>0.65</v>
      </c>
      <c r="M814" s="9">
        <v>0.16420000000000001</v>
      </c>
      <c r="N814" s="9">
        <v>0</v>
      </c>
      <c r="O814" s="9">
        <v>8</v>
      </c>
      <c r="P814" s="9">
        <v>8</v>
      </c>
      <c r="Q814" s="12" t="s">
        <v>78</v>
      </c>
      <c r="R814" s="13" t="s">
        <v>79</v>
      </c>
      <c r="S814" s="9" t="s">
        <v>80</v>
      </c>
      <c r="T814" s="13" t="s">
        <v>81</v>
      </c>
      <c r="U814" s="15" t="s">
        <v>89</v>
      </c>
      <c r="V814" s="12" t="s">
        <v>83</v>
      </c>
      <c r="W814" s="15" t="s">
        <v>84</v>
      </c>
      <c r="X814" s="9" t="s">
        <v>85</v>
      </c>
      <c r="Y814" s="12" t="s">
        <v>86</v>
      </c>
      <c r="Z814">
        <f t="shared" si="73"/>
        <v>124</v>
      </c>
      <c r="AA814" s="39">
        <f t="shared" si="74"/>
        <v>69.151724137931041</v>
      </c>
      <c r="AB814" s="39">
        <f t="shared" si="75"/>
        <v>4236.4181910809912</v>
      </c>
      <c r="AC814">
        <f t="shared" si="78"/>
        <v>0.99990970053553785</v>
      </c>
      <c r="AD814">
        <f t="shared" si="76"/>
        <v>0.99987385405635609</v>
      </c>
      <c r="AE814">
        <f t="shared" si="77"/>
        <v>8282</v>
      </c>
    </row>
    <row r="815" spans="1:31">
      <c r="A815" s="10">
        <v>814</v>
      </c>
      <c r="B815" s="31">
        <v>40580</v>
      </c>
      <c r="C815" s="10">
        <v>1</v>
      </c>
      <c r="D815" s="10">
        <v>0</v>
      </c>
      <c r="E815" s="10">
        <v>2</v>
      </c>
      <c r="F815" s="10">
        <v>8</v>
      </c>
      <c r="G815" s="10" t="b">
        <v>0</v>
      </c>
      <c r="H815" s="10">
        <v>0</v>
      </c>
      <c r="I815" s="10">
        <v>1</v>
      </c>
      <c r="J815" s="10">
        <v>0.24</v>
      </c>
      <c r="K815" s="10">
        <v>0.2576</v>
      </c>
      <c r="L815" s="10">
        <v>0.65</v>
      </c>
      <c r="M815" s="10">
        <v>0.1045</v>
      </c>
      <c r="N815" s="10">
        <v>2</v>
      </c>
      <c r="O815" s="10">
        <v>21</v>
      </c>
      <c r="P815" s="10">
        <v>23</v>
      </c>
      <c r="Q815" s="12" t="s">
        <v>78</v>
      </c>
      <c r="R815" s="13" t="s">
        <v>79</v>
      </c>
      <c r="S815" s="10" t="s">
        <v>80</v>
      </c>
      <c r="T815" s="13" t="s">
        <v>81</v>
      </c>
      <c r="U815" s="15" t="s">
        <v>89</v>
      </c>
      <c r="V815" s="12" t="s">
        <v>83</v>
      </c>
      <c r="W815" s="15" t="s">
        <v>84</v>
      </c>
      <c r="X815" s="10" t="s">
        <v>85</v>
      </c>
      <c r="Y815" s="12" t="s">
        <v>86</v>
      </c>
      <c r="Z815">
        <f t="shared" si="73"/>
        <v>124</v>
      </c>
      <c r="AA815" s="39">
        <f t="shared" si="74"/>
        <v>69.576388888888886</v>
      </c>
      <c r="AB815" s="39">
        <f t="shared" si="75"/>
        <v>4247.64449832634</v>
      </c>
      <c r="AC815">
        <f t="shared" si="78"/>
        <v>0.99991030277891546</v>
      </c>
      <c r="AD815">
        <f t="shared" si="76"/>
        <v>0.99987462871587884</v>
      </c>
      <c r="AE815">
        <f t="shared" si="77"/>
        <v>8282</v>
      </c>
    </row>
    <row r="816" spans="1:31">
      <c r="A816" s="9">
        <v>815</v>
      </c>
      <c r="B816" s="30">
        <v>40580</v>
      </c>
      <c r="C816" s="9">
        <v>1</v>
      </c>
      <c r="D816" s="9">
        <v>0</v>
      </c>
      <c r="E816" s="9">
        <v>2</v>
      </c>
      <c r="F816" s="9">
        <v>9</v>
      </c>
      <c r="G816" s="9" t="b">
        <v>0</v>
      </c>
      <c r="H816" s="9">
        <v>0</v>
      </c>
      <c r="I816" s="9">
        <v>1</v>
      </c>
      <c r="J816" s="9">
        <v>0.28000000000000003</v>
      </c>
      <c r="K816" s="9">
        <v>0.28789999999999999</v>
      </c>
      <c r="L816" s="9">
        <v>0.56000000000000005</v>
      </c>
      <c r="M816" s="9">
        <v>0.1045</v>
      </c>
      <c r="N816" s="9">
        <v>7</v>
      </c>
      <c r="O816" s="9">
        <v>38</v>
      </c>
      <c r="P816" s="9">
        <v>45</v>
      </c>
      <c r="Q816" s="12" t="s">
        <v>78</v>
      </c>
      <c r="R816" s="13" t="s">
        <v>79</v>
      </c>
      <c r="S816" s="9" t="s">
        <v>80</v>
      </c>
      <c r="T816" s="13" t="s">
        <v>81</v>
      </c>
      <c r="U816" s="15" t="s">
        <v>89</v>
      </c>
      <c r="V816" s="11" t="s">
        <v>87</v>
      </c>
      <c r="W816" s="13" t="s">
        <v>90</v>
      </c>
      <c r="X816" s="9" t="s">
        <v>85</v>
      </c>
      <c r="Y816" s="12" t="s">
        <v>86</v>
      </c>
      <c r="Z816">
        <f t="shared" si="73"/>
        <v>124</v>
      </c>
      <c r="AA816" s="39">
        <f t="shared" si="74"/>
        <v>69.902097902097907</v>
      </c>
      <c r="AB816" s="39">
        <f t="shared" si="75"/>
        <v>4258.9674353032169</v>
      </c>
      <c r="AC816">
        <f t="shared" si="78"/>
        <v>0.999910658774673</v>
      </c>
      <c r="AD816">
        <f t="shared" si="76"/>
        <v>0.99987512057510319</v>
      </c>
      <c r="AE816">
        <f t="shared" si="77"/>
        <v>8282</v>
      </c>
    </row>
    <row r="817" spans="1:31">
      <c r="A817" s="10">
        <v>816</v>
      </c>
      <c r="B817" s="31">
        <v>40580</v>
      </c>
      <c r="C817" s="10">
        <v>1</v>
      </c>
      <c r="D817" s="10">
        <v>0</v>
      </c>
      <c r="E817" s="10">
        <v>2</v>
      </c>
      <c r="F817" s="10">
        <v>10</v>
      </c>
      <c r="G817" s="10" t="b">
        <v>0</v>
      </c>
      <c r="H817" s="10">
        <v>0</v>
      </c>
      <c r="I817" s="10">
        <v>1</v>
      </c>
      <c r="J817" s="10">
        <v>0.3</v>
      </c>
      <c r="K817" s="10">
        <v>0.28789999999999999</v>
      </c>
      <c r="L817" s="10">
        <v>0.52</v>
      </c>
      <c r="M817" s="10">
        <v>0.25369999999999998</v>
      </c>
      <c r="N817" s="10">
        <v>15</v>
      </c>
      <c r="O817" s="10">
        <v>74</v>
      </c>
      <c r="P817" s="10">
        <v>89</v>
      </c>
      <c r="Q817" s="12" t="s">
        <v>78</v>
      </c>
      <c r="R817" s="13" t="s">
        <v>79</v>
      </c>
      <c r="S817" s="10" t="s">
        <v>80</v>
      </c>
      <c r="T817" s="13" t="s">
        <v>81</v>
      </c>
      <c r="U817" s="13" t="s">
        <v>91</v>
      </c>
      <c r="V817" s="13" t="s">
        <v>93</v>
      </c>
      <c r="W817" s="13" t="s">
        <v>90</v>
      </c>
      <c r="X817" s="10" t="s">
        <v>85</v>
      </c>
      <c r="Y817" s="12" t="s">
        <v>86</v>
      </c>
      <c r="Z817">
        <f t="shared" si="73"/>
        <v>124</v>
      </c>
      <c r="AA817" s="39">
        <f t="shared" si="74"/>
        <v>70.077464788732399</v>
      </c>
      <c r="AB817" s="39">
        <f t="shared" si="75"/>
        <v>4270.391102664732</v>
      </c>
      <c r="AC817">
        <f t="shared" si="78"/>
        <v>0.99991087895390429</v>
      </c>
      <c r="AD817">
        <f t="shared" si="76"/>
        <v>0.99987522528244266</v>
      </c>
      <c r="AE817">
        <f t="shared" si="77"/>
        <v>8282</v>
      </c>
    </row>
    <row r="818" spans="1:31">
      <c r="A818" s="9">
        <v>817</v>
      </c>
      <c r="B818" s="30">
        <v>40580</v>
      </c>
      <c r="C818" s="9">
        <v>1</v>
      </c>
      <c r="D818" s="9">
        <v>0</v>
      </c>
      <c r="E818" s="9">
        <v>2</v>
      </c>
      <c r="F818" s="9">
        <v>11</v>
      </c>
      <c r="G818" s="9" t="b">
        <v>0</v>
      </c>
      <c r="H818" s="9">
        <v>0</v>
      </c>
      <c r="I818" s="9">
        <v>1</v>
      </c>
      <c r="J818" s="9">
        <v>0.32</v>
      </c>
      <c r="K818" s="9">
        <v>0.30299999999999999</v>
      </c>
      <c r="L818" s="9">
        <v>0.49</v>
      </c>
      <c r="M818" s="9">
        <v>0.25369999999999998</v>
      </c>
      <c r="N818" s="9">
        <v>28</v>
      </c>
      <c r="O818" s="9">
        <v>89</v>
      </c>
      <c r="P818" s="9">
        <v>117</v>
      </c>
      <c r="Q818" s="12" t="s">
        <v>78</v>
      </c>
      <c r="R818" s="13" t="s">
        <v>79</v>
      </c>
      <c r="S818" s="9" t="s">
        <v>80</v>
      </c>
      <c r="T818" s="13" t="s">
        <v>81</v>
      </c>
      <c r="U818" s="13" t="s">
        <v>91</v>
      </c>
      <c r="V818" s="13" t="s">
        <v>93</v>
      </c>
      <c r="W818" s="13" t="s">
        <v>90</v>
      </c>
      <c r="X818" s="9" t="s">
        <v>85</v>
      </c>
      <c r="Y818" s="12" t="s">
        <v>86</v>
      </c>
      <c r="Z818">
        <f t="shared" si="73"/>
        <v>124</v>
      </c>
      <c r="AA818" s="39">
        <f t="shared" si="74"/>
        <v>69.943262411347519</v>
      </c>
      <c r="AB818" s="39">
        <f t="shared" si="75"/>
        <v>4281.9248824772067</v>
      </c>
      <c r="AC818">
        <f t="shared" si="78"/>
        <v>0.99991087672039403</v>
      </c>
      <c r="AD818">
        <f t="shared" si="76"/>
        <v>0.99987528672041115</v>
      </c>
      <c r="AE818">
        <f t="shared" si="77"/>
        <v>8282</v>
      </c>
    </row>
    <row r="819" spans="1:31">
      <c r="A819" s="10">
        <v>818</v>
      </c>
      <c r="B819" s="31">
        <v>40580</v>
      </c>
      <c r="C819" s="10">
        <v>1</v>
      </c>
      <c r="D819" s="10">
        <v>0</v>
      </c>
      <c r="E819" s="10">
        <v>2</v>
      </c>
      <c r="F819" s="10">
        <v>12</v>
      </c>
      <c r="G819" s="10" t="b">
        <v>0</v>
      </c>
      <c r="H819" s="10">
        <v>0</v>
      </c>
      <c r="I819" s="10">
        <v>1</v>
      </c>
      <c r="J819" s="10">
        <v>0.34</v>
      </c>
      <c r="K819" s="10">
        <v>0.33329999999999999</v>
      </c>
      <c r="L819" s="10">
        <v>0.46</v>
      </c>
      <c r="M819" s="10">
        <v>0</v>
      </c>
      <c r="N819" s="10">
        <v>48</v>
      </c>
      <c r="O819" s="10">
        <v>126</v>
      </c>
      <c r="P819" s="10">
        <v>174</v>
      </c>
      <c r="Q819" s="12" t="s">
        <v>78</v>
      </c>
      <c r="R819" s="13" t="s">
        <v>79</v>
      </c>
      <c r="S819" s="10" t="s">
        <v>80</v>
      </c>
      <c r="T819" s="13" t="s">
        <v>81</v>
      </c>
      <c r="U819" s="11" t="s">
        <v>92</v>
      </c>
      <c r="V819" s="13" t="s">
        <v>93</v>
      </c>
      <c r="W819" s="13" t="s">
        <v>90</v>
      </c>
      <c r="X819" s="10" t="s">
        <v>85</v>
      </c>
      <c r="Y819" s="12" t="s">
        <v>86</v>
      </c>
      <c r="Z819">
        <f t="shared" si="73"/>
        <v>124</v>
      </c>
      <c r="AA819" s="39">
        <f t="shared" si="74"/>
        <v>69.607142857142861</v>
      </c>
      <c r="AB819" s="39">
        <f t="shared" si="75"/>
        <v>4293.5626816557278</v>
      </c>
      <c r="AC819">
        <f t="shared" si="78"/>
        <v>0.99991094541929726</v>
      </c>
      <c r="AD819">
        <f t="shared" si="76"/>
        <v>0.99987568615527911</v>
      </c>
      <c r="AE819">
        <f t="shared" si="77"/>
        <v>8282</v>
      </c>
    </row>
    <row r="820" spans="1:31">
      <c r="A820" s="9">
        <v>819</v>
      </c>
      <c r="B820" s="30">
        <v>40580</v>
      </c>
      <c r="C820" s="9">
        <v>1</v>
      </c>
      <c r="D820" s="9">
        <v>0</v>
      </c>
      <c r="E820" s="9">
        <v>2</v>
      </c>
      <c r="F820" s="9">
        <v>13</v>
      </c>
      <c r="G820" s="9" t="b">
        <v>0</v>
      </c>
      <c r="H820" s="9">
        <v>0</v>
      </c>
      <c r="I820" s="9">
        <v>1</v>
      </c>
      <c r="J820" s="9">
        <v>0.34</v>
      </c>
      <c r="K820" s="9">
        <v>0.36359999999999998</v>
      </c>
      <c r="L820" s="9">
        <v>0.46</v>
      </c>
      <c r="M820" s="9">
        <v>0</v>
      </c>
      <c r="N820" s="9">
        <v>47</v>
      </c>
      <c r="O820" s="9">
        <v>135</v>
      </c>
      <c r="P820" s="9">
        <v>182</v>
      </c>
      <c r="Q820" s="12" t="s">
        <v>78</v>
      </c>
      <c r="R820" s="13" t="s">
        <v>79</v>
      </c>
      <c r="S820" s="9" t="s">
        <v>80</v>
      </c>
      <c r="T820" s="13" t="s">
        <v>81</v>
      </c>
      <c r="U820" s="11" t="s">
        <v>92</v>
      </c>
      <c r="V820" s="13" t="s">
        <v>93</v>
      </c>
      <c r="W820" s="13" t="s">
        <v>90</v>
      </c>
      <c r="X820" s="9" t="s">
        <v>85</v>
      </c>
      <c r="Y820" s="12" t="s">
        <v>86</v>
      </c>
      <c r="Z820">
        <f t="shared" si="73"/>
        <v>124</v>
      </c>
      <c r="AA820" s="39">
        <f t="shared" si="74"/>
        <v>68.856115107913666</v>
      </c>
      <c r="AB820" s="39">
        <f t="shared" si="75"/>
        <v>4305.3134197299187</v>
      </c>
      <c r="AC820">
        <f t="shared" si="78"/>
        <v>0.99991174325121857</v>
      </c>
      <c r="AD820">
        <f t="shared" si="76"/>
        <v>0.99987756169995334</v>
      </c>
      <c r="AE820">
        <f t="shared" si="77"/>
        <v>8282</v>
      </c>
    </row>
    <row r="821" spans="1:31">
      <c r="A821" s="10">
        <v>820</v>
      </c>
      <c r="B821" s="31">
        <v>40580</v>
      </c>
      <c r="C821" s="10">
        <v>1</v>
      </c>
      <c r="D821" s="10">
        <v>0</v>
      </c>
      <c r="E821" s="10">
        <v>2</v>
      </c>
      <c r="F821" s="10">
        <v>14</v>
      </c>
      <c r="G821" s="10" t="b">
        <v>0</v>
      </c>
      <c r="H821" s="10">
        <v>0</v>
      </c>
      <c r="I821" s="10">
        <v>1</v>
      </c>
      <c r="J821" s="10">
        <v>0.34</v>
      </c>
      <c r="K821" s="10">
        <v>0.34849999999999998</v>
      </c>
      <c r="L821" s="10">
        <v>0.46</v>
      </c>
      <c r="M821" s="10">
        <v>8.9599999999999999E-2</v>
      </c>
      <c r="N821" s="10">
        <v>47</v>
      </c>
      <c r="O821" s="10">
        <v>114</v>
      </c>
      <c r="P821" s="10">
        <v>161</v>
      </c>
      <c r="Q821" s="12" t="s">
        <v>78</v>
      </c>
      <c r="R821" s="13" t="s">
        <v>79</v>
      </c>
      <c r="S821" s="10" t="s">
        <v>80</v>
      </c>
      <c r="T821" s="13" t="s">
        <v>81</v>
      </c>
      <c r="U821" s="13" t="s">
        <v>94</v>
      </c>
      <c r="V821" s="13" t="s">
        <v>93</v>
      </c>
      <c r="W821" s="13" t="s">
        <v>90</v>
      </c>
      <c r="X821" s="10" t="s">
        <v>85</v>
      </c>
      <c r="Y821" s="12" t="s">
        <v>86</v>
      </c>
      <c r="Z821">
        <f t="shared" si="73"/>
        <v>124</v>
      </c>
      <c r="AA821" s="39">
        <f t="shared" si="74"/>
        <v>68.036231884057969</v>
      </c>
      <c r="AB821" s="39">
        <f t="shared" si="75"/>
        <v>4317.1633134478789</v>
      </c>
      <c r="AC821">
        <f t="shared" si="78"/>
        <v>0.99991273510434764</v>
      </c>
      <c r="AD821">
        <f t="shared" si="76"/>
        <v>0.99987973679270914</v>
      </c>
      <c r="AE821">
        <f t="shared" si="77"/>
        <v>8282</v>
      </c>
    </row>
    <row r="822" spans="1:31">
      <c r="A822" s="9">
        <v>821</v>
      </c>
      <c r="B822" s="30">
        <v>40580</v>
      </c>
      <c r="C822" s="9">
        <v>1</v>
      </c>
      <c r="D822" s="9">
        <v>0</v>
      </c>
      <c r="E822" s="9">
        <v>2</v>
      </c>
      <c r="F822" s="9">
        <v>15</v>
      </c>
      <c r="G822" s="9" t="b">
        <v>0</v>
      </c>
      <c r="H822" s="9">
        <v>0</v>
      </c>
      <c r="I822" s="9">
        <v>1</v>
      </c>
      <c r="J822" s="9">
        <v>0.34</v>
      </c>
      <c r="K822" s="9">
        <v>0.34849999999999998</v>
      </c>
      <c r="L822" s="9">
        <v>0.46</v>
      </c>
      <c r="M822" s="9">
        <v>8.9599999999999999E-2</v>
      </c>
      <c r="N822" s="9">
        <v>52</v>
      </c>
      <c r="O822" s="9">
        <v>130</v>
      </c>
      <c r="P822" s="9">
        <v>182</v>
      </c>
      <c r="Q822" s="12" t="s">
        <v>78</v>
      </c>
      <c r="R822" s="13" t="s">
        <v>79</v>
      </c>
      <c r="S822" s="9" t="s">
        <v>80</v>
      </c>
      <c r="T822" s="13" t="s">
        <v>81</v>
      </c>
      <c r="U822" s="13" t="s">
        <v>94</v>
      </c>
      <c r="V822" s="13" t="s">
        <v>93</v>
      </c>
      <c r="W822" s="13" t="s">
        <v>90</v>
      </c>
      <c r="X822" s="9" t="s">
        <v>85</v>
      </c>
      <c r="Y822" s="12" t="s">
        <v>86</v>
      </c>
      <c r="Z822">
        <f t="shared" si="73"/>
        <v>124</v>
      </c>
      <c r="AA822" s="39">
        <f t="shared" si="74"/>
        <v>67.357664233576642</v>
      </c>
      <c r="AB822" s="39">
        <f t="shared" si="75"/>
        <v>4329.1057451051047</v>
      </c>
      <c r="AC822">
        <f t="shared" si="78"/>
        <v>0.99991328970149385</v>
      </c>
      <c r="AD822">
        <f t="shared" si="76"/>
        <v>0.99988124080941776</v>
      </c>
      <c r="AE822">
        <f t="shared" si="77"/>
        <v>8282</v>
      </c>
    </row>
    <row r="823" spans="1:31">
      <c r="A823" s="10">
        <v>822</v>
      </c>
      <c r="B823" s="31">
        <v>40580</v>
      </c>
      <c r="C823" s="10">
        <v>1</v>
      </c>
      <c r="D823" s="10">
        <v>0</v>
      </c>
      <c r="E823" s="10">
        <v>2</v>
      </c>
      <c r="F823" s="10">
        <v>16</v>
      </c>
      <c r="G823" s="10" t="b">
        <v>0</v>
      </c>
      <c r="H823" s="10">
        <v>0</v>
      </c>
      <c r="I823" s="10">
        <v>1</v>
      </c>
      <c r="J823" s="10">
        <v>0.34</v>
      </c>
      <c r="K823" s="10">
        <v>0.34849999999999998</v>
      </c>
      <c r="L823" s="10">
        <v>0.49</v>
      </c>
      <c r="M823" s="10">
        <v>0.1045</v>
      </c>
      <c r="N823" s="10">
        <v>42</v>
      </c>
      <c r="O823" s="10">
        <v>115</v>
      </c>
      <c r="P823" s="10">
        <v>157</v>
      </c>
      <c r="Q823" s="12" t="s">
        <v>78</v>
      </c>
      <c r="R823" s="13" t="s">
        <v>79</v>
      </c>
      <c r="S823" s="10" t="s">
        <v>80</v>
      </c>
      <c r="T823" s="13" t="s">
        <v>81</v>
      </c>
      <c r="U823" s="13" t="s">
        <v>94</v>
      </c>
      <c r="V823" s="13" t="s">
        <v>93</v>
      </c>
      <c r="W823" s="13" t="s">
        <v>90</v>
      </c>
      <c r="X823" s="10" t="s">
        <v>85</v>
      </c>
      <c r="Y823" s="12" t="s">
        <v>86</v>
      </c>
      <c r="Z823">
        <f t="shared" si="73"/>
        <v>124</v>
      </c>
      <c r="AA823" s="39">
        <f t="shared" si="74"/>
        <v>66.514705882352942</v>
      </c>
      <c r="AB823" s="39">
        <f t="shared" si="75"/>
        <v>4341.1537390210297</v>
      </c>
      <c r="AC823">
        <f t="shared" si="78"/>
        <v>0.99991430093675127</v>
      </c>
      <c r="AD823">
        <f t="shared" si="76"/>
        <v>0.99988346050506405</v>
      </c>
      <c r="AE823">
        <f t="shared" si="77"/>
        <v>8282</v>
      </c>
    </row>
    <row r="824" spans="1:31">
      <c r="A824" s="9">
        <v>823</v>
      </c>
      <c r="B824" s="30">
        <v>40580</v>
      </c>
      <c r="C824" s="9">
        <v>1</v>
      </c>
      <c r="D824" s="9">
        <v>0</v>
      </c>
      <c r="E824" s="9">
        <v>2</v>
      </c>
      <c r="F824" s="9">
        <v>17</v>
      </c>
      <c r="G824" s="9" t="b">
        <v>0</v>
      </c>
      <c r="H824" s="9">
        <v>0</v>
      </c>
      <c r="I824" s="9">
        <v>1</v>
      </c>
      <c r="J824" s="9">
        <v>0.34</v>
      </c>
      <c r="K824" s="9">
        <v>0.36359999999999998</v>
      </c>
      <c r="L824" s="9">
        <v>0.46</v>
      </c>
      <c r="M824" s="9">
        <v>0</v>
      </c>
      <c r="N824" s="9">
        <v>24</v>
      </c>
      <c r="O824" s="9">
        <v>97</v>
      </c>
      <c r="P824" s="9">
        <v>121</v>
      </c>
      <c r="Q824" s="12" t="s">
        <v>78</v>
      </c>
      <c r="R824" s="13" t="s">
        <v>79</v>
      </c>
      <c r="S824" s="9" t="s">
        <v>80</v>
      </c>
      <c r="T824" s="13" t="s">
        <v>81</v>
      </c>
      <c r="U824" s="15" t="s">
        <v>95</v>
      </c>
      <c r="V824" s="13" t="s">
        <v>93</v>
      </c>
      <c r="W824" s="13" t="s">
        <v>90</v>
      </c>
      <c r="X824" s="9" t="s">
        <v>85</v>
      </c>
      <c r="Y824" s="12" t="s">
        <v>86</v>
      </c>
      <c r="Z824">
        <f t="shared" si="73"/>
        <v>124</v>
      </c>
      <c r="AA824" s="39">
        <f t="shared" si="74"/>
        <v>65.844444444444449</v>
      </c>
      <c r="AB824" s="39">
        <f t="shared" si="75"/>
        <v>4353.2957384914635</v>
      </c>
      <c r="AC824">
        <f t="shared" si="78"/>
        <v>0.99991479877446332</v>
      </c>
      <c r="AD824">
        <f t="shared" si="76"/>
        <v>0.99988479690418397</v>
      </c>
      <c r="AE824">
        <f t="shared" si="77"/>
        <v>8282</v>
      </c>
    </row>
    <row r="825" spans="1:31">
      <c r="A825" s="10">
        <v>824</v>
      </c>
      <c r="B825" s="31">
        <v>40580</v>
      </c>
      <c r="C825" s="10">
        <v>1</v>
      </c>
      <c r="D825" s="10">
        <v>0</v>
      </c>
      <c r="E825" s="10">
        <v>2</v>
      </c>
      <c r="F825" s="10">
        <v>18</v>
      </c>
      <c r="G825" s="10" t="b">
        <v>0</v>
      </c>
      <c r="H825" s="10">
        <v>0</v>
      </c>
      <c r="I825" s="10">
        <v>1</v>
      </c>
      <c r="J825" s="10">
        <v>0.3</v>
      </c>
      <c r="K825" s="10">
        <v>0.30299999999999999</v>
      </c>
      <c r="L825" s="10">
        <v>0.56000000000000005</v>
      </c>
      <c r="M825" s="10">
        <v>0.16420000000000001</v>
      </c>
      <c r="N825" s="10">
        <v>13</v>
      </c>
      <c r="O825" s="10">
        <v>65</v>
      </c>
      <c r="P825" s="10">
        <v>78</v>
      </c>
      <c r="Q825" s="12" t="s">
        <v>78</v>
      </c>
      <c r="R825" s="13" t="s">
        <v>79</v>
      </c>
      <c r="S825" s="10" t="s">
        <v>80</v>
      </c>
      <c r="T825" s="13" t="s">
        <v>81</v>
      </c>
      <c r="U825" s="15" t="s">
        <v>95</v>
      </c>
      <c r="V825" s="13" t="s">
        <v>93</v>
      </c>
      <c r="W825" s="13" t="s">
        <v>90</v>
      </c>
      <c r="X825" s="10" t="s">
        <v>85</v>
      </c>
      <c r="Y825" s="12" t="s">
        <v>86</v>
      </c>
      <c r="Z825">
        <f t="shared" si="73"/>
        <v>124</v>
      </c>
      <c r="AA825" s="39">
        <f t="shared" si="74"/>
        <v>65.432835820895519</v>
      </c>
      <c r="AB825" s="39">
        <f t="shared" si="75"/>
        <v>4365.5283814408122</v>
      </c>
      <c r="AC825">
        <f t="shared" si="78"/>
        <v>0.99991487035903581</v>
      </c>
      <c r="AD825">
        <f t="shared" si="76"/>
        <v>0.99988537271753375</v>
      </c>
      <c r="AE825">
        <f t="shared" si="77"/>
        <v>8282</v>
      </c>
    </row>
    <row r="826" spans="1:31">
      <c r="A826" s="9">
        <v>825</v>
      </c>
      <c r="B826" s="30">
        <v>40580</v>
      </c>
      <c r="C826" s="9">
        <v>1</v>
      </c>
      <c r="D826" s="9">
        <v>0</v>
      </c>
      <c r="E826" s="9">
        <v>2</v>
      </c>
      <c r="F826" s="9">
        <v>19</v>
      </c>
      <c r="G826" s="9" t="b">
        <v>0</v>
      </c>
      <c r="H826" s="9">
        <v>0</v>
      </c>
      <c r="I826" s="9">
        <v>1</v>
      </c>
      <c r="J826" s="9">
        <v>0.28000000000000003</v>
      </c>
      <c r="K826" s="9">
        <v>0.28789999999999999</v>
      </c>
      <c r="L826" s="9">
        <v>0.61</v>
      </c>
      <c r="M826" s="9">
        <v>0.1343</v>
      </c>
      <c r="N826" s="9">
        <v>1</v>
      </c>
      <c r="O826" s="9">
        <v>20</v>
      </c>
      <c r="P826" s="9">
        <v>21</v>
      </c>
      <c r="Q826" s="12" t="s">
        <v>78</v>
      </c>
      <c r="R826" s="13" t="s">
        <v>79</v>
      </c>
      <c r="S826" s="9" t="s">
        <v>80</v>
      </c>
      <c r="T826" s="13" t="s">
        <v>81</v>
      </c>
      <c r="U826" s="15" t="s">
        <v>95</v>
      </c>
      <c r="V826" s="12" t="s">
        <v>83</v>
      </c>
      <c r="W826" s="13" t="s">
        <v>90</v>
      </c>
      <c r="X826" s="9" t="s">
        <v>85</v>
      </c>
      <c r="Y826" s="12" t="s">
        <v>86</v>
      </c>
      <c r="Z826">
        <f t="shared" si="73"/>
        <v>124</v>
      </c>
      <c r="AA826" s="39">
        <f t="shared" si="74"/>
        <v>65.338345864661648</v>
      </c>
      <c r="AB826" s="39">
        <f t="shared" si="75"/>
        <v>4377.8482762266913</v>
      </c>
      <c r="AC826">
        <f t="shared" si="78"/>
        <v>0.9999148808895556</v>
      </c>
      <c r="AD826">
        <f t="shared" si="76"/>
        <v>0.99988538315574305</v>
      </c>
      <c r="AE826">
        <f t="shared" si="77"/>
        <v>8282</v>
      </c>
    </row>
    <row r="827" spans="1:31">
      <c r="A827" s="10">
        <v>826</v>
      </c>
      <c r="B827" s="31">
        <v>40580</v>
      </c>
      <c r="C827" s="10">
        <v>1</v>
      </c>
      <c r="D827" s="10">
        <v>0</v>
      </c>
      <c r="E827" s="10">
        <v>2</v>
      </c>
      <c r="F827" s="10">
        <v>20</v>
      </c>
      <c r="G827" s="10" t="b">
        <v>0</v>
      </c>
      <c r="H827" s="10">
        <v>0</v>
      </c>
      <c r="I827" s="10">
        <v>1</v>
      </c>
      <c r="J827" s="10">
        <v>0.28000000000000003</v>
      </c>
      <c r="K827" s="10">
        <v>0.28789999999999999</v>
      </c>
      <c r="L827" s="10">
        <v>0.61</v>
      </c>
      <c r="M827" s="10">
        <v>0.1045</v>
      </c>
      <c r="N827" s="10">
        <v>5</v>
      </c>
      <c r="O827" s="10">
        <v>21</v>
      </c>
      <c r="P827" s="10">
        <v>26</v>
      </c>
      <c r="Q827" s="12" t="s">
        <v>78</v>
      </c>
      <c r="R827" s="13" t="s">
        <v>79</v>
      </c>
      <c r="S827" s="10" t="s">
        <v>80</v>
      </c>
      <c r="T827" s="13" t="s">
        <v>81</v>
      </c>
      <c r="U827" s="16" t="s">
        <v>97</v>
      </c>
      <c r="V827" s="12" t="s">
        <v>83</v>
      </c>
      <c r="W827" s="13" t="s">
        <v>90</v>
      </c>
      <c r="X827" s="10" t="s">
        <v>85</v>
      </c>
      <c r="Y827" s="12" t="s">
        <v>86</v>
      </c>
      <c r="Z827">
        <f t="shared" si="73"/>
        <v>124</v>
      </c>
      <c r="AA827" s="39">
        <f t="shared" si="74"/>
        <v>65.674242424242422</v>
      </c>
      <c r="AB827" s="39">
        <f t="shared" si="75"/>
        <v>4390.2473315529496</v>
      </c>
      <c r="AC827">
        <f t="shared" si="78"/>
        <v>0.99991542748211881</v>
      </c>
      <c r="AD827">
        <f t="shared" si="76"/>
        <v>0.99988578653929572</v>
      </c>
      <c r="AE827">
        <f t="shared" si="77"/>
        <v>8282</v>
      </c>
    </row>
    <row r="828" spans="1:31">
      <c r="A828" s="9">
        <v>827</v>
      </c>
      <c r="B828" s="30">
        <v>40580</v>
      </c>
      <c r="C828" s="9">
        <v>1</v>
      </c>
      <c r="D828" s="9">
        <v>0</v>
      </c>
      <c r="E828" s="9">
        <v>2</v>
      </c>
      <c r="F828" s="9">
        <v>21</v>
      </c>
      <c r="G828" s="9" t="b">
        <v>0</v>
      </c>
      <c r="H828" s="9">
        <v>0</v>
      </c>
      <c r="I828" s="9">
        <v>1</v>
      </c>
      <c r="J828" s="9">
        <v>0.26</v>
      </c>
      <c r="K828" s="9">
        <v>0.30299999999999999</v>
      </c>
      <c r="L828" s="9">
        <v>0.6</v>
      </c>
      <c r="M828" s="9">
        <v>0</v>
      </c>
      <c r="N828" s="9">
        <v>5</v>
      </c>
      <c r="O828" s="9">
        <v>22</v>
      </c>
      <c r="P828" s="9">
        <v>27</v>
      </c>
      <c r="Q828" s="12" t="s">
        <v>78</v>
      </c>
      <c r="R828" s="13" t="s">
        <v>79</v>
      </c>
      <c r="S828" s="9" t="s">
        <v>80</v>
      </c>
      <c r="T828" s="13" t="s">
        <v>81</v>
      </c>
      <c r="U828" s="16" t="s">
        <v>97</v>
      </c>
      <c r="V828" s="12" t="s">
        <v>83</v>
      </c>
      <c r="W828" s="13" t="s">
        <v>90</v>
      </c>
      <c r="X828" s="9" t="s">
        <v>85</v>
      </c>
      <c r="Y828" s="12" t="s">
        <v>86</v>
      </c>
      <c r="Z828">
        <f t="shared" si="73"/>
        <v>124</v>
      </c>
      <c r="AA828" s="39">
        <f t="shared" si="74"/>
        <v>65.977099236641223</v>
      </c>
      <c r="AB828" s="39">
        <f t="shared" si="75"/>
        <v>4402.7547849075436</v>
      </c>
      <c r="AC828">
        <f t="shared" si="78"/>
        <v>0.99991589313123308</v>
      </c>
      <c r="AD828">
        <f t="shared" si="76"/>
        <v>0.9998861199857868</v>
      </c>
      <c r="AE828">
        <f t="shared" si="77"/>
        <v>8282</v>
      </c>
    </row>
    <row r="829" spans="1:31">
      <c r="A829" s="10">
        <v>828</v>
      </c>
      <c r="B829" s="31">
        <v>40580</v>
      </c>
      <c r="C829" s="10">
        <v>1</v>
      </c>
      <c r="D829" s="10">
        <v>0</v>
      </c>
      <c r="E829" s="10">
        <v>2</v>
      </c>
      <c r="F829" s="10">
        <v>22</v>
      </c>
      <c r="G829" s="10" t="b">
        <v>0</v>
      </c>
      <c r="H829" s="10">
        <v>0</v>
      </c>
      <c r="I829" s="10">
        <v>1</v>
      </c>
      <c r="J829" s="10">
        <v>0.26</v>
      </c>
      <c r="K829" s="10">
        <v>0.30299999999999999</v>
      </c>
      <c r="L829" s="10">
        <v>0.6</v>
      </c>
      <c r="M829" s="10">
        <v>0</v>
      </c>
      <c r="N829" s="10">
        <v>5</v>
      </c>
      <c r="O829" s="10">
        <v>57</v>
      </c>
      <c r="P829" s="10">
        <v>62</v>
      </c>
      <c r="Q829" s="12" t="s">
        <v>78</v>
      </c>
      <c r="R829" s="13" t="s">
        <v>79</v>
      </c>
      <c r="S829" s="10" t="s">
        <v>80</v>
      </c>
      <c r="T829" s="13" t="s">
        <v>81</v>
      </c>
      <c r="U829" s="16" t="s">
        <v>97</v>
      </c>
      <c r="V829" s="11" t="s">
        <v>87</v>
      </c>
      <c r="W829" s="13" t="s">
        <v>90</v>
      </c>
      <c r="X829" s="10" t="s">
        <v>85</v>
      </c>
      <c r="Y829" s="12" t="s">
        <v>86</v>
      </c>
      <c r="Z829">
        <f t="shared" si="73"/>
        <v>124</v>
      </c>
      <c r="AA829" s="39">
        <f t="shared" si="74"/>
        <v>66.276923076923083</v>
      </c>
      <c r="AB829" s="39">
        <f t="shared" si="75"/>
        <v>4415.3702375936236</v>
      </c>
      <c r="AC829">
        <f t="shared" si="78"/>
        <v>0.99991625873967893</v>
      </c>
      <c r="AD829">
        <f t="shared" si="76"/>
        <v>0.99988642935874128</v>
      </c>
      <c r="AE829">
        <f t="shared" si="77"/>
        <v>8282</v>
      </c>
    </row>
    <row r="830" spans="1:31">
      <c r="A830" s="9">
        <v>829</v>
      </c>
      <c r="B830" s="30">
        <v>40580</v>
      </c>
      <c r="C830" s="9">
        <v>1</v>
      </c>
      <c r="D830" s="9">
        <v>0</v>
      </c>
      <c r="E830" s="9">
        <v>2</v>
      </c>
      <c r="F830" s="9">
        <v>23</v>
      </c>
      <c r="G830" s="9" t="b">
        <v>0</v>
      </c>
      <c r="H830" s="9">
        <v>0</v>
      </c>
      <c r="I830" s="9">
        <v>1</v>
      </c>
      <c r="J830" s="9">
        <v>0.24</v>
      </c>
      <c r="K830" s="9">
        <v>0.28789999999999999</v>
      </c>
      <c r="L830" s="9">
        <v>0.65</v>
      </c>
      <c r="M830" s="9">
        <v>0</v>
      </c>
      <c r="N830" s="9">
        <v>4</v>
      </c>
      <c r="O830" s="9">
        <v>26</v>
      </c>
      <c r="P830" s="9">
        <v>30</v>
      </c>
      <c r="Q830" s="12" t="s">
        <v>78</v>
      </c>
      <c r="R830" s="13" t="s">
        <v>79</v>
      </c>
      <c r="S830" s="9" t="s">
        <v>80</v>
      </c>
      <c r="T830" s="13" t="s">
        <v>81</v>
      </c>
      <c r="U830" s="16" t="s">
        <v>97</v>
      </c>
      <c r="V830" s="11" t="s">
        <v>87</v>
      </c>
      <c r="W830" s="15" t="s">
        <v>84</v>
      </c>
      <c r="X830" s="9" t="s">
        <v>85</v>
      </c>
      <c r="Y830" s="12" t="s">
        <v>86</v>
      </c>
      <c r="Z830">
        <f t="shared" si="73"/>
        <v>124</v>
      </c>
      <c r="AA830" s="39">
        <f t="shared" si="74"/>
        <v>66.310077519379846</v>
      </c>
      <c r="AB830" s="39">
        <f t="shared" si="75"/>
        <v>4428.1112251289705</v>
      </c>
      <c r="AC830">
        <f t="shared" si="78"/>
        <v>0.99991628959395118</v>
      </c>
      <c r="AD830">
        <f t="shared" si="76"/>
        <v>0.99988644403579474</v>
      </c>
      <c r="AE830">
        <f t="shared" si="77"/>
        <v>8282</v>
      </c>
    </row>
    <row r="831" spans="1:31">
      <c r="A831" s="10">
        <v>830</v>
      </c>
      <c r="B831" s="31">
        <v>40581</v>
      </c>
      <c r="C831" s="10">
        <v>1</v>
      </c>
      <c r="D831" s="10">
        <v>0</v>
      </c>
      <c r="E831" s="10">
        <v>2</v>
      </c>
      <c r="F831" s="10">
        <v>0</v>
      </c>
      <c r="G831" s="10" t="b">
        <v>0</v>
      </c>
      <c r="H831" s="10">
        <v>1</v>
      </c>
      <c r="I831" s="10">
        <v>1</v>
      </c>
      <c r="J831" s="10">
        <v>0.24</v>
      </c>
      <c r="K831" s="10">
        <v>0.28789999999999999</v>
      </c>
      <c r="L831" s="10">
        <v>0.65</v>
      </c>
      <c r="M831" s="10">
        <v>0</v>
      </c>
      <c r="N831" s="10">
        <v>1</v>
      </c>
      <c r="O831" s="10">
        <v>14</v>
      </c>
      <c r="P831" s="10">
        <v>15</v>
      </c>
      <c r="Q831" s="13" t="s">
        <v>98</v>
      </c>
      <c r="R831" s="13" t="s">
        <v>79</v>
      </c>
      <c r="S831" s="10" t="s">
        <v>80</v>
      </c>
      <c r="T831" s="13" t="s">
        <v>81</v>
      </c>
      <c r="U831" s="14" t="s">
        <v>82</v>
      </c>
      <c r="V831" s="12" t="s">
        <v>83</v>
      </c>
      <c r="W831" s="15" t="s">
        <v>84</v>
      </c>
      <c r="X831" s="10" t="s">
        <v>85</v>
      </c>
      <c r="Y831" s="13" t="s">
        <v>99</v>
      </c>
      <c r="Z831">
        <f t="shared" si="73"/>
        <v>124</v>
      </c>
      <c r="AA831" s="39">
        <f t="shared" si="74"/>
        <v>66.59375</v>
      </c>
      <c r="AB831" s="39">
        <f t="shared" si="75"/>
        <v>4440.9480285086502</v>
      </c>
      <c r="AC831">
        <f t="shared" si="78"/>
        <v>0.9999165425071036</v>
      </c>
      <c r="AD831">
        <f t="shared" si="76"/>
        <v>0.99988678619415461</v>
      </c>
      <c r="AE831">
        <f t="shared" si="77"/>
        <v>8282</v>
      </c>
    </row>
    <row r="832" spans="1:31">
      <c r="A832" s="9">
        <v>831</v>
      </c>
      <c r="B832" s="30">
        <v>40581</v>
      </c>
      <c r="C832" s="9">
        <v>1</v>
      </c>
      <c r="D832" s="9">
        <v>0</v>
      </c>
      <c r="E832" s="9">
        <v>2</v>
      </c>
      <c r="F832" s="9">
        <v>1</v>
      </c>
      <c r="G832" s="9" t="b">
        <v>0</v>
      </c>
      <c r="H832" s="9">
        <v>1</v>
      </c>
      <c r="I832" s="9">
        <v>1</v>
      </c>
      <c r="J832" s="9">
        <v>0.22</v>
      </c>
      <c r="K832" s="9">
        <v>0.2727</v>
      </c>
      <c r="L832" s="9">
        <v>0.75</v>
      </c>
      <c r="M832" s="9">
        <v>0</v>
      </c>
      <c r="N832" s="9">
        <v>1</v>
      </c>
      <c r="O832" s="9">
        <v>4</v>
      </c>
      <c r="P832" s="9">
        <v>5</v>
      </c>
      <c r="Q832" s="13" t="s">
        <v>98</v>
      </c>
      <c r="R832" s="13" t="s">
        <v>79</v>
      </c>
      <c r="S832" s="9" t="s">
        <v>80</v>
      </c>
      <c r="T832" s="13" t="s">
        <v>81</v>
      </c>
      <c r="U832" s="14" t="s">
        <v>82</v>
      </c>
      <c r="V832" s="12" t="s">
        <v>83</v>
      </c>
      <c r="W832" s="15" t="s">
        <v>84</v>
      </c>
      <c r="X832" s="9" t="s">
        <v>85</v>
      </c>
      <c r="Y832" s="13" t="s">
        <v>99</v>
      </c>
      <c r="Z832">
        <f t="shared" si="73"/>
        <v>123</v>
      </c>
      <c r="AA832" s="39">
        <f t="shared" si="74"/>
        <v>67</v>
      </c>
      <c r="AB832" s="39">
        <f t="shared" si="75"/>
        <v>4453.8895003569351</v>
      </c>
      <c r="AC832">
        <f t="shared" si="78"/>
        <v>0.99991701829733393</v>
      </c>
      <c r="AD832">
        <f t="shared" si="76"/>
        <v>0.99988738263308541</v>
      </c>
      <c r="AE832">
        <f t="shared" si="77"/>
        <v>8267</v>
      </c>
    </row>
    <row r="833" spans="1:31">
      <c r="A833" s="10">
        <v>832</v>
      </c>
      <c r="B833" s="31">
        <v>40581</v>
      </c>
      <c r="C833" s="10">
        <v>1</v>
      </c>
      <c r="D833" s="10">
        <v>0</v>
      </c>
      <c r="E833" s="10">
        <v>2</v>
      </c>
      <c r="F833" s="10">
        <v>2</v>
      </c>
      <c r="G833" s="10" t="b">
        <v>0</v>
      </c>
      <c r="H833" s="10">
        <v>1</v>
      </c>
      <c r="I833" s="10">
        <v>1</v>
      </c>
      <c r="J833" s="10">
        <v>0.2</v>
      </c>
      <c r="K833" s="10">
        <v>0.2576</v>
      </c>
      <c r="L833" s="10">
        <v>0.8</v>
      </c>
      <c r="M833" s="10">
        <v>0</v>
      </c>
      <c r="N833" s="10">
        <v>0</v>
      </c>
      <c r="O833" s="10">
        <v>3</v>
      </c>
      <c r="P833" s="10">
        <v>3</v>
      </c>
      <c r="Q833" s="13" t="s">
        <v>98</v>
      </c>
      <c r="R833" s="13" t="s">
        <v>79</v>
      </c>
      <c r="S833" s="10" t="s">
        <v>80</v>
      </c>
      <c r="T833" s="13" t="s">
        <v>81</v>
      </c>
      <c r="U833" s="14" t="s">
        <v>82</v>
      </c>
      <c r="V833" s="12" t="s">
        <v>83</v>
      </c>
      <c r="W833" s="15" t="s">
        <v>84</v>
      </c>
      <c r="X833" s="10" t="s">
        <v>85</v>
      </c>
      <c r="Y833" s="13" t="s">
        <v>99</v>
      </c>
      <c r="Z833">
        <f t="shared" si="73"/>
        <v>122</v>
      </c>
      <c r="AA833" s="39">
        <f t="shared" si="74"/>
        <v>67.492063492063494</v>
      </c>
      <c r="AB833" s="39">
        <f t="shared" si="75"/>
        <v>4466.9394799429538</v>
      </c>
      <c r="AC833">
        <f t="shared" si="78"/>
        <v>0.99991757617265387</v>
      </c>
      <c r="AD833">
        <f t="shared" si="76"/>
        <v>0.99988842691056801</v>
      </c>
      <c r="AE833">
        <f t="shared" si="77"/>
        <v>8262</v>
      </c>
    </row>
    <row r="834" spans="1:31">
      <c r="A834" s="9">
        <v>833</v>
      </c>
      <c r="B834" s="30">
        <v>40581</v>
      </c>
      <c r="C834" s="9">
        <v>1</v>
      </c>
      <c r="D834" s="9">
        <v>0</v>
      </c>
      <c r="E834" s="9">
        <v>2</v>
      </c>
      <c r="F834" s="9">
        <v>3</v>
      </c>
      <c r="G834" s="9" t="b">
        <v>0</v>
      </c>
      <c r="H834" s="9">
        <v>1</v>
      </c>
      <c r="I834" s="9">
        <v>1</v>
      </c>
      <c r="J834" s="9">
        <v>0.2</v>
      </c>
      <c r="K834" s="9">
        <v>0.2576</v>
      </c>
      <c r="L834" s="9">
        <v>0.86</v>
      </c>
      <c r="M834" s="9">
        <v>0</v>
      </c>
      <c r="N834" s="9">
        <v>0</v>
      </c>
      <c r="O834" s="9">
        <v>1</v>
      </c>
      <c r="P834" s="9">
        <v>1</v>
      </c>
      <c r="Q834" s="13" t="s">
        <v>98</v>
      </c>
      <c r="R834" s="13" t="s">
        <v>79</v>
      </c>
      <c r="S834" s="9" t="s">
        <v>80</v>
      </c>
      <c r="T834" s="13" t="s">
        <v>81</v>
      </c>
      <c r="U834" s="14" t="s">
        <v>82</v>
      </c>
      <c r="V834" s="12" t="s">
        <v>83</v>
      </c>
      <c r="W834" s="15" t="s">
        <v>84</v>
      </c>
      <c r="X834" s="9" t="s">
        <v>85</v>
      </c>
      <c r="Y834" s="13" t="s">
        <v>99</v>
      </c>
      <c r="Z834">
        <f t="shared" ref="Z834:Z897" si="79">COUNTIF(Q834:Q1833,"Weekday")</f>
        <v>121</v>
      </c>
      <c r="AA834" s="39">
        <f t="shared" ref="AA834:AA897" si="80">AVERAGEIF(T834:T1833,"Clear",P834:P1833)</f>
        <v>68.007999999999996</v>
      </c>
      <c r="AB834" s="39">
        <f t="shared" ref="AB834:AB897" si="81">STDEV(P834:P1833)</f>
        <v>4480.1037588333429</v>
      </c>
      <c r="AC834">
        <f t="shared" si="78"/>
        <v>0.99991807523911436</v>
      </c>
      <c r="AD834">
        <f t="shared" ref="AD834:AD897" si="82">CORREL(L834:L1833,P834:P1833)</f>
        <v>0.9998896672959553</v>
      </c>
      <c r="AE834">
        <f t="shared" ref="AE834:AE897" si="83">SUMIF(Q834:Q1833,"Weekday",P834:P1833)</f>
        <v>8259</v>
      </c>
    </row>
    <row r="835" spans="1:31">
      <c r="A835" s="10">
        <v>834</v>
      </c>
      <c r="B835" s="31">
        <v>40581</v>
      </c>
      <c r="C835" s="10">
        <v>1</v>
      </c>
      <c r="D835" s="10">
        <v>0</v>
      </c>
      <c r="E835" s="10">
        <v>2</v>
      </c>
      <c r="F835" s="10">
        <v>4</v>
      </c>
      <c r="G835" s="10" t="b">
        <v>0</v>
      </c>
      <c r="H835" s="10">
        <v>1</v>
      </c>
      <c r="I835" s="10">
        <v>1</v>
      </c>
      <c r="J835" s="10">
        <v>0.2</v>
      </c>
      <c r="K835" s="10">
        <v>0.2576</v>
      </c>
      <c r="L835" s="10">
        <v>0.86</v>
      </c>
      <c r="M835" s="10">
        <v>0</v>
      </c>
      <c r="N835" s="10">
        <v>1</v>
      </c>
      <c r="O835" s="10">
        <v>1</v>
      </c>
      <c r="P835" s="10">
        <v>2</v>
      </c>
      <c r="Q835" s="13" t="s">
        <v>98</v>
      </c>
      <c r="R835" s="13" t="s">
        <v>79</v>
      </c>
      <c r="S835" s="10" t="s">
        <v>80</v>
      </c>
      <c r="T835" s="13" t="s">
        <v>81</v>
      </c>
      <c r="U835" s="14" t="s">
        <v>82</v>
      </c>
      <c r="V835" s="12" t="s">
        <v>83</v>
      </c>
      <c r="W835" s="15" t="s">
        <v>84</v>
      </c>
      <c r="X835" s="10" t="s">
        <v>85</v>
      </c>
      <c r="Y835" s="13" t="s">
        <v>99</v>
      </c>
      <c r="Z835">
        <f t="shared" si="79"/>
        <v>120</v>
      </c>
      <c r="AA835" s="39">
        <f t="shared" si="80"/>
        <v>68.548387096774192</v>
      </c>
      <c r="AB835" s="39">
        <f t="shared" si="81"/>
        <v>4493.3840127672038</v>
      </c>
      <c r="AC835">
        <f t="shared" si="78"/>
        <v>0.99991861575371455</v>
      </c>
      <c r="AD835">
        <f t="shared" si="82"/>
        <v>0.99989115170307163</v>
      </c>
      <c r="AE835">
        <f t="shared" si="83"/>
        <v>8258</v>
      </c>
    </row>
    <row r="836" spans="1:31">
      <c r="A836" s="9">
        <v>835</v>
      </c>
      <c r="B836" s="30">
        <v>40581</v>
      </c>
      <c r="C836" s="9">
        <v>1</v>
      </c>
      <c r="D836" s="9">
        <v>0</v>
      </c>
      <c r="E836" s="9">
        <v>2</v>
      </c>
      <c r="F836" s="9">
        <v>5</v>
      </c>
      <c r="G836" s="9" t="b">
        <v>0</v>
      </c>
      <c r="H836" s="9">
        <v>1</v>
      </c>
      <c r="I836" s="9">
        <v>1</v>
      </c>
      <c r="J836" s="9">
        <v>0.2</v>
      </c>
      <c r="K836" s="9">
        <v>0.2576</v>
      </c>
      <c r="L836" s="9">
        <v>0.86</v>
      </c>
      <c r="M836" s="9">
        <v>0</v>
      </c>
      <c r="N836" s="9">
        <v>1</v>
      </c>
      <c r="O836" s="9">
        <v>9</v>
      </c>
      <c r="P836" s="9">
        <v>10</v>
      </c>
      <c r="Q836" s="13" t="s">
        <v>98</v>
      </c>
      <c r="R836" s="13" t="s">
        <v>79</v>
      </c>
      <c r="S836" s="9" t="s">
        <v>80</v>
      </c>
      <c r="T836" s="13" t="s">
        <v>81</v>
      </c>
      <c r="U836" s="15" t="s">
        <v>89</v>
      </c>
      <c r="V836" s="12" t="s">
        <v>83</v>
      </c>
      <c r="W836" s="15" t="s">
        <v>84</v>
      </c>
      <c r="X836" s="9" t="s">
        <v>85</v>
      </c>
      <c r="Y836" s="13" t="s">
        <v>99</v>
      </c>
      <c r="Z836">
        <f t="shared" si="79"/>
        <v>119</v>
      </c>
      <c r="AA836" s="39">
        <f t="shared" si="80"/>
        <v>69.089430894308947</v>
      </c>
      <c r="AB836" s="39">
        <f t="shared" si="81"/>
        <v>4506.7836219213532</v>
      </c>
      <c r="AC836">
        <f t="shared" si="78"/>
        <v>0.99991914486870903</v>
      </c>
      <c r="AD836">
        <f t="shared" si="82"/>
        <v>0.9998926243011238</v>
      </c>
      <c r="AE836">
        <f t="shared" si="83"/>
        <v>8256</v>
      </c>
    </row>
    <row r="837" spans="1:31">
      <c r="A837" s="10">
        <v>836</v>
      </c>
      <c r="B837" s="31">
        <v>40581</v>
      </c>
      <c r="C837" s="10">
        <v>1</v>
      </c>
      <c r="D837" s="10">
        <v>0</v>
      </c>
      <c r="E837" s="10">
        <v>2</v>
      </c>
      <c r="F837" s="10">
        <v>6</v>
      </c>
      <c r="G837" s="10" t="b">
        <v>0</v>
      </c>
      <c r="H837" s="10">
        <v>1</v>
      </c>
      <c r="I837" s="10">
        <v>1</v>
      </c>
      <c r="J837" s="10">
        <v>0.18</v>
      </c>
      <c r="K837" s="10">
        <v>0.2424</v>
      </c>
      <c r="L837" s="10">
        <v>0.93</v>
      </c>
      <c r="M837" s="10">
        <v>0</v>
      </c>
      <c r="N837" s="10">
        <v>1</v>
      </c>
      <c r="O837" s="10">
        <v>29</v>
      </c>
      <c r="P837" s="10">
        <v>30</v>
      </c>
      <c r="Q837" s="13" t="s">
        <v>98</v>
      </c>
      <c r="R837" s="13" t="s">
        <v>79</v>
      </c>
      <c r="S837" s="10" t="s">
        <v>80</v>
      </c>
      <c r="T837" s="13" t="s">
        <v>81</v>
      </c>
      <c r="U837" s="15" t="s">
        <v>89</v>
      </c>
      <c r="V837" s="11" t="s">
        <v>87</v>
      </c>
      <c r="W837" s="15" t="s">
        <v>84</v>
      </c>
      <c r="X837" s="10" t="s">
        <v>85</v>
      </c>
      <c r="Y837" s="13" t="s">
        <v>99</v>
      </c>
      <c r="Z837">
        <f t="shared" si="79"/>
        <v>118</v>
      </c>
      <c r="AA837" s="39">
        <f t="shared" si="80"/>
        <v>69.573770491803273</v>
      </c>
      <c r="AB837" s="39">
        <f t="shared" si="81"/>
        <v>4520.3082567370911</v>
      </c>
      <c r="AC837">
        <f t="shared" si="78"/>
        <v>0.99991954657335125</v>
      </c>
      <c r="AD837">
        <f t="shared" si="82"/>
        <v>0.99989388557655812</v>
      </c>
      <c r="AE837">
        <f t="shared" si="83"/>
        <v>8246</v>
      </c>
    </row>
    <row r="838" spans="1:31">
      <c r="A838" s="9">
        <v>837</v>
      </c>
      <c r="B838" s="30">
        <v>40581</v>
      </c>
      <c r="C838" s="9">
        <v>1</v>
      </c>
      <c r="D838" s="9">
        <v>0</v>
      </c>
      <c r="E838" s="9">
        <v>2</v>
      </c>
      <c r="F838" s="9">
        <v>7</v>
      </c>
      <c r="G838" s="9" t="b">
        <v>0</v>
      </c>
      <c r="H838" s="9">
        <v>1</v>
      </c>
      <c r="I838" s="9">
        <v>1</v>
      </c>
      <c r="J838" s="9">
        <v>0.18</v>
      </c>
      <c r="K838" s="9">
        <v>0.2424</v>
      </c>
      <c r="L838" s="9">
        <v>0.86</v>
      </c>
      <c r="M838" s="9">
        <v>0</v>
      </c>
      <c r="N838" s="9">
        <v>6</v>
      </c>
      <c r="O838" s="9">
        <v>89</v>
      </c>
      <c r="P838" s="9">
        <v>95</v>
      </c>
      <c r="Q838" s="13" t="s">
        <v>98</v>
      </c>
      <c r="R838" s="13" t="s">
        <v>79</v>
      </c>
      <c r="S838" s="9" t="s">
        <v>80</v>
      </c>
      <c r="T838" s="13" t="s">
        <v>81</v>
      </c>
      <c r="U838" s="15" t="s">
        <v>89</v>
      </c>
      <c r="V838" s="13" t="s">
        <v>93</v>
      </c>
      <c r="W838" s="15" t="s">
        <v>84</v>
      </c>
      <c r="X838" s="9" t="s">
        <v>85</v>
      </c>
      <c r="Y838" s="13" t="s">
        <v>99</v>
      </c>
      <c r="Z838">
        <f t="shared" si="79"/>
        <v>117</v>
      </c>
      <c r="AA838" s="39">
        <f t="shared" si="80"/>
        <v>69.900826446280988</v>
      </c>
      <c r="AB838" s="39">
        <f t="shared" si="81"/>
        <v>4533.9661905851053</v>
      </c>
      <c r="AC838">
        <f t="shared" si="78"/>
        <v>0.99991965008673722</v>
      </c>
      <c r="AD838">
        <f t="shared" si="82"/>
        <v>0.99989482853757428</v>
      </c>
      <c r="AE838">
        <f t="shared" si="83"/>
        <v>8216</v>
      </c>
    </row>
    <row r="839" spans="1:31">
      <c r="A839" s="10">
        <v>838</v>
      </c>
      <c r="B839" s="31">
        <v>40581</v>
      </c>
      <c r="C839" s="10">
        <v>1</v>
      </c>
      <c r="D839" s="10">
        <v>0</v>
      </c>
      <c r="E839" s="10">
        <v>2</v>
      </c>
      <c r="F839" s="10">
        <v>8</v>
      </c>
      <c r="G839" s="10" t="b">
        <v>0</v>
      </c>
      <c r="H839" s="10">
        <v>1</v>
      </c>
      <c r="I839" s="10">
        <v>2</v>
      </c>
      <c r="J839" s="10">
        <v>0.16</v>
      </c>
      <c r="K839" s="10">
        <v>0.2273</v>
      </c>
      <c r="L839" s="10">
        <v>1</v>
      </c>
      <c r="M839" s="10">
        <v>0</v>
      </c>
      <c r="N839" s="10">
        <v>7</v>
      </c>
      <c r="O839" s="10">
        <v>223</v>
      </c>
      <c r="P839" s="10">
        <v>230</v>
      </c>
      <c r="Q839" s="13" t="s">
        <v>98</v>
      </c>
      <c r="R839" s="13" t="s">
        <v>79</v>
      </c>
      <c r="S839" s="10" t="s">
        <v>80</v>
      </c>
      <c r="T839" s="11" t="s">
        <v>88</v>
      </c>
      <c r="U839" s="15" t="s">
        <v>89</v>
      </c>
      <c r="V839" s="13" t="s">
        <v>93</v>
      </c>
      <c r="W839" s="15" t="s">
        <v>84</v>
      </c>
      <c r="X839" s="10" t="s">
        <v>85</v>
      </c>
      <c r="Y839" s="13" t="s">
        <v>99</v>
      </c>
      <c r="Z839">
        <f t="shared" si="79"/>
        <v>116</v>
      </c>
      <c r="AA839" s="39">
        <f t="shared" si="80"/>
        <v>69.691666666666663</v>
      </c>
      <c r="AB839" s="39">
        <f t="shared" si="81"/>
        <v>4547.7803651932672</v>
      </c>
      <c r="AC839">
        <f t="shared" si="78"/>
        <v>0.99991986347852002</v>
      </c>
      <c r="AD839">
        <f t="shared" si="82"/>
        <v>0.9998948351597442</v>
      </c>
      <c r="AE839">
        <f t="shared" si="83"/>
        <v>8121</v>
      </c>
    </row>
    <row r="840" spans="1:31">
      <c r="A840" s="9">
        <v>839</v>
      </c>
      <c r="B840" s="30">
        <v>40581</v>
      </c>
      <c r="C840" s="9">
        <v>1</v>
      </c>
      <c r="D840" s="9">
        <v>0</v>
      </c>
      <c r="E840" s="9">
        <v>2</v>
      </c>
      <c r="F840" s="9">
        <v>9</v>
      </c>
      <c r="G840" s="9" t="b">
        <v>0</v>
      </c>
      <c r="H840" s="9">
        <v>1</v>
      </c>
      <c r="I840" s="9">
        <v>1</v>
      </c>
      <c r="J840" s="9">
        <v>0.22</v>
      </c>
      <c r="K840" s="9">
        <v>0.2727</v>
      </c>
      <c r="L840" s="9">
        <v>0.8</v>
      </c>
      <c r="M840" s="9">
        <v>0</v>
      </c>
      <c r="N840" s="9">
        <v>3</v>
      </c>
      <c r="O840" s="9">
        <v>115</v>
      </c>
      <c r="P840" s="9">
        <v>118</v>
      </c>
      <c r="Q840" s="13" t="s">
        <v>98</v>
      </c>
      <c r="R840" s="13" t="s">
        <v>79</v>
      </c>
      <c r="S840" s="9" t="s">
        <v>80</v>
      </c>
      <c r="T840" s="13" t="s">
        <v>81</v>
      </c>
      <c r="U840" s="15" t="s">
        <v>89</v>
      </c>
      <c r="V840" s="13" t="s">
        <v>93</v>
      </c>
      <c r="W840" s="15" t="s">
        <v>84</v>
      </c>
      <c r="X840" s="9" t="s">
        <v>85</v>
      </c>
      <c r="Y840" s="13" t="s">
        <v>99</v>
      </c>
      <c r="Z840">
        <f t="shared" si="79"/>
        <v>115</v>
      </c>
      <c r="AA840" s="39">
        <f t="shared" si="80"/>
        <v>69.691666666666663</v>
      </c>
      <c r="AB840" s="39">
        <f t="shared" si="81"/>
        <v>4561.7695902983569</v>
      </c>
      <c r="AC840">
        <f t="shared" si="78"/>
        <v>0.99992464108869095</v>
      </c>
      <c r="AD840">
        <f t="shared" si="82"/>
        <v>0.99989673183658945</v>
      </c>
      <c r="AE840">
        <f t="shared" si="83"/>
        <v>7891</v>
      </c>
    </row>
    <row r="841" spans="1:31">
      <c r="A841" s="10">
        <v>840</v>
      </c>
      <c r="B841" s="31">
        <v>40581</v>
      </c>
      <c r="C841" s="10">
        <v>1</v>
      </c>
      <c r="D841" s="10">
        <v>0</v>
      </c>
      <c r="E841" s="10">
        <v>2</v>
      </c>
      <c r="F841" s="10">
        <v>10</v>
      </c>
      <c r="G841" s="10" t="b">
        <v>0</v>
      </c>
      <c r="H841" s="10">
        <v>1</v>
      </c>
      <c r="I841" s="10">
        <v>1</v>
      </c>
      <c r="J841" s="10">
        <v>0.24</v>
      </c>
      <c r="K841" s="10">
        <v>0.2576</v>
      </c>
      <c r="L841" s="10">
        <v>0.75</v>
      </c>
      <c r="M841" s="10">
        <v>0.1045</v>
      </c>
      <c r="N841" s="10">
        <v>6</v>
      </c>
      <c r="O841" s="10">
        <v>49</v>
      </c>
      <c r="P841" s="10">
        <v>55</v>
      </c>
      <c r="Q841" s="13" t="s">
        <v>98</v>
      </c>
      <c r="R841" s="13" t="s">
        <v>79</v>
      </c>
      <c r="S841" s="10" t="s">
        <v>80</v>
      </c>
      <c r="T841" s="13" t="s">
        <v>81</v>
      </c>
      <c r="U841" s="13" t="s">
        <v>91</v>
      </c>
      <c r="V841" s="11" t="s">
        <v>87</v>
      </c>
      <c r="W841" s="15" t="s">
        <v>84</v>
      </c>
      <c r="X841" s="10" t="s">
        <v>85</v>
      </c>
      <c r="Y841" s="13" t="s">
        <v>99</v>
      </c>
      <c r="Z841">
        <f t="shared" si="79"/>
        <v>114</v>
      </c>
      <c r="AA841" s="39">
        <f t="shared" si="80"/>
        <v>69.285714285714292</v>
      </c>
      <c r="AB841" s="39">
        <f t="shared" si="81"/>
        <v>4575.8503347153182</v>
      </c>
      <c r="AC841">
        <f t="shared" si="78"/>
        <v>0.99992502798388372</v>
      </c>
      <c r="AD841">
        <f t="shared" si="82"/>
        <v>0.99989679776324858</v>
      </c>
      <c r="AE841">
        <f t="shared" si="83"/>
        <v>7773</v>
      </c>
    </row>
    <row r="842" spans="1:31">
      <c r="A842" s="9">
        <v>841</v>
      </c>
      <c r="B842" s="30">
        <v>40581</v>
      </c>
      <c r="C842" s="9">
        <v>1</v>
      </c>
      <c r="D842" s="9">
        <v>0</v>
      </c>
      <c r="E842" s="9">
        <v>2</v>
      </c>
      <c r="F842" s="9">
        <v>11</v>
      </c>
      <c r="G842" s="9" t="b">
        <v>0</v>
      </c>
      <c r="H842" s="9">
        <v>1</v>
      </c>
      <c r="I842" s="9">
        <v>1</v>
      </c>
      <c r="J842" s="9">
        <v>0.3</v>
      </c>
      <c r="K842" s="9">
        <v>0.31819999999999998</v>
      </c>
      <c r="L842" s="9">
        <v>0.65</v>
      </c>
      <c r="M842" s="9">
        <v>8.9599999999999999E-2</v>
      </c>
      <c r="N842" s="9">
        <v>11</v>
      </c>
      <c r="O842" s="9">
        <v>36</v>
      </c>
      <c r="P842" s="9">
        <v>47</v>
      </c>
      <c r="Q842" s="13" t="s">
        <v>98</v>
      </c>
      <c r="R842" s="13" t="s">
        <v>79</v>
      </c>
      <c r="S842" s="9" t="s">
        <v>80</v>
      </c>
      <c r="T842" s="13" t="s">
        <v>81</v>
      </c>
      <c r="U842" s="13" t="s">
        <v>91</v>
      </c>
      <c r="V842" s="11" t="s">
        <v>87</v>
      </c>
      <c r="W842" s="13" t="s">
        <v>90</v>
      </c>
      <c r="X842" s="9" t="s">
        <v>85</v>
      </c>
      <c r="Y842" s="13" t="s">
        <v>99</v>
      </c>
      <c r="Z842">
        <f t="shared" si="79"/>
        <v>113</v>
      </c>
      <c r="AA842" s="39">
        <f t="shared" si="80"/>
        <v>69.406779661016955</v>
      </c>
      <c r="AB842" s="39">
        <f t="shared" si="81"/>
        <v>4590.032907549934</v>
      </c>
      <c r="AC842">
        <f t="shared" si="78"/>
        <v>0.99992506952634008</v>
      </c>
      <c r="AD842">
        <f t="shared" si="82"/>
        <v>0.99989699116088648</v>
      </c>
      <c r="AE842">
        <f t="shared" si="83"/>
        <v>7718</v>
      </c>
    </row>
    <row r="843" spans="1:31">
      <c r="A843" s="10">
        <v>842</v>
      </c>
      <c r="B843" s="31">
        <v>40581</v>
      </c>
      <c r="C843" s="10">
        <v>1</v>
      </c>
      <c r="D843" s="10">
        <v>0</v>
      </c>
      <c r="E843" s="10">
        <v>2</v>
      </c>
      <c r="F843" s="10">
        <v>12</v>
      </c>
      <c r="G843" s="10" t="b">
        <v>0</v>
      </c>
      <c r="H843" s="10">
        <v>1</v>
      </c>
      <c r="I843" s="10">
        <v>2</v>
      </c>
      <c r="J843" s="10">
        <v>0.32</v>
      </c>
      <c r="K843" s="10">
        <v>0.34849999999999998</v>
      </c>
      <c r="L843" s="10">
        <v>0.62</v>
      </c>
      <c r="M843" s="10">
        <v>0</v>
      </c>
      <c r="N843" s="10">
        <v>7</v>
      </c>
      <c r="O843" s="10">
        <v>59</v>
      </c>
      <c r="P843" s="10">
        <v>66</v>
      </c>
      <c r="Q843" s="13" t="s">
        <v>98</v>
      </c>
      <c r="R843" s="13" t="s">
        <v>79</v>
      </c>
      <c r="S843" s="10" t="s">
        <v>80</v>
      </c>
      <c r="T843" s="11" t="s">
        <v>88</v>
      </c>
      <c r="U843" s="11" t="s">
        <v>92</v>
      </c>
      <c r="V843" s="11" t="s">
        <v>87</v>
      </c>
      <c r="W843" s="13" t="s">
        <v>90</v>
      </c>
      <c r="X843" s="10" t="s">
        <v>85</v>
      </c>
      <c r="Y843" s="13" t="s">
        <v>99</v>
      </c>
      <c r="Z843">
        <f t="shared" si="79"/>
        <v>112</v>
      </c>
      <c r="AA843" s="39">
        <f t="shared" si="80"/>
        <v>69.598290598290603</v>
      </c>
      <c r="AB843" s="39">
        <f t="shared" si="81"/>
        <v>4604.3440193395272</v>
      </c>
      <c r="AC843">
        <f t="shared" si="78"/>
        <v>0.99992533448659471</v>
      </c>
      <c r="AD843">
        <f t="shared" si="82"/>
        <v>0.99989716548697838</v>
      </c>
      <c r="AE843">
        <f t="shared" si="83"/>
        <v>7671</v>
      </c>
    </row>
    <row r="844" spans="1:31">
      <c r="A844" s="9">
        <v>843</v>
      </c>
      <c r="B844" s="30">
        <v>40581</v>
      </c>
      <c r="C844" s="9">
        <v>1</v>
      </c>
      <c r="D844" s="9">
        <v>0</v>
      </c>
      <c r="E844" s="9">
        <v>2</v>
      </c>
      <c r="F844" s="9">
        <v>13</v>
      </c>
      <c r="G844" s="9" t="b">
        <v>0</v>
      </c>
      <c r="H844" s="9">
        <v>1</v>
      </c>
      <c r="I844" s="9">
        <v>2</v>
      </c>
      <c r="J844" s="9">
        <v>0.36</v>
      </c>
      <c r="K844" s="9">
        <v>0.36359999999999998</v>
      </c>
      <c r="L844" s="9">
        <v>0.56999999999999995</v>
      </c>
      <c r="M844" s="9">
        <v>8.9599999999999999E-2</v>
      </c>
      <c r="N844" s="9">
        <v>10</v>
      </c>
      <c r="O844" s="9">
        <v>54</v>
      </c>
      <c r="P844" s="9">
        <v>64</v>
      </c>
      <c r="Q844" s="13" t="s">
        <v>98</v>
      </c>
      <c r="R844" s="13" t="s">
        <v>79</v>
      </c>
      <c r="S844" s="9" t="s">
        <v>80</v>
      </c>
      <c r="T844" s="11" t="s">
        <v>88</v>
      </c>
      <c r="U844" s="11" t="s">
        <v>92</v>
      </c>
      <c r="V844" s="11" t="s">
        <v>87</v>
      </c>
      <c r="W844" s="13" t="s">
        <v>90</v>
      </c>
      <c r="X844" s="9" t="s">
        <v>85</v>
      </c>
      <c r="Y844" s="13" t="s">
        <v>99</v>
      </c>
      <c r="Z844">
        <f t="shared" si="79"/>
        <v>111</v>
      </c>
      <c r="AA844" s="39">
        <f t="shared" si="80"/>
        <v>69.598290598290603</v>
      </c>
      <c r="AB844" s="39">
        <f t="shared" si="81"/>
        <v>4618.7996549113514</v>
      </c>
      <c r="AC844">
        <f t="shared" si="78"/>
        <v>0.99992545983188241</v>
      </c>
      <c r="AD844">
        <f t="shared" si="82"/>
        <v>0.99989718594406229</v>
      </c>
      <c r="AE844">
        <f t="shared" si="83"/>
        <v>7605</v>
      </c>
    </row>
    <row r="845" spans="1:31">
      <c r="A845" s="10">
        <v>844</v>
      </c>
      <c r="B845" s="31">
        <v>40581</v>
      </c>
      <c r="C845" s="10">
        <v>1</v>
      </c>
      <c r="D845" s="10">
        <v>0</v>
      </c>
      <c r="E845" s="10">
        <v>2</v>
      </c>
      <c r="F845" s="10">
        <v>14</v>
      </c>
      <c r="G845" s="10" t="b">
        <v>0</v>
      </c>
      <c r="H845" s="10">
        <v>1</v>
      </c>
      <c r="I845" s="10">
        <v>2</v>
      </c>
      <c r="J845" s="10">
        <v>0.36</v>
      </c>
      <c r="K845" s="10">
        <v>0.36359999999999998</v>
      </c>
      <c r="L845" s="10">
        <v>0.56999999999999995</v>
      </c>
      <c r="M845" s="10">
        <v>8.9599999999999999E-2</v>
      </c>
      <c r="N845" s="10">
        <v>8</v>
      </c>
      <c r="O845" s="10">
        <v>52</v>
      </c>
      <c r="P845" s="10">
        <v>60</v>
      </c>
      <c r="Q845" s="13" t="s">
        <v>98</v>
      </c>
      <c r="R845" s="13" t="s">
        <v>79</v>
      </c>
      <c r="S845" s="10" t="s">
        <v>80</v>
      </c>
      <c r="T845" s="11" t="s">
        <v>88</v>
      </c>
      <c r="U845" s="13" t="s">
        <v>94</v>
      </c>
      <c r="V845" s="11" t="s">
        <v>87</v>
      </c>
      <c r="W845" s="13" t="s">
        <v>90</v>
      </c>
      <c r="X845" s="10" t="s">
        <v>85</v>
      </c>
      <c r="Y845" s="13" t="s">
        <v>99</v>
      </c>
      <c r="Z845">
        <f t="shared" si="79"/>
        <v>110</v>
      </c>
      <c r="AA845" s="39">
        <f t="shared" si="80"/>
        <v>69.598290598290603</v>
      </c>
      <c r="AB845" s="39">
        <f t="shared" si="81"/>
        <v>4633.3912838747401</v>
      </c>
      <c r="AC845">
        <f t="shared" si="78"/>
        <v>0.99992573065591817</v>
      </c>
      <c r="AD845">
        <f t="shared" si="82"/>
        <v>0.9998971963904838</v>
      </c>
      <c r="AE845">
        <f t="shared" si="83"/>
        <v>7541</v>
      </c>
    </row>
    <row r="846" spans="1:31">
      <c r="A846" s="9">
        <v>845</v>
      </c>
      <c r="B846" s="30">
        <v>40581</v>
      </c>
      <c r="C846" s="9">
        <v>1</v>
      </c>
      <c r="D846" s="9">
        <v>0</v>
      </c>
      <c r="E846" s="9">
        <v>2</v>
      </c>
      <c r="F846" s="9">
        <v>15</v>
      </c>
      <c r="G846" s="9" t="b">
        <v>0</v>
      </c>
      <c r="H846" s="9">
        <v>1</v>
      </c>
      <c r="I846" s="9">
        <v>2</v>
      </c>
      <c r="J846" s="9">
        <v>0.38</v>
      </c>
      <c r="K846" s="9">
        <v>0.39389999999999997</v>
      </c>
      <c r="L846" s="9">
        <v>0.54</v>
      </c>
      <c r="M846" s="9">
        <v>8.9599999999999999E-2</v>
      </c>
      <c r="N846" s="9">
        <v>4</v>
      </c>
      <c r="O846" s="9">
        <v>46</v>
      </c>
      <c r="P846" s="9">
        <v>50</v>
      </c>
      <c r="Q846" s="13" t="s">
        <v>98</v>
      </c>
      <c r="R846" s="13" t="s">
        <v>79</v>
      </c>
      <c r="S846" s="9" t="s">
        <v>80</v>
      </c>
      <c r="T846" s="11" t="s">
        <v>88</v>
      </c>
      <c r="U846" s="13" t="s">
        <v>94</v>
      </c>
      <c r="V846" s="11" t="s">
        <v>87</v>
      </c>
      <c r="W846" s="13" t="s">
        <v>90</v>
      </c>
      <c r="X846" s="9" t="s">
        <v>85</v>
      </c>
      <c r="Y846" s="13" t="s">
        <v>99</v>
      </c>
      <c r="Z846">
        <f t="shared" si="79"/>
        <v>109</v>
      </c>
      <c r="AA846" s="39">
        <f t="shared" si="80"/>
        <v>69.598290598290603</v>
      </c>
      <c r="AB846" s="39">
        <f t="shared" si="81"/>
        <v>4648.1200081844972</v>
      </c>
      <c r="AC846">
        <f t="shared" si="78"/>
        <v>0.999926058777871</v>
      </c>
      <c r="AD846">
        <f t="shared" si="82"/>
        <v>0.99989722117472757</v>
      </c>
      <c r="AE846">
        <f t="shared" si="83"/>
        <v>7481</v>
      </c>
    </row>
    <row r="847" spans="1:31">
      <c r="A847" s="10">
        <v>846</v>
      </c>
      <c r="B847" s="31">
        <v>40581</v>
      </c>
      <c r="C847" s="10">
        <v>1</v>
      </c>
      <c r="D847" s="10">
        <v>0</v>
      </c>
      <c r="E847" s="10">
        <v>2</v>
      </c>
      <c r="F847" s="10">
        <v>16</v>
      </c>
      <c r="G847" s="10" t="b">
        <v>0</v>
      </c>
      <c r="H847" s="10">
        <v>1</v>
      </c>
      <c r="I847" s="10">
        <v>2</v>
      </c>
      <c r="J847" s="10">
        <v>0.36</v>
      </c>
      <c r="K847" s="10">
        <v>0.34849999999999998</v>
      </c>
      <c r="L847" s="10">
        <v>0.56999999999999995</v>
      </c>
      <c r="M847" s="10">
        <v>0.1343</v>
      </c>
      <c r="N847" s="10">
        <v>16</v>
      </c>
      <c r="O847" s="10">
        <v>98</v>
      </c>
      <c r="P847" s="10">
        <v>114</v>
      </c>
      <c r="Q847" s="13" t="s">
        <v>98</v>
      </c>
      <c r="R847" s="13" t="s">
        <v>79</v>
      </c>
      <c r="S847" s="10" t="s">
        <v>80</v>
      </c>
      <c r="T847" s="11" t="s">
        <v>88</v>
      </c>
      <c r="U847" s="13" t="s">
        <v>94</v>
      </c>
      <c r="V847" s="13" t="s">
        <v>93</v>
      </c>
      <c r="W847" s="13" t="s">
        <v>90</v>
      </c>
      <c r="X847" s="10" t="s">
        <v>85</v>
      </c>
      <c r="Y847" s="13" t="s">
        <v>99</v>
      </c>
      <c r="Z847">
        <f t="shared" si="79"/>
        <v>108</v>
      </c>
      <c r="AA847" s="39">
        <f t="shared" si="80"/>
        <v>69.598290598290603</v>
      </c>
      <c r="AB847" s="39">
        <f t="shared" si="81"/>
        <v>4662.9847508968733</v>
      </c>
      <c r="AC847">
        <f t="shared" si="78"/>
        <v>0.99992664935585829</v>
      </c>
      <c r="AD847">
        <f t="shared" si="82"/>
        <v>0.99989728273714906</v>
      </c>
      <c r="AE847">
        <f t="shared" si="83"/>
        <v>7431</v>
      </c>
    </row>
    <row r="848" spans="1:31">
      <c r="A848" s="9">
        <v>847</v>
      </c>
      <c r="B848" s="30">
        <v>40581</v>
      </c>
      <c r="C848" s="9">
        <v>1</v>
      </c>
      <c r="D848" s="9">
        <v>0</v>
      </c>
      <c r="E848" s="9">
        <v>2</v>
      </c>
      <c r="F848" s="9">
        <v>17</v>
      </c>
      <c r="G848" s="9" t="b">
        <v>0</v>
      </c>
      <c r="H848" s="9">
        <v>1</v>
      </c>
      <c r="I848" s="9">
        <v>2</v>
      </c>
      <c r="J848" s="9">
        <v>0.32</v>
      </c>
      <c r="K848" s="9">
        <v>0.31819999999999998</v>
      </c>
      <c r="L848" s="9">
        <v>0.7</v>
      </c>
      <c r="M848" s="9">
        <v>0.16420000000000001</v>
      </c>
      <c r="N848" s="9">
        <v>9</v>
      </c>
      <c r="O848" s="9">
        <v>207</v>
      </c>
      <c r="P848" s="9">
        <v>216</v>
      </c>
      <c r="Q848" s="13" t="s">
        <v>98</v>
      </c>
      <c r="R848" s="13" t="s">
        <v>79</v>
      </c>
      <c r="S848" s="9" t="s">
        <v>80</v>
      </c>
      <c r="T848" s="11" t="s">
        <v>88</v>
      </c>
      <c r="U848" s="15" t="s">
        <v>95</v>
      </c>
      <c r="V848" s="13" t="s">
        <v>93</v>
      </c>
      <c r="W848" s="13" t="s">
        <v>90</v>
      </c>
      <c r="X848" s="9" t="s">
        <v>85</v>
      </c>
      <c r="Y848" s="13" t="s">
        <v>99</v>
      </c>
      <c r="Z848">
        <f t="shared" si="79"/>
        <v>107</v>
      </c>
      <c r="AA848" s="39">
        <f t="shared" si="80"/>
        <v>69.598290598290603</v>
      </c>
      <c r="AB848" s="39">
        <f t="shared" si="81"/>
        <v>4678.0251224565172</v>
      </c>
      <c r="AC848">
        <f t="shared" ref="AC848:AC911" si="84">CORREL(J848:J1847,P848:P1847)</f>
        <v>0.99992665273619863</v>
      </c>
      <c r="AD848">
        <f t="shared" si="82"/>
        <v>0.99989751611472399</v>
      </c>
      <c r="AE848">
        <f t="shared" si="83"/>
        <v>7317</v>
      </c>
    </row>
    <row r="849" spans="1:31">
      <c r="A849" s="10">
        <v>848</v>
      </c>
      <c r="B849" s="31">
        <v>40581</v>
      </c>
      <c r="C849" s="10">
        <v>1</v>
      </c>
      <c r="D849" s="10">
        <v>0</v>
      </c>
      <c r="E849" s="10">
        <v>2</v>
      </c>
      <c r="F849" s="10">
        <v>18</v>
      </c>
      <c r="G849" s="10" t="b">
        <v>0</v>
      </c>
      <c r="H849" s="10">
        <v>1</v>
      </c>
      <c r="I849" s="10">
        <v>2</v>
      </c>
      <c r="J849" s="10">
        <v>0.34</v>
      </c>
      <c r="K849" s="10">
        <v>0.33329999999999999</v>
      </c>
      <c r="L849" s="10">
        <v>0.66</v>
      </c>
      <c r="M849" s="10">
        <v>0.1343</v>
      </c>
      <c r="N849" s="10">
        <v>5</v>
      </c>
      <c r="O849" s="10">
        <v>170</v>
      </c>
      <c r="P849" s="10">
        <v>175</v>
      </c>
      <c r="Q849" s="13" t="s">
        <v>98</v>
      </c>
      <c r="R849" s="13" t="s">
        <v>79</v>
      </c>
      <c r="S849" s="10" t="s">
        <v>80</v>
      </c>
      <c r="T849" s="11" t="s">
        <v>88</v>
      </c>
      <c r="U849" s="15" t="s">
        <v>95</v>
      </c>
      <c r="V849" s="13" t="s">
        <v>93</v>
      </c>
      <c r="W849" s="13" t="s">
        <v>90</v>
      </c>
      <c r="X849" s="10" t="s">
        <v>85</v>
      </c>
      <c r="Y849" s="13" t="s">
        <v>99</v>
      </c>
      <c r="Z849">
        <f t="shared" si="79"/>
        <v>106</v>
      </c>
      <c r="AA849" s="39">
        <f t="shared" si="80"/>
        <v>69.598290598290603</v>
      </c>
      <c r="AB849" s="39">
        <f t="shared" si="81"/>
        <v>4693.2517396278927</v>
      </c>
      <c r="AC849">
        <f t="shared" si="84"/>
        <v>0.99992878627799509</v>
      </c>
      <c r="AD849">
        <f t="shared" si="82"/>
        <v>0.99990000209674013</v>
      </c>
      <c r="AE849">
        <f t="shared" si="83"/>
        <v>7101</v>
      </c>
    </row>
    <row r="850" spans="1:31">
      <c r="A850" s="9">
        <v>849</v>
      </c>
      <c r="B850" s="30">
        <v>40581</v>
      </c>
      <c r="C850" s="9">
        <v>1</v>
      </c>
      <c r="D850" s="9">
        <v>0</v>
      </c>
      <c r="E850" s="9">
        <v>2</v>
      </c>
      <c r="F850" s="9">
        <v>19</v>
      </c>
      <c r="G850" s="9" t="b">
        <v>0</v>
      </c>
      <c r="H850" s="9">
        <v>1</v>
      </c>
      <c r="I850" s="9">
        <v>2</v>
      </c>
      <c r="J850" s="9">
        <v>0.32</v>
      </c>
      <c r="K850" s="9">
        <v>0.34849999999999998</v>
      </c>
      <c r="L850" s="9">
        <v>0.7</v>
      </c>
      <c r="M850" s="9">
        <v>0</v>
      </c>
      <c r="N850" s="9">
        <v>5</v>
      </c>
      <c r="O850" s="9">
        <v>123</v>
      </c>
      <c r="P850" s="9">
        <v>128</v>
      </c>
      <c r="Q850" s="13" t="s">
        <v>98</v>
      </c>
      <c r="R850" s="13" t="s">
        <v>79</v>
      </c>
      <c r="S850" s="9" t="s">
        <v>80</v>
      </c>
      <c r="T850" s="11" t="s">
        <v>88</v>
      </c>
      <c r="U850" s="15" t="s">
        <v>95</v>
      </c>
      <c r="V850" s="13" t="s">
        <v>93</v>
      </c>
      <c r="W850" s="13" t="s">
        <v>90</v>
      </c>
      <c r="X850" s="9" t="s">
        <v>85</v>
      </c>
      <c r="Y850" s="13" t="s">
        <v>99</v>
      </c>
      <c r="Z850">
        <f t="shared" si="79"/>
        <v>105</v>
      </c>
      <c r="AA850" s="39">
        <f t="shared" si="80"/>
        <v>69.598290598290603</v>
      </c>
      <c r="AB850" s="39">
        <f t="shared" si="81"/>
        <v>4708.6136555089697</v>
      </c>
      <c r="AC850">
        <f t="shared" si="84"/>
        <v>0.99992959539865101</v>
      </c>
      <c r="AD850">
        <f t="shared" si="82"/>
        <v>0.9999012890558302</v>
      </c>
      <c r="AE850">
        <f t="shared" si="83"/>
        <v>6926</v>
      </c>
    </row>
    <row r="851" spans="1:31">
      <c r="A851" s="10">
        <v>850</v>
      </c>
      <c r="B851" s="31">
        <v>40581</v>
      </c>
      <c r="C851" s="10">
        <v>1</v>
      </c>
      <c r="D851" s="10">
        <v>0</v>
      </c>
      <c r="E851" s="10">
        <v>2</v>
      </c>
      <c r="F851" s="10">
        <v>20</v>
      </c>
      <c r="G851" s="10" t="b">
        <v>0</v>
      </c>
      <c r="H851" s="10">
        <v>1</v>
      </c>
      <c r="I851" s="10">
        <v>2</v>
      </c>
      <c r="J851" s="10">
        <v>0.32</v>
      </c>
      <c r="K851" s="10">
        <v>0.33329999999999999</v>
      </c>
      <c r="L851" s="10">
        <v>0.7</v>
      </c>
      <c r="M851" s="10">
        <v>0.1045</v>
      </c>
      <c r="N851" s="10">
        <v>6</v>
      </c>
      <c r="O851" s="10">
        <v>82</v>
      </c>
      <c r="P851" s="10">
        <v>88</v>
      </c>
      <c r="Q851" s="13" t="s">
        <v>98</v>
      </c>
      <c r="R851" s="13" t="s">
        <v>79</v>
      </c>
      <c r="S851" s="10" t="s">
        <v>80</v>
      </c>
      <c r="T851" s="11" t="s">
        <v>88</v>
      </c>
      <c r="U851" s="16" t="s">
        <v>97</v>
      </c>
      <c r="V851" s="13" t="s">
        <v>93</v>
      </c>
      <c r="W851" s="13" t="s">
        <v>90</v>
      </c>
      <c r="X851" s="10" t="s">
        <v>85</v>
      </c>
      <c r="Y851" s="13" t="s">
        <v>99</v>
      </c>
      <c r="Z851">
        <f t="shared" si="79"/>
        <v>104</v>
      </c>
      <c r="AA851" s="39">
        <f t="shared" si="80"/>
        <v>69.598290598290603</v>
      </c>
      <c r="AB851" s="39">
        <f t="shared" si="81"/>
        <v>4724.107861021339</v>
      </c>
      <c r="AC851">
        <f t="shared" si="84"/>
        <v>0.99992975416338226</v>
      </c>
      <c r="AD851">
        <f t="shared" si="82"/>
        <v>0.99990155601853981</v>
      </c>
      <c r="AE851">
        <f t="shared" si="83"/>
        <v>6798</v>
      </c>
    </row>
    <row r="852" spans="1:31">
      <c r="A852" s="9">
        <v>851</v>
      </c>
      <c r="B852" s="30">
        <v>40581</v>
      </c>
      <c r="C852" s="9">
        <v>1</v>
      </c>
      <c r="D852" s="9">
        <v>0</v>
      </c>
      <c r="E852" s="9">
        <v>2</v>
      </c>
      <c r="F852" s="9">
        <v>21</v>
      </c>
      <c r="G852" s="9" t="b">
        <v>0</v>
      </c>
      <c r="H852" s="9">
        <v>1</v>
      </c>
      <c r="I852" s="9">
        <v>1</v>
      </c>
      <c r="J852" s="9">
        <v>0.32</v>
      </c>
      <c r="K852" s="9">
        <v>0.34849999999999998</v>
      </c>
      <c r="L852" s="9">
        <v>0.7</v>
      </c>
      <c r="M852" s="9">
        <v>0</v>
      </c>
      <c r="N852" s="9">
        <v>3</v>
      </c>
      <c r="O852" s="9">
        <v>75</v>
      </c>
      <c r="P852" s="9">
        <v>78</v>
      </c>
      <c r="Q852" s="13" t="s">
        <v>98</v>
      </c>
      <c r="R852" s="13" t="s">
        <v>79</v>
      </c>
      <c r="S852" s="9" t="s">
        <v>80</v>
      </c>
      <c r="T852" s="13" t="s">
        <v>81</v>
      </c>
      <c r="U852" s="16" t="s">
        <v>97</v>
      </c>
      <c r="V852" s="13" t="s">
        <v>93</v>
      </c>
      <c r="W852" s="13" t="s">
        <v>90</v>
      </c>
      <c r="X852" s="9" t="s">
        <v>85</v>
      </c>
      <c r="Y852" s="13" t="s">
        <v>99</v>
      </c>
      <c r="Z852">
        <f t="shared" si="79"/>
        <v>103</v>
      </c>
      <c r="AA852" s="39">
        <f t="shared" si="80"/>
        <v>69.598290598290603</v>
      </c>
      <c r="AB852" s="39">
        <f t="shared" si="81"/>
        <v>4739.7367574744612</v>
      </c>
      <c r="AC852">
        <f t="shared" si="84"/>
        <v>0.99992975867749989</v>
      </c>
      <c r="AD852">
        <f t="shared" si="82"/>
        <v>0.99990155336344577</v>
      </c>
      <c r="AE852">
        <f t="shared" si="83"/>
        <v>6710</v>
      </c>
    </row>
    <row r="853" spans="1:31">
      <c r="A853" s="10">
        <v>852</v>
      </c>
      <c r="B853" s="31">
        <v>40581</v>
      </c>
      <c r="C853" s="10">
        <v>1</v>
      </c>
      <c r="D853" s="10">
        <v>0</v>
      </c>
      <c r="E853" s="10">
        <v>2</v>
      </c>
      <c r="F853" s="10">
        <v>22</v>
      </c>
      <c r="G853" s="10" t="b">
        <v>0</v>
      </c>
      <c r="H853" s="10">
        <v>1</v>
      </c>
      <c r="I853" s="10">
        <v>1</v>
      </c>
      <c r="J853" s="10">
        <v>0.28000000000000003</v>
      </c>
      <c r="K853" s="10">
        <v>0.30299999999999999</v>
      </c>
      <c r="L853" s="10">
        <v>0.81</v>
      </c>
      <c r="M853" s="10">
        <v>8.9599999999999999E-2</v>
      </c>
      <c r="N853" s="10">
        <v>3</v>
      </c>
      <c r="O853" s="10">
        <v>34</v>
      </c>
      <c r="P853" s="10">
        <v>37</v>
      </c>
      <c r="Q853" s="13" t="s">
        <v>98</v>
      </c>
      <c r="R853" s="13" t="s">
        <v>79</v>
      </c>
      <c r="S853" s="10" t="s">
        <v>80</v>
      </c>
      <c r="T853" s="13" t="s">
        <v>81</v>
      </c>
      <c r="U853" s="16" t="s">
        <v>97</v>
      </c>
      <c r="V853" s="11" t="s">
        <v>87</v>
      </c>
      <c r="W853" s="13" t="s">
        <v>90</v>
      </c>
      <c r="X853" s="10" t="s">
        <v>85</v>
      </c>
      <c r="Y853" s="13" t="s">
        <v>99</v>
      </c>
      <c r="Z853">
        <f t="shared" si="79"/>
        <v>102</v>
      </c>
      <c r="AA853" s="39">
        <f t="shared" si="80"/>
        <v>69.525862068965523</v>
      </c>
      <c r="AB853" s="39">
        <f t="shared" si="81"/>
        <v>4755.5165791657546</v>
      </c>
      <c r="AC853">
        <f t="shared" si="84"/>
        <v>0.99992979897715961</v>
      </c>
      <c r="AD853">
        <f t="shared" si="82"/>
        <v>0.99990155699395489</v>
      </c>
      <c r="AE853">
        <f t="shared" si="83"/>
        <v>6632</v>
      </c>
    </row>
    <row r="854" spans="1:31">
      <c r="A854" s="9">
        <v>853</v>
      </c>
      <c r="B854" s="30">
        <v>40581</v>
      </c>
      <c r="C854" s="9">
        <v>1</v>
      </c>
      <c r="D854" s="9">
        <v>0</v>
      </c>
      <c r="E854" s="9">
        <v>2</v>
      </c>
      <c r="F854" s="9">
        <v>23</v>
      </c>
      <c r="G854" s="9" t="b">
        <v>0</v>
      </c>
      <c r="H854" s="9">
        <v>1</v>
      </c>
      <c r="I854" s="9">
        <v>2</v>
      </c>
      <c r="J854" s="9">
        <v>0.3</v>
      </c>
      <c r="K854" s="9">
        <v>0.33329999999999999</v>
      </c>
      <c r="L854" s="9">
        <v>0.81</v>
      </c>
      <c r="M854" s="9">
        <v>0</v>
      </c>
      <c r="N854" s="9">
        <v>6</v>
      </c>
      <c r="O854" s="9">
        <v>19</v>
      </c>
      <c r="P854" s="9">
        <v>25</v>
      </c>
      <c r="Q854" s="13" t="s">
        <v>98</v>
      </c>
      <c r="R854" s="13" t="s">
        <v>79</v>
      </c>
      <c r="S854" s="9" t="s">
        <v>80</v>
      </c>
      <c r="T854" s="11" t="s">
        <v>88</v>
      </c>
      <c r="U854" s="16" t="s">
        <v>97</v>
      </c>
      <c r="V854" s="12" t="s">
        <v>83</v>
      </c>
      <c r="W854" s="13" t="s">
        <v>90</v>
      </c>
      <c r="X854" s="9" t="s">
        <v>85</v>
      </c>
      <c r="Y854" s="13" t="s">
        <v>99</v>
      </c>
      <c r="Z854">
        <f t="shared" si="79"/>
        <v>101</v>
      </c>
      <c r="AA854" s="39">
        <f t="shared" si="80"/>
        <v>69.80869565217391</v>
      </c>
      <c r="AB854" s="39">
        <f t="shared" si="81"/>
        <v>4771.43192873515</v>
      </c>
      <c r="AC854">
        <f t="shared" si="84"/>
        <v>0.99993012253033797</v>
      </c>
      <c r="AD854">
        <f t="shared" si="82"/>
        <v>0.99990207628848549</v>
      </c>
      <c r="AE854">
        <f t="shared" si="83"/>
        <v>6595</v>
      </c>
    </row>
    <row r="855" spans="1:31">
      <c r="A855" s="10">
        <v>854</v>
      </c>
      <c r="B855" s="31">
        <v>40582</v>
      </c>
      <c r="C855" s="10">
        <v>1</v>
      </c>
      <c r="D855" s="10">
        <v>0</v>
      </c>
      <c r="E855" s="10">
        <v>2</v>
      </c>
      <c r="F855" s="10">
        <v>0</v>
      </c>
      <c r="G855" s="10" t="b">
        <v>0</v>
      </c>
      <c r="H855" s="10">
        <v>2</v>
      </c>
      <c r="I855" s="10">
        <v>2</v>
      </c>
      <c r="J855" s="10">
        <v>0.28000000000000003</v>
      </c>
      <c r="K855" s="10">
        <v>0.31819999999999998</v>
      </c>
      <c r="L855" s="10">
        <v>0.87</v>
      </c>
      <c r="M855" s="10">
        <v>0</v>
      </c>
      <c r="N855" s="10">
        <v>4</v>
      </c>
      <c r="O855" s="10">
        <v>6</v>
      </c>
      <c r="P855" s="10">
        <v>10</v>
      </c>
      <c r="Q855" s="13" t="s">
        <v>98</v>
      </c>
      <c r="R855" s="13" t="s">
        <v>79</v>
      </c>
      <c r="S855" s="10" t="s">
        <v>80</v>
      </c>
      <c r="T855" s="11" t="s">
        <v>88</v>
      </c>
      <c r="U855" s="14" t="s">
        <v>82</v>
      </c>
      <c r="V855" s="12" t="s">
        <v>83</v>
      </c>
      <c r="W855" s="13" t="s">
        <v>90</v>
      </c>
      <c r="X855" s="10" t="s">
        <v>85</v>
      </c>
      <c r="Y855" s="13" t="s">
        <v>99</v>
      </c>
      <c r="Z855">
        <f t="shared" si="79"/>
        <v>100</v>
      </c>
      <c r="AA855" s="39">
        <f t="shared" si="80"/>
        <v>69.80869565217391</v>
      </c>
      <c r="AB855" s="39">
        <f t="shared" si="81"/>
        <v>4787.5008484318805</v>
      </c>
      <c r="AC855">
        <f t="shared" si="84"/>
        <v>0.99993074559660555</v>
      </c>
      <c r="AD855">
        <f t="shared" si="82"/>
        <v>0.99990283780666656</v>
      </c>
      <c r="AE855">
        <f t="shared" si="83"/>
        <v>6570</v>
      </c>
    </row>
    <row r="856" spans="1:31">
      <c r="A856" s="9">
        <v>855</v>
      </c>
      <c r="B856" s="30">
        <v>40582</v>
      </c>
      <c r="C856" s="9">
        <v>1</v>
      </c>
      <c r="D856" s="9">
        <v>0</v>
      </c>
      <c r="E856" s="9">
        <v>2</v>
      </c>
      <c r="F856" s="9">
        <v>1</v>
      </c>
      <c r="G856" s="9" t="b">
        <v>0</v>
      </c>
      <c r="H856" s="9">
        <v>2</v>
      </c>
      <c r="I856" s="9">
        <v>2</v>
      </c>
      <c r="J856" s="9">
        <v>0.28000000000000003</v>
      </c>
      <c r="K856" s="9">
        <v>0.31819999999999998</v>
      </c>
      <c r="L856" s="9">
        <v>0.87</v>
      </c>
      <c r="M856" s="9">
        <v>0</v>
      </c>
      <c r="N856" s="9">
        <v>0</v>
      </c>
      <c r="O856" s="9">
        <v>4</v>
      </c>
      <c r="P856" s="9">
        <v>4</v>
      </c>
      <c r="Q856" s="13" t="s">
        <v>98</v>
      </c>
      <c r="R856" s="13" t="s">
        <v>79</v>
      </c>
      <c r="S856" s="9" t="s">
        <v>80</v>
      </c>
      <c r="T856" s="11" t="s">
        <v>88</v>
      </c>
      <c r="U856" s="14" t="s">
        <v>82</v>
      </c>
      <c r="V856" s="12" t="s">
        <v>83</v>
      </c>
      <c r="W856" s="13" t="s">
        <v>90</v>
      </c>
      <c r="X856" s="9" t="s">
        <v>85</v>
      </c>
      <c r="Y856" s="13" t="s">
        <v>99</v>
      </c>
      <c r="Z856">
        <f t="shared" si="79"/>
        <v>99</v>
      </c>
      <c r="AA856" s="39">
        <f t="shared" si="80"/>
        <v>69.80869565217391</v>
      </c>
      <c r="AB856" s="39">
        <f t="shared" si="81"/>
        <v>4803.7237070075371</v>
      </c>
      <c r="AC856">
        <f t="shared" si="84"/>
        <v>0.99993157201322624</v>
      </c>
      <c r="AD856">
        <f t="shared" si="82"/>
        <v>0.9999041281808777</v>
      </c>
      <c r="AE856">
        <f t="shared" si="83"/>
        <v>6560</v>
      </c>
    </row>
    <row r="857" spans="1:31">
      <c r="A857" s="10">
        <v>856</v>
      </c>
      <c r="B857" s="31">
        <v>40582</v>
      </c>
      <c r="C857" s="10">
        <v>1</v>
      </c>
      <c r="D857" s="10">
        <v>0</v>
      </c>
      <c r="E857" s="10">
        <v>2</v>
      </c>
      <c r="F857" s="10">
        <v>2</v>
      </c>
      <c r="G857" s="10" t="b">
        <v>0</v>
      </c>
      <c r="H857" s="10">
        <v>2</v>
      </c>
      <c r="I857" s="10">
        <v>2</v>
      </c>
      <c r="J857" s="10">
        <v>0.26</v>
      </c>
      <c r="K857" s="10">
        <v>0.2727</v>
      </c>
      <c r="L857" s="10">
        <v>0.93</v>
      </c>
      <c r="M857" s="10">
        <v>0.1045</v>
      </c>
      <c r="N857" s="10">
        <v>1</v>
      </c>
      <c r="O857" s="10">
        <v>1</v>
      </c>
      <c r="P857" s="10">
        <v>2</v>
      </c>
      <c r="Q857" s="13" t="s">
        <v>98</v>
      </c>
      <c r="R857" s="13" t="s">
        <v>79</v>
      </c>
      <c r="S857" s="10" t="s">
        <v>80</v>
      </c>
      <c r="T857" s="11" t="s">
        <v>88</v>
      </c>
      <c r="U857" s="14" t="s">
        <v>82</v>
      </c>
      <c r="V857" s="12" t="s">
        <v>83</v>
      </c>
      <c r="W857" s="13" t="s">
        <v>90</v>
      </c>
      <c r="X857" s="10" t="s">
        <v>85</v>
      </c>
      <c r="Y857" s="13" t="s">
        <v>99</v>
      </c>
      <c r="Z857">
        <f t="shared" si="79"/>
        <v>98</v>
      </c>
      <c r="AA857" s="39">
        <f t="shared" si="80"/>
        <v>69.80869565217391</v>
      </c>
      <c r="AB857" s="39">
        <f t="shared" si="81"/>
        <v>4820.1086712730275</v>
      </c>
      <c r="AC857">
        <f t="shared" si="84"/>
        <v>0.99993254981296342</v>
      </c>
      <c r="AD857">
        <f t="shared" si="82"/>
        <v>0.99990560988968613</v>
      </c>
      <c r="AE857">
        <f t="shared" si="83"/>
        <v>6556</v>
      </c>
    </row>
    <row r="858" spans="1:31">
      <c r="A858" s="9">
        <v>857</v>
      </c>
      <c r="B858" s="30">
        <v>40582</v>
      </c>
      <c r="C858" s="9">
        <v>1</v>
      </c>
      <c r="D858" s="9">
        <v>0</v>
      </c>
      <c r="E858" s="9">
        <v>2</v>
      </c>
      <c r="F858" s="9">
        <v>3</v>
      </c>
      <c r="G858" s="9" t="b">
        <v>0</v>
      </c>
      <c r="H858" s="9">
        <v>2</v>
      </c>
      <c r="I858" s="9">
        <v>3</v>
      </c>
      <c r="J858" s="9">
        <v>0.28000000000000003</v>
      </c>
      <c r="K858" s="9">
        <v>0.2727</v>
      </c>
      <c r="L858" s="9">
        <v>0.93</v>
      </c>
      <c r="M858" s="9">
        <v>0.16420000000000001</v>
      </c>
      <c r="N858" s="9">
        <v>0</v>
      </c>
      <c r="O858" s="9">
        <v>1</v>
      </c>
      <c r="P858" s="9">
        <v>1</v>
      </c>
      <c r="Q858" s="13" t="s">
        <v>98</v>
      </c>
      <c r="R858" s="13" t="s">
        <v>79</v>
      </c>
      <c r="S858" s="9" t="s">
        <v>80</v>
      </c>
      <c r="T858" s="12" t="s">
        <v>96</v>
      </c>
      <c r="U858" s="14" t="s">
        <v>82</v>
      </c>
      <c r="V858" s="12" t="s">
        <v>83</v>
      </c>
      <c r="W858" s="13" t="s">
        <v>90</v>
      </c>
      <c r="X858" s="9" t="s">
        <v>85</v>
      </c>
      <c r="Y858" s="13" t="s">
        <v>99</v>
      </c>
      <c r="Z858">
        <f t="shared" si="79"/>
        <v>97</v>
      </c>
      <c r="AA858" s="39">
        <f t="shared" si="80"/>
        <v>69.80869565217391</v>
      </c>
      <c r="AB858" s="39">
        <f t="shared" si="81"/>
        <v>4836.6611079920849</v>
      </c>
      <c r="AC858">
        <f t="shared" si="84"/>
        <v>0.99993345391095578</v>
      </c>
      <c r="AD858">
        <f t="shared" si="82"/>
        <v>0.99990736222544629</v>
      </c>
      <c r="AE858">
        <f t="shared" si="83"/>
        <v>6554</v>
      </c>
    </row>
    <row r="859" spans="1:31">
      <c r="A859" s="10">
        <v>858</v>
      </c>
      <c r="B859" s="31">
        <v>40582</v>
      </c>
      <c r="C859" s="10">
        <v>1</v>
      </c>
      <c r="D859" s="10">
        <v>0</v>
      </c>
      <c r="E859" s="10">
        <v>2</v>
      </c>
      <c r="F859" s="10">
        <v>4</v>
      </c>
      <c r="G859" s="10" t="b">
        <v>0</v>
      </c>
      <c r="H859" s="10">
        <v>2</v>
      </c>
      <c r="I859" s="10">
        <v>1</v>
      </c>
      <c r="J859" s="10">
        <v>0.26</v>
      </c>
      <c r="K859" s="10">
        <v>0.2576</v>
      </c>
      <c r="L859" s="10">
        <v>0.93</v>
      </c>
      <c r="M859" s="10">
        <v>0.16420000000000001</v>
      </c>
      <c r="N859" s="10">
        <v>0</v>
      </c>
      <c r="O859" s="10">
        <v>3</v>
      </c>
      <c r="P859" s="10">
        <v>3</v>
      </c>
      <c r="Q859" s="13" t="s">
        <v>98</v>
      </c>
      <c r="R859" s="13" t="s">
        <v>79</v>
      </c>
      <c r="S859" s="10" t="s">
        <v>80</v>
      </c>
      <c r="T859" s="13" t="s">
        <v>81</v>
      </c>
      <c r="U859" s="14" t="s">
        <v>82</v>
      </c>
      <c r="V859" s="12" t="s">
        <v>83</v>
      </c>
      <c r="W859" s="13" t="s">
        <v>90</v>
      </c>
      <c r="X859" s="10" t="s">
        <v>85</v>
      </c>
      <c r="Y859" s="13" t="s">
        <v>99</v>
      </c>
      <c r="Z859">
        <f t="shared" si="79"/>
        <v>96</v>
      </c>
      <c r="AA859" s="39">
        <f t="shared" si="80"/>
        <v>69.80869565217391</v>
      </c>
      <c r="AB859" s="39">
        <f t="shared" si="81"/>
        <v>4853.3845667450978</v>
      </c>
      <c r="AC859">
        <f t="shared" si="84"/>
        <v>0.99993453374829433</v>
      </c>
      <c r="AD859">
        <f t="shared" si="82"/>
        <v>0.99990917203722707</v>
      </c>
      <c r="AE859">
        <f t="shared" si="83"/>
        <v>6553</v>
      </c>
    </row>
    <row r="860" spans="1:31">
      <c r="A860" s="9">
        <v>859</v>
      </c>
      <c r="B860" s="30">
        <v>40582</v>
      </c>
      <c r="C860" s="9">
        <v>1</v>
      </c>
      <c r="D860" s="9">
        <v>0</v>
      </c>
      <c r="E860" s="9">
        <v>2</v>
      </c>
      <c r="F860" s="9">
        <v>5</v>
      </c>
      <c r="G860" s="9" t="b">
        <v>0</v>
      </c>
      <c r="H860" s="9">
        <v>2</v>
      </c>
      <c r="I860" s="9">
        <v>1</v>
      </c>
      <c r="J860" s="9">
        <v>0.26</v>
      </c>
      <c r="K860" s="9">
        <v>0.2273</v>
      </c>
      <c r="L860" s="9">
        <v>0.81</v>
      </c>
      <c r="M860" s="9">
        <v>0.32840000000000003</v>
      </c>
      <c r="N860" s="9">
        <v>0</v>
      </c>
      <c r="O860" s="9">
        <v>2</v>
      </c>
      <c r="P860" s="9">
        <v>2</v>
      </c>
      <c r="Q860" s="13" t="s">
        <v>98</v>
      </c>
      <c r="R860" s="13" t="s">
        <v>79</v>
      </c>
      <c r="S860" s="9" t="s">
        <v>80</v>
      </c>
      <c r="T860" s="13" t="s">
        <v>81</v>
      </c>
      <c r="U860" s="15" t="s">
        <v>89</v>
      </c>
      <c r="V860" s="12" t="s">
        <v>83</v>
      </c>
      <c r="W860" s="13" t="s">
        <v>90</v>
      </c>
      <c r="X860" s="9" t="s">
        <v>85</v>
      </c>
      <c r="Y860" s="13" t="s">
        <v>99</v>
      </c>
      <c r="Z860">
        <f t="shared" si="79"/>
        <v>95</v>
      </c>
      <c r="AA860" s="39">
        <f t="shared" si="80"/>
        <v>70.39473684210526</v>
      </c>
      <c r="AB860" s="39">
        <f t="shared" si="81"/>
        <v>4870.2840673295223</v>
      </c>
      <c r="AC860">
        <f t="shared" si="84"/>
        <v>0.99993544125978084</v>
      </c>
      <c r="AD860">
        <f t="shared" si="82"/>
        <v>0.99991094181805584</v>
      </c>
      <c r="AE860">
        <f t="shared" si="83"/>
        <v>6550</v>
      </c>
    </row>
    <row r="861" spans="1:31">
      <c r="A861" s="10">
        <v>860</v>
      </c>
      <c r="B861" s="31">
        <v>40582</v>
      </c>
      <c r="C861" s="10">
        <v>1</v>
      </c>
      <c r="D861" s="10">
        <v>0</v>
      </c>
      <c r="E861" s="10">
        <v>2</v>
      </c>
      <c r="F861" s="10">
        <v>6</v>
      </c>
      <c r="G861" s="10" t="b">
        <v>0</v>
      </c>
      <c r="H861" s="10">
        <v>2</v>
      </c>
      <c r="I861" s="10">
        <v>1</v>
      </c>
      <c r="J861" s="10">
        <v>0.26</v>
      </c>
      <c r="K861" s="10">
        <v>0.2273</v>
      </c>
      <c r="L861" s="10">
        <v>0.7</v>
      </c>
      <c r="M861" s="10">
        <v>0.32840000000000003</v>
      </c>
      <c r="N861" s="10">
        <v>0</v>
      </c>
      <c r="O861" s="10">
        <v>39</v>
      </c>
      <c r="P861" s="10">
        <v>39</v>
      </c>
      <c r="Q861" s="13" t="s">
        <v>98</v>
      </c>
      <c r="R861" s="13" t="s">
        <v>79</v>
      </c>
      <c r="S861" s="10" t="s">
        <v>80</v>
      </c>
      <c r="T861" s="13" t="s">
        <v>81</v>
      </c>
      <c r="U861" s="15" t="s">
        <v>89</v>
      </c>
      <c r="V861" s="11" t="s">
        <v>87</v>
      </c>
      <c r="W861" s="13" t="s">
        <v>90</v>
      </c>
      <c r="X861" s="10" t="s">
        <v>85</v>
      </c>
      <c r="Y861" s="13" t="s">
        <v>99</v>
      </c>
      <c r="Z861">
        <f t="shared" si="79"/>
        <v>94</v>
      </c>
      <c r="AA861" s="39">
        <f t="shared" si="80"/>
        <v>71</v>
      </c>
      <c r="AB861" s="39">
        <f t="shared" si="81"/>
        <v>4887.3606427388377</v>
      </c>
      <c r="AC861">
        <f t="shared" si="84"/>
        <v>0.99993638540858887</v>
      </c>
      <c r="AD861">
        <f t="shared" si="82"/>
        <v>0.99991239373925778</v>
      </c>
      <c r="AE861">
        <f t="shared" si="83"/>
        <v>6548</v>
      </c>
    </row>
    <row r="862" spans="1:31">
      <c r="A862" s="9">
        <v>861</v>
      </c>
      <c r="B862" s="30">
        <v>40582</v>
      </c>
      <c r="C862" s="9">
        <v>1</v>
      </c>
      <c r="D862" s="9">
        <v>0</v>
      </c>
      <c r="E862" s="9">
        <v>2</v>
      </c>
      <c r="F862" s="9">
        <v>7</v>
      </c>
      <c r="G862" s="9" t="b">
        <v>0</v>
      </c>
      <c r="H862" s="9">
        <v>2</v>
      </c>
      <c r="I862" s="9">
        <v>1</v>
      </c>
      <c r="J862" s="9">
        <v>0.24</v>
      </c>
      <c r="K862" s="9">
        <v>0.19700000000000001</v>
      </c>
      <c r="L862" s="9">
        <v>0.65</v>
      </c>
      <c r="M862" s="9">
        <v>0.41789999999999999</v>
      </c>
      <c r="N862" s="9">
        <v>3</v>
      </c>
      <c r="O862" s="9">
        <v>97</v>
      </c>
      <c r="P862" s="9">
        <v>100</v>
      </c>
      <c r="Q862" s="13" t="s">
        <v>98</v>
      </c>
      <c r="R862" s="13" t="s">
        <v>79</v>
      </c>
      <c r="S862" s="9" t="s">
        <v>80</v>
      </c>
      <c r="T862" s="13" t="s">
        <v>81</v>
      </c>
      <c r="U862" s="15" t="s">
        <v>89</v>
      </c>
      <c r="V862" s="13" t="s">
        <v>93</v>
      </c>
      <c r="W862" s="15" t="s">
        <v>84</v>
      </c>
      <c r="X862" s="9" t="s">
        <v>85</v>
      </c>
      <c r="Y862" s="13" t="s">
        <v>99</v>
      </c>
      <c r="Z862">
        <f t="shared" si="79"/>
        <v>93</v>
      </c>
      <c r="AA862" s="39">
        <f t="shared" si="80"/>
        <v>71.285714285714292</v>
      </c>
      <c r="AB862" s="39">
        <f t="shared" si="81"/>
        <v>4904.642948325316</v>
      </c>
      <c r="AC862">
        <f t="shared" si="84"/>
        <v>0.99993666093960765</v>
      </c>
      <c r="AD862">
        <f t="shared" si="82"/>
        <v>0.99991278431894748</v>
      </c>
      <c r="AE862">
        <f t="shared" si="83"/>
        <v>6509</v>
      </c>
    </row>
    <row r="863" spans="1:31">
      <c r="A863" s="10">
        <v>862</v>
      </c>
      <c r="B863" s="31">
        <v>40582</v>
      </c>
      <c r="C863" s="10">
        <v>1</v>
      </c>
      <c r="D863" s="10">
        <v>0</v>
      </c>
      <c r="E863" s="10">
        <v>2</v>
      </c>
      <c r="F863" s="10">
        <v>8</v>
      </c>
      <c r="G863" s="10" t="b">
        <v>0</v>
      </c>
      <c r="H863" s="10">
        <v>2</v>
      </c>
      <c r="I863" s="10">
        <v>1</v>
      </c>
      <c r="J863" s="10">
        <v>0.24</v>
      </c>
      <c r="K863" s="10">
        <v>0.19700000000000001</v>
      </c>
      <c r="L863" s="10">
        <v>0.56000000000000005</v>
      </c>
      <c r="M863" s="10">
        <v>0.49249999999999999</v>
      </c>
      <c r="N863" s="10">
        <v>7</v>
      </c>
      <c r="O863" s="10">
        <v>236</v>
      </c>
      <c r="P863" s="10">
        <v>243</v>
      </c>
      <c r="Q863" s="13" t="s">
        <v>98</v>
      </c>
      <c r="R863" s="13" t="s">
        <v>79</v>
      </c>
      <c r="S863" s="10" t="s">
        <v>80</v>
      </c>
      <c r="T863" s="13" t="s">
        <v>81</v>
      </c>
      <c r="U863" s="15" t="s">
        <v>89</v>
      </c>
      <c r="V863" s="13" t="s">
        <v>93</v>
      </c>
      <c r="W863" s="15" t="s">
        <v>84</v>
      </c>
      <c r="X863" s="10" t="s">
        <v>85</v>
      </c>
      <c r="Y863" s="13" t="s">
        <v>99</v>
      </c>
      <c r="Z863">
        <f t="shared" si="79"/>
        <v>92</v>
      </c>
      <c r="AA863" s="39">
        <f t="shared" si="80"/>
        <v>71.027027027027032</v>
      </c>
      <c r="AB863" s="39">
        <f t="shared" si="81"/>
        <v>4922.1468795229102</v>
      </c>
      <c r="AC863">
        <f t="shared" si="84"/>
        <v>0.99993673828744267</v>
      </c>
      <c r="AD863">
        <f t="shared" si="82"/>
        <v>0.99991281067832904</v>
      </c>
      <c r="AE863">
        <f t="shared" si="83"/>
        <v>6409</v>
      </c>
    </row>
    <row r="864" spans="1:31">
      <c r="A864" s="9">
        <v>863</v>
      </c>
      <c r="B864" s="30">
        <v>40582</v>
      </c>
      <c r="C864" s="9">
        <v>1</v>
      </c>
      <c r="D864" s="9">
        <v>0</v>
      </c>
      <c r="E864" s="9">
        <v>2</v>
      </c>
      <c r="F864" s="9">
        <v>9</v>
      </c>
      <c r="G864" s="9" t="b">
        <v>0</v>
      </c>
      <c r="H864" s="9">
        <v>2</v>
      </c>
      <c r="I864" s="9">
        <v>1</v>
      </c>
      <c r="J864" s="9">
        <v>0.24</v>
      </c>
      <c r="K864" s="9">
        <v>0.19700000000000001</v>
      </c>
      <c r="L864" s="9">
        <v>0.52</v>
      </c>
      <c r="M864" s="9">
        <v>0.49249999999999999</v>
      </c>
      <c r="N864" s="9">
        <v>7</v>
      </c>
      <c r="O864" s="9">
        <v>128</v>
      </c>
      <c r="P864" s="9">
        <v>135</v>
      </c>
      <c r="Q864" s="13" t="s">
        <v>98</v>
      </c>
      <c r="R864" s="13" t="s">
        <v>79</v>
      </c>
      <c r="S864" s="9" t="s">
        <v>80</v>
      </c>
      <c r="T864" s="13" t="s">
        <v>81</v>
      </c>
      <c r="U864" s="15" t="s">
        <v>89</v>
      </c>
      <c r="V864" s="13" t="s">
        <v>93</v>
      </c>
      <c r="W864" s="15" t="s">
        <v>84</v>
      </c>
      <c r="X864" s="9" t="s">
        <v>85</v>
      </c>
      <c r="Y864" s="13" t="s">
        <v>99</v>
      </c>
      <c r="Z864">
        <f t="shared" si="79"/>
        <v>91</v>
      </c>
      <c r="AA864" s="39">
        <f t="shared" si="80"/>
        <v>69.463636363636368</v>
      </c>
      <c r="AB864" s="39">
        <f t="shared" si="81"/>
        <v>4939.9056122490138</v>
      </c>
      <c r="AC864">
        <f t="shared" si="84"/>
        <v>0.99994087387011787</v>
      </c>
      <c r="AD864">
        <f t="shared" si="82"/>
        <v>0.99991694577447021</v>
      </c>
      <c r="AE864">
        <f t="shared" si="83"/>
        <v>6166</v>
      </c>
    </row>
    <row r="865" spans="1:31">
      <c r="A865" s="10">
        <v>864</v>
      </c>
      <c r="B865" s="31">
        <v>40582</v>
      </c>
      <c r="C865" s="10">
        <v>1</v>
      </c>
      <c r="D865" s="10">
        <v>0</v>
      </c>
      <c r="E865" s="10">
        <v>2</v>
      </c>
      <c r="F865" s="10">
        <v>10</v>
      </c>
      <c r="G865" s="10" t="b">
        <v>0</v>
      </c>
      <c r="H865" s="10">
        <v>2</v>
      </c>
      <c r="I865" s="10">
        <v>1</v>
      </c>
      <c r="J865" s="10">
        <v>0.22</v>
      </c>
      <c r="K865" s="10">
        <v>0.18179999999999999</v>
      </c>
      <c r="L865" s="10">
        <v>0.47</v>
      </c>
      <c r="M865" s="10">
        <v>0.55220000000000002</v>
      </c>
      <c r="N865" s="10">
        <v>4</v>
      </c>
      <c r="O865" s="10">
        <v>44</v>
      </c>
      <c r="P865" s="10">
        <v>48</v>
      </c>
      <c r="Q865" s="13" t="s">
        <v>98</v>
      </c>
      <c r="R865" s="13" t="s">
        <v>79</v>
      </c>
      <c r="S865" s="10" t="s">
        <v>80</v>
      </c>
      <c r="T865" s="13" t="s">
        <v>81</v>
      </c>
      <c r="U865" s="13" t="s">
        <v>91</v>
      </c>
      <c r="V865" s="11" t="s">
        <v>87</v>
      </c>
      <c r="W865" s="15" t="s">
        <v>84</v>
      </c>
      <c r="X865" s="10" t="s">
        <v>85</v>
      </c>
      <c r="Y865" s="13" t="s">
        <v>99</v>
      </c>
      <c r="Z865">
        <f t="shared" si="79"/>
        <v>90</v>
      </c>
      <c r="AA865" s="39">
        <f t="shared" si="80"/>
        <v>68.862385321100916</v>
      </c>
      <c r="AB865" s="39">
        <f t="shared" si="81"/>
        <v>4957.8104217632708</v>
      </c>
      <c r="AC865">
        <f t="shared" si="84"/>
        <v>0.99994140148346866</v>
      </c>
      <c r="AD865">
        <f t="shared" si="82"/>
        <v>0.99991754610972905</v>
      </c>
      <c r="AE865">
        <f t="shared" si="83"/>
        <v>6031</v>
      </c>
    </row>
    <row r="866" spans="1:31">
      <c r="A866" s="9">
        <v>865</v>
      </c>
      <c r="B866" s="30">
        <v>40582</v>
      </c>
      <c r="C866" s="9">
        <v>1</v>
      </c>
      <c r="D866" s="9">
        <v>0</v>
      </c>
      <c r="E866" s="9">
        <v>2</v>
      </c>
      <c r="F866" s="9">
        <v>11</v>
      </c>
      <c r="G866" s="9" t="b">
        <v>0</v>
      </c>
      <c r="H866" s="9">
        <v>2</v>
      </c>
      <c r="I866" s="9">
        <v>1</v>
      </c>
      <c r="J866" s="9">
        <v>0.22</v>
      </c>
      <c r="K866" s="9">
        <v>0.18179999999999999</v>
      </c>
      <c r="L866" s="9">
        <v>0.47</v>
      </c>
      <c r="M866" s="9">
        <v>0.4627</v>
      </c>
      <c r="N866" s="9">
        <v>1</v>
      </c>
      <c r="O866" s="9">
        <v>49</v>
      </c>
      <c r="P866" s="9">
        <v>50</v>
      </c>
      <c r="Q866" s="13" t="s">
        <v>98</v>
      </c>
      <c r="R866" s="13" t="s">
        <v>79</v>
      </c>
      <c r="S866" s="9" t="s">
        <v>80</v>
      </c>
      <c r="T866" s="13" t="s">
        <v>81</v>
      </c>
      <c r="U866" s="13" t="s">
        <v>91</v>
      </c>
      <c r="V866" s="11" t="s">
        <v>87</v>
      </c>
      <c r="W866" s="15" t="s">
        <v>84</v>
      </c>
      <c r="X866" s="9" t="s">
        <v>85</v>
      </c>
      <c r="Y866" s="13" t="s">
        <v>99</v>
      </c>
      <c r="Z866">
        <f t="shared" si="79"/>
        <v>89</v>
      </c>
      <c r="AA866" s="39">
        <f t="shared" si="80"/>
        <v>69.055555555555557</v>
      </c>
      <c r="AB866" s="39">
        <f t="shared" si="81"/>
        <v>4975.8599501445096</v>
      </c>
      <c r="AC866">
        <f t="shared" si="84"/>
        <v>0.99994146651482307</v>
      </c>
      <c r="AD866">
        <f t="shared" si="82"/>
        <v>0.99991758989988944</v>
      </c>
      <c r="AE866">
        <f t="shared" si="83"/>
        <v>5983</v>
      </c>
    </row>
    <row r="867" spans="1:31">
      <c r="A867" s="10">
        <v>866</v>
      </c>
      <c r="B867" s="31">
        <v>40582</v>
      </c>
      <c r="C867" s="10">
        <v>1</v>
      </c>
      <c r="D867" s="10">
        <v>0</v>
      </c>
      <c r="E867" s="10">
        <v>2</v>
      </c>
      <c r="F867" s="10">
        <v>12</v>
      </c>
      <c r="G867" s="10" t="b">
        <v>0</v>
      </c>
      <c r="H867" s="10">
        <v>2</v>
      </c>
      <c r="I867" s="10">
        <v>1</v>
      </c>
      <c r="J867" s="10">
        <v>0.24</v>
      </c>
      <c r="K867" s="10">
        <v>0.19700000000000001</v>
      </c>
      <c r="L867" s="10">
        <v>0.38</v>
      </c>
      <c r="M867" s="10">
        <v>0.49249999999999999</v>
      </c>
      <c r="N867" s="10">
        <v>2</v>
      </c>
      <c r="O867" s="10">
        <v>63</v>
      </c>
      <c r="P867" s="10">
        <v>65</v>
      </c>
      <c r="Q867" s="13" t="s">
        <v>98</v>
      </c>
      <c r="R867" s="13" t="s">
        <v>79</v>
      </c>
      <c r="S867" s="10" t="s">
        <v>80</v>
      </c>
      <c r="T867" s="13" t="s">
        <v>81</v>
      </c>
      <c r="U867" s="11" t="s">
        <v>92</v>
      </c>
      <c r="V867" s="11" t="s">
        <v>87</v>
      </c>
      <c r="W867" s="15" t="s">
        <v>84</v>
      </c>
      <c r="X867" s="10" t="s">
        <v>85</v>
      </c>
      <c r="Y867" s="13" t="s">
        <v>99</v>
      </c>
      <c r="Z867">
        <f t="shared" si="79"/>
        <v>88</v>
      </c>
      <c r="AA867" s="39">
        <f t="shared" si="80"/>
        <v>69.233644859813083</v>
      </c>
      <c r="AB867" s="39">
        <f t="shared" si="81"/>
        <v>4994.1093807576617</v>
      </c>
      <c r="AC867">
        <f t="shared" si="84"/>
        <v>0.99994152025357852</v>
      </c>
      <c r="AD867">
        <f t="shared" si="82"/>
        <v>0.99991762412363228</v>
      </c>
      <c r="AE867">
        <f t="shared" si="83"/>
        <v>5933</v>
      </c>
    </row>
    <row r="868" spans="1:31">
      <c r="A868" s="9">
        <v>867</v>
      </c>
      <c r="B868" s="30">
        <v>40582</v>
      </c>
      <c r="C868" s="9">
        <v>1</v>
      </c>
      <c r="D868" s="9">
        <v>0</v>
      </c>
      <c r="E868" s="9">
        <v>2</v>
      </c>
      <c r="F868" s="9">
        <v>13</v>
      </c>
      <c r="G868" s="9" t="b">
        <v>0</v>
      </c>
      <c r="H868" s="9">
        <v>2</v>
      </c>
      <c r="I868" s="9">
        <v>2</v>
      </c>
      <c r="J868" s="9">
        <v>0.24</v>
      </c>
      <c r="K868" s="9">
        <v>0.19700000000000001</v>
      </c>
      <c r="L868" s="9">
        <v>0.32</v>
      </c>
      <c r="M868" s="9">
        <v>0.44779999999999998</v>
      </c>
      <c r="N868" s="9">
        <v>2</v>
      </c>
      <c r="O868" s="9">
        <v>48</v>
      </c>
      <c r="P868" s="9">
        <v>50</v>
      </c>
      <c r="Q868" s="13" t="s">
        <v>98</v>
      </c>
      <c r="R868" s="13" t="s">
        <v>79</v>
      </c>
      <c r="S868" s="9" t="s">
        <v>80</v>
      </c>
      <c r="T868" s="11" t="s">
        <v>88</v>
      </c>
      <c r="U868" s="11" t="s">
        <v>92</v>
      </c>
      <c r="V868" s="11" t="s">
        <v>87</v>
      </c>
      <c r="W868" s="15" t="s">
        <v>84</v>
      </c>
      <c r="X868" s="9" t="s">
        <v>85</v>
      </c>
      <c r="Y868" s="13" t="s">
        <v>99</v>
      </c>
      <c r="Z868">
        <f t="shared" si="79"/>
        <v>87</v>
      </c>
      <c r="AA868" s="39">
        <f t="shared" si="80"/>
        <v>69.273584905660371</v>
      </c>
      <c r="AB868" s="39">
        <f t="shared" si="81"/>
        <v>5012.570927724877</v>
      </c>
      <c r="AC868">
        <f t="shared" si="84"/>
        <v>0.99994153305725042</v>
      </c>
      <c r="AD868">
        <f t="shared" si="82"/>
        <v>0.99991762851863031</v>
      </c>
      <c r="AE868">
        <f t="shared" si="83"/>
        <v>5868</v>
      </c>
    </row>
    <row r="869" spans="1:31">
      <c r="A869" s="10">
        <v>868</v>
      </c>
      <c r="B869" s="31">
        <v>40582</v>
      </c>
      <c r="C869" s="10">
        <v>1</v>
      </c>
      <c r="D869" s="10">
        <v>0</v>
      </c>
      <c r="E869" s="10">
        <v>2</v>
      </c>
      <c r="F869" s="10">
        <v>14</v>
      </c>
      <c r="G869" s="10" t="b">
        <v>0</v>
      </c>
      <c r="H869" s="10">
        <v>2</v>
      </c>
      <c r="I869" s="10">
        <v>1</v>
      </c>
      <c r="J869" s="10">
        <v>0.22</v>
      </c>
      <c r="K869" s="10">
        <v>0.19700000000000001</v>
      </c>
      <c r="L869" s="10">
        <v>0.37</v>
      </c>
      <c r="M869" s="10">
        <v>0.41789999999999999</v>
      </c>
      <c r="N869" s="10">
        <v>3</v>
      </c>
      <c r="O869" s="10">
        <v>61</v>
      </c>
      <c r="P869" s="10">
        <v>64</v>
      </c>
      <c r="Q869" s="13" t="s">
        <v>98</v>
      </c>
      <c r="R869" s="13" t="s">
        <v>79</v>
      </c>
      <c r="S869" s="10" t="s">
        <v>80</v>
      </c>
      <c r="T869" s="13" t="s">
        <v>81</v>
      </c>
      <c r="U869" s="13" t="s">
        <v>94</v>
      </c>
      <c r="V869" s="11" t="s">
        <v>87</v>
      </c>
      <c r="W869" s="15" t="s">
        <v>84</v>
      </c>
      <c r="X869" s="10" t="s">
        <v>85</v>
      </c>
      <c r="Y869" s="13" t="s">
        <v>99</v>
      </c>
      <c r="Z869">
        <f t="shared" si="79"/>
        <v>86</v>
      </c>
      <c r="AA869" s="39">
        <f t="shared" si="80"/>
        <v>69.273584905660371</v>
      </c>
      <c r="AB869" s="39">
        <f t="shared" si="81"/>
        <v>5031.2287898639197</v>
      </c>
      <c r="AC869">
        <f t="shared" si="84"/>
        <v>0.99994162631563199</v>
      </c>
      <c r="AD869">
        <f t="shared" si="82"/>
        <v>0.99991762378798532</v>
      </c>
      <c r="AE869">
        <f t="shared" si="83"/>
        <v>5818</v>
      </c>
    </row>
    <row r="870" spans="1:31">
      <c r="A870" s="9">
        <v>869</v>
      </c>
      <c r="B870" s="30">
        <v>40582</v>
      </c>
      <c r="C870" s="9">
        <v>1</v>
      </c>
      <c r="D870" s="9">
        <v>0</v>
      </c>
      <c r="E870" s="9">
        <v>2</v>
      </c>
      <c r="F870" s="9">
        <v>15</v>
      </c>
      <c r="G870" s="9" t="b">
        <v>0</v>
      </c>
      <c r="H870" s="9">
        <v>2</v>
      </c>
      <c r="I870" s="9">
        <v>1</v>
      </c>
      <c r="J870" s="9">
        <v>0.22</v>
      </c>
      <c r="K870" s="9">
        <v>0.19700000000000001</v>
      </c>
      <c r="L870" s="9">
        <v>0.35</v>
      </c>
      <c r="M870" s="9">
        <v>0.3881</v>
      </c>
      <c r="N870" s="9">
        <v>6</v>
      </c>
      <c r="O870" s="9">
        <v>45</v>
      </c>
      <c r="P870" s="9">
        <v>51</v>
      </c>
      <c r="Q870" s="13" t="s">
        <v>98</v>
      </c>
      <c r="R870" s="13" t="s">
        <v>79</v>
      </c>
      <c r="S870" s="9" t="s">
        <v>80</v>
      </c>
      <c r="T870" s="13" t="s">
        <v>81</v>
      </c>
      <c r="U870" s="13" t="s">
        <v>94</v>
      </c>
      <c r="V870" s="11" t="s">
        <v>87</v>
      </c>
      <c r="W870" s="15" t="s">
        <v>84</v>
      </c>
      <c r="X870" s="9" t="s">
        <v>85</v>
      </c>
      <c r="Y870" s="13" t="s">
        <v>99</v>
      </c>
      <c r="Z870">
        <f t="shared" si="79"/>
        <v>85</v>
      </c>
      <c r="AA870" s="39">
        <f t="shared" si="80"/>
        <v>69.32380952380953</v>
      </c>
      <c r="AB870" s="39">
        <f t="shared" si="81"/>
        <v>5050.1059620523065</v>
      </c>
      <c r="AC870">
        <f t="shared" si="84"/>
        <v>0.9999416282874346</v>
      </c>
      <c r="AD870">
        <f t="shared" si="82"/>
        <v>0.99991762813746354</v>
      </c>
      <c r="AE870">
        <f t="shared" si="83"/>
        <v>5754</v>
      </c>
    </row>
    <row r="871" spans="1:31">
      <c r="A871" s="10">
        <v>870</v>
      </c>
      <c r="B871" s="31">
        <v>40582</v>
      </c>
      <c r="C871" s="10">
        <v>1</v>
      </c>
      <c r="D871" s="10">
        <v>0</v>
      </c>
      <c r="E871" s="10">
        <v>2</v>
      </c>
      <c r="F871" s="10">
        <v>16</v>
      </c>
      <c r="G871" s="10" t="b">
        <v>0</v>
      </c>
      <c r="H871" s="10">
        <v>2</v>
      </c>
      <c r="I871" s="10">
        <v>1</v>
      </c>
      <c r="J871" s="10">
        <v>0.22</v>
      </c>
      <c r="K871" s="10">
        <v>0.18179999999999999</v>
      </c>
      <c r="L871" s="10">
        <v>0.35</v>
      </c>
      <c r="M871" s="10">
        <v>0.52239999999999998</v>
      </c>
      <c r="N871" s="10">
        <v>4</v>
      </c>
      <c r="O871" s="10">
        <v>79</v>
      </c>
      <c r="P871" s="10">
        <v>83</v>
      </c>
      <c r="Q871" s="13" t="s">
        <v>98</v>
      </c>
      <c r="R871" s="13" t="s">
        <v>79</v>
      </c>
      <c r="S871" s="10" t="s">
        <v>80</v>
      </c>
      <c r="T871" s="13" t="s">
        <v>81</v>
      </c>
      <c r="U871" s="13" t="s">
        <v>94</v>
      </c>
      <c r="V871" s="13" t="s">
        <v>93</v>
      </c>
      <c r="W871" s="15" t="s">
        <v>84</v>
      </c>
      <c r="X871" s="10" t="s">
        <v>85</v>
      </c>
      <c r="Y871" s="13" t="s">
        <v>99</v>
      </c>
      <c r="Z871">
        <f t="shared" si="79"/>
        <v>84</v>
      </c>
      <c r="AA871" s="39">
        <f t="shared" si="80"/>
        <v>69.5</v>
      </c>
      <c r="AB871" s="39">
        <f t="shared" si="81"/>
        <v>5069.1884025329673</v>
      </c>
      <c r="AC871">
        <f t="shared" si="84"/>
        <v>0.9999416787461225</v>
      </c>
      <c r="AD871">
        <f t="shared" si="82"/>
        <v>0.99991762455483657</v>
      </c>
      <c r="AE871">
        <f t="shared" si="83"/>
        <v>5703</v>
      </c>
    </row>
    <row r="872" spans="1:31">
      <c r="A872" s="9">
        <v>871</v>
      </c>
      <c r="B872" s="30">
        <v>40582</v>
      </c>
      <c r="C872" s="9">
        <v>1</v>
      </c>
      <c r="D872" s="9">
        <v>0</v>
      </c>
      <c r="E872" s="9">
        <v>2</v>
      </c>
      <c r="F872" s="9">
        <v>17</v>
      </c>
      <c r="G872" s="9" t="b">
        <v>0</v>
      </c>
      <c r="H872" s="9">
        <v>2</v>
      </c>
      <c r="I872" s="9">
        <v>1</v>
      </c>
      <c r="J872" s="9">
        <v>0.22</v>
      </c>
      <c r="K872" s="9">
        <v>0.18179999999999999</v>
      </c>
      <c r="L872" s="9">
        <v>0.32</v>
      </c>
      <c r="M872" s="9">
        <v>0.58209999999999995</v>
      </c>
      <c r="N872" s="9">
        <v>4</v>
      </c>
      <c r="O872" s="9">
        <v>172</v>
      </c>
      <c r="P872" s="9">
        <v>176</v>
      </c>
      <c r="Q872" s="13" t="s">
        <v>98</v>
      </c>
      <c r="R872" s="13" t="s">
        <v>79</v>
      </c>
      <c r="S872" s="9" t="s">
        <v>80</v>
      </c>
      <c r="T872" s="13" t="s">
        <v>81</v>
      </c>
      <c r="U872" s="15" t="s">
        <v>95</v>
      </c>
      <c r="V872" s="13" t="s">
        <v>93</v>
      </c>
      <c r="W872" s="15" t="s">
        <v>84</v>
      </c>
      <c r="X872" s="9" t="s">
        <v>85</v>
      </c>
      <c r="Y872" s="13" t="s">
        <v>99</v>
      </c>
      <c r="Z872">
        <f t="shared" si="79"/>
        <v>83</v>
      </c>
      <c r="AA872" s="39">
        <f t="shared" si="80"/>
        <v>69.368932038834956</v>
      </c>
      <c r="AB872" s="39">
        <f t="shared" si="81"/>
        <v>5088.5103058235136</v>
      </c>
      <c r="AC872">
        <f t="shared" si="84"/>
        <v>0.99994170031305962</v>
      </c>
      <c r="AD872">
        <f t="shared" si="82"/>
        <v>0.99991774442676828</v>
      </c>
      <c r="AE872">
        <f t="shared" si="83"/>
        <v>5620</v>
      </c>
    </row>
    <row r="873" spans="1:31">
      <c r="A873" s="10">
        <v>872</v>
      </c>
      <c r="B873" s="31">
        <v>40582</v>
      </c>
      <c r="C873" s="10">
        <v>1</v>
      </c>
      <c r="D873" s="10">
        <v>0</v>
      </c>
      <c r="E873" s="10">
        <v>2</v>
      </c>
      <c r="F873" s="10">
        <v>18</v>
      </c>
      <c r="G873" s="10" t="b">
        <v>0</v>
      </c>
      <c r="H873" s="10">
        <v>2</v>
      </c>
      <c r="I873" s="10">
        <v>1</v>
      </c>
      <c r="J873" s="10">
        <v>0.2</v>
      </c>
      <c r="K873" s="10">
        <v>0.18179999999999999</v>
      </c>
      <c r="L873" s="10">
        <v>0.32</v>
      </c>
      <c r="M873" s="10">
        <v>0.3881</v>
      </c>
      <c r="N873" s="10">
        <v>1</v>
      </c>
      <c r="O873" s="10">
        <v>151</v>
      </c>
      <c r="P873" s="10">
        <v>152</v>
      </c>
      <c r="Q873" s="13" t="s">
        <v>98</v>
      </c>
      <c r="R873" s="13" t="s">
        <v>79</v>
      </c>
      <c r="S873" s="10" t="s">
        <v>80</v>
      </c>
      <c r="T873" s="13" t="s">
        <v>81</v>
      </c>
      <c r="U873" s="15" t="s">
        <v>95</v>
      </c>
      <c r="V873" s="13" t="s">
        <v>93</v>
      </c>
      <c r="W873" s="15" t="s">
        <v>84</v>
      </c>
      <c r="X873" s="10" t="s">
        <v>85</v>
      </c>
      <c r="Y873" s="13" t="s">
        <v>99</v>
      </c>
      <c r="Z873">
        <f t="shared" si="79"/>
        <v>82</v>
      </c>
      <c r="AA873" s="39">
        <f t="shared" si="80"/>
        <v>68.32352941176471</v>
      </c>
      <c r="AB873" s="39">
        <f t="shared" si="81"/>
        <v>5108.1091573426038</v>
      </c>
      <c r="AC873">
        <f t="shared" si="84"/>
        <v>0.99994337885530427</v>
      </c>
      <c r="AD873">
        <f t="shared" si="82"/>
        <v>0.99992008247143782</v>
      </c>
      <c r="AE873">
        <f t="shared" si="83"/>
        <v>5444</v>
      </c>
    </row>
    <row r="874" spans="1:31">
      <c r="A874" s="9">
        <v>873</v>
      </c>
      <c r="B874" s="30">
        <v>40582</v>
      </c>
      <c r="C874" s="9">
        <v>1</v>
      </c>
      <c r="D874" s="9">
        <v>0</v>
      </c>
      <c r="E874" s="9">
        <v>2</v>
      </c>
      <c r="F874" s="9">
        <v>19</v>
      </c>
      <c r="G874" s="9" t="b">
        <v>0</v>
      </c>
      <c r="H874" s="9">
        <v>2</v>
      </c>
      <c r="I874" s="9">
        <v>1</v>
      </c>
      <c r="J874" s="9">
        <v>0.16</v>
      </c>
      <c r="K874" s="9">
        <v>0.1212</v>
      </c>
      <c r="L874" s="9">
        <v>0.4</v>
      </c>
      <c r="M874" s="9">
        <v>0.4627</v>
      </c>
      <c r="N874" s="9">
        <v>1</v>
      </c>
      <c r="O874" s="9">
        <v>100</v>
      </c>
      <c r="P874" s="9">
        <v>101</v>
      </c>
      <c r="Q874" s="13" t="s">
        <v>98</v>
      </c>
      <c r="R874" s="13" t="s">
        <v>79</v>
      </c>
      <c r="S874" s="9" t="s">
        <v>80</v>
      </c>
      <c r="T874" s="13" t="s">
        <v>81</v>
      </c>
      <c r="U874" s="15" t="s">
        <v>95</v>
      </c>
      <c r="V874" s="13" t="s">
        <v>93</v>
      </c>
      <c r="W874" s="15" t="s">
        <v>84</v>
      </c>
      <c r="X874" s="9" t="s">
        <v>85</v>
      </c>
      <c r="Y874" s="13" t="s">
        <v>99</v>
      </c>
      <c r="Z874">
        <f t="shared" si="79"/>
        <v>81</v>
      </c>
      <c r="AA874" s="39">
        <f t="shared" si="80"/>
        <v>67.495049504950501</v>
      </c>
      <c r="AB874" s="39">
        <f t="shared" si="81"/>
        <v>5127.9233384735408</v>
      </c>
      <c r="AC874">
        <f t="shared" si="84"/>
        <v>0.99994454752872475</v>
      </c>
      <c r="AD874">
        <f t="shared" si="82"/>
        <v>0.99992163745298601</v>
      </c>
      <c r="AE874">
        <f t="shared" si="83"/>
        <v>5292</v>
      </c>
    </row>
    <row r="875" spans="1:31">
      <c r="A875" s="10">
        <v>874</v>
      </c>
      <c r="B875" s="31">
        <v>40582</v>
      </c>
      <c r="C875" s="10">
        <v>1</v>
      </c>
      <c r="D875" s="10">
        <v>0</v>
      </c>
      <c r="E875" s="10">
        <v>2</v>
      </c>
      <c r="F875" s="10">
        <v>20</v>
      </c>
      <c r="G875" s="10" t="b">
        <v>0</v>
      </c>
      <c r="H875" s="10">
        <v>2</v>
      </c>
      <c r="I875" s="10">
        <v>1</v>
      </c>
      <c r="J875" s="10">
        <v>0.16</v>
      </c>
      <c r="K875" s="10">
        <v>0.13639999999999999</v>
      </c>
      <c r="L875" s="10">
        <v>0.4</v>
      </c>
      <c r="M875" s="10">
        <v>0.32840000000000003</v>
      </c>
      <c r="N875" s="10">
        <v>3</v>
      </c>
      <c r="O875" s="10">
        <v>53</v>
      </c>
      <c r="P875" s="10">
        <v>56</v>
      </c>
      <c r="Q875" s="13" t="s">
        <v>98</v>
      </c>
      <c r="R875" s="13" t="s">
        <v>79</v>
      </c>
      <c r="S875" s="10" t="s">
        <v>80</v>
      </c>
      <c r="T875" s="13" t="s">
        <v>81</v>
      </c>
      <c r="U875" s="16" t="s">
        <v>97</v>
      </c>
      <c r="V875" s="11" t="s">
        <v>87</v>
      </c>
      <c r="W875" s="15" t="s">
        <v>84</v>
      </c>
      <c r="X875" s="10" t="s">
        <v>85</v>
      </c>
      <c r="Y875" s="13" t="s">
        <v>99</v>
      </c>
      <c r="Z875">
        <f t="shared" si="79"/>
        <v>80</v>
      </c>
      <c r="AA875" s="39">
        <f t="shared" si="80"/>
        <v>67.16</v>
      </c>
      <c r="AB875" s="39">
        <f t="shared" si="81"/>
        <v>5147.9392252368598</v>
      </c>
      <c r="AC875">
        <f t="shared" si="84"/>
        <v>0.99994491081311743</v>
      </c>
      <c r="AD875">
        <f t="shared" si="82"/>
        <v>0.99992192072968167</v>
      </c>
      <c r="AE875">
        <f t="shared" si="83"/>
        <v>5191</v>
      </c>
    </row>
    <row r="876" spans="1:31">
      <c r="A876" s="9">
        <v>875</v>
      </c>
      <c r="B876" s="30">
        <v>40582</v>
      </c>
      <c r="C876" s="9">
        <v>1</v>
      </c>
      <c r="D876" s="9">
        <v>0</v>
      </c>
      <c r="E876" s="9">
        <v>2</v>
      </c>
      <c r="F876" s="9">
        <v>21</v>
      </c>
      <c r="G876" s="9" t="b">
        <v>0</v>
      </c>
      <c r="H876" s="9">
        <v>2</v>
      </c>
      <c r="I876" s="9">
        <v>1</v>
      </c>
      <c r="J876" s="9">
        <v>0.14000000000000001</v>
      </c>
      <c r="K876" s="9">
        <v>0.1061</v>
      </c>
      <c r="L876" s="9">
        <v>0.33</v>
      </c>
      <c r="M876" s="9">
        <v>0.4627</v>
      </c>
      <c r="N876" s="9">
        <v>8</v>
      </c>
      <c r="O876" s="9">
        <v>46</v>
      </c>
      <c r="P876" s="9">
        <v>54</v>
      </c>
      <c r="Q876" s="13" t="s">
        <v>98</v>
      </c>
      <c r="R876" s="13" t="s">
        <v>79</v>
      </c>
      <c r="S876" s="9" t="s">
        <v>80</v>
      </c>
      <c r="T876" s="13" t="s">
        <v>81</v>
      </c>
      <c r="U876" s="16" t="s">
        <v>97</v>
      </c>
      <c r="V876" s="11" t="s">
        <v>87</v>
      </c>
      <c r="W876" s="15" t="s">
        <v>84</v>
      </c>
      <c r="X876" s="9" t="s">
        <v>85</v>
      </c>
      <c r="Y876" s="13" t="s">
        <v>99</v>
      </c>
      <c r="Z876">
        <f t="shared" si="79"/>
        <v>79</v>
      </c>
      <c r="AA876" s="39">
        <f t="shared" si="80"/>
        <v>67.272727272727266</v>
      </c>
      <c r="AB876" s="39">
        <f t="shared" si="81"/>
        <v>5168.1605965039525</v>
      </c>
      <c r="AC876">
        <f t="shared" si="84"/>
        <v>0.99994491076905567</v>
      </c>
      <c r="AD876">
        <f t="shared" si="82"/>
        <v>0.99992191580415146</v>
      </c>
      <c r="AE876">
        <f t="shared" si="83"/>
        <v>5135</v>
      </c>
    </row>
    <row r="877" spans="1:31">
      <c r="A877" s="10">
        <v>876</v>
      </c>
      <c r="B877" s="31">
        <v>40582</v>
      </c>
      <c r="C877" s="10">
        <v>1</v>
      </c>
      <c r="D877" s="10">
        <v>0</v>
      </c>
      <c r="E877" s="10">
        <v>2</v>
      </c>
      <c r="F877" s="10">
        <v>22</v>
      </c>
      <c r="G877" s="10" t="b">
        <v>0</v>
      </c>
      <c r="H877" s="10">
        <v>2</v>
      </c>
      <c r="I877" s="10">
        <v>1</v>
      </c>
      <c r="J877" s="10">
        <v>0.12</v>
      </c>
      <c r="K877" s="10">
        <v>0.1061</v>
      </c>
      <c r="L877" s="10">
        <v>0.33</v>
      </c>
      <c r="M877" s="10">
        <v>0.35820000000000002</v>
      </c>
      <c r="N877" s="10">
        <v>0</v>
      </c>
      <c r="O877" s="10">
        <v>29</v>
      </c>
      <c r="P877" s="10">
        <v>29</v>
      </c>
      <c r="Q877" s="13" t="s">
        <v>98</v>
      </c>
      <c r="R877" s="13" t="s">
        <v>79</v>
      </c>
      <c r="S877" s="10" t="s">
        <v>80</v>
      </c>
      <c r="T877" s="13" t="s">
        <v>81</v>
      </c>
      <c r="U877" s="16" t="s">
        <v>97</v>
      </c>
      <c r="V877" s="11" t="s">
        <v>87</v>
      </c>
      <c r="W877" s="15" t="s">
        <v>84</v>
      </c>
      <c r="X877" s="10" t="s">
        <v>85</v>
      </c>
      <c r="Y877" s="13" t="s">
        <v>99</v>
      </c>
      <c r="Z877">
        <f t="shared" si="79"/>
        <v>78</v>
      </c>
      <c r="AA877" s="39">
        <f t="shared" si="80"/>
        <v>67.408163265306129</v>
      </c>
      <c r="AB877" s="39">
        <f t="shared" si="81"/>
        <v>5188.6206896514768</v>
      </c>
      <c r="AC877">
        <f t="shared" si="84"/>
        <v>0.99994491805509689</v>
      </c>
      <c r="AD877">
        <f t="shared" si="82"/>
        <v>0.9999219132225512</v>
      </c>
      <c r="AE877">
        <f t="shared" si="83"/>
        <v>5081</v>
      </c>
    </row>
    <row r="878" spans="1:31">
      <c r="A878" s="9">
        <v>877</v>
      </c>
      <c r="B878" s="30">
        <v>40582</v>
      </c>
      <c r="C878" s="9">
        <v>1</v>
      </c>
      <c r="D878" s="9">
        <v>0</v>
      </c>
      <c r="E878" s="9">
        <v>2</v>
      </c>
      <c r="F878" s="9">
        <v>23</v>
      </c>
      <c r="G878" s="9" t="b">
        <v>0</v>
      </c>
      <c r="H878" s="9">
        <v>2</v>
      </c>
      <c r="I878" s="9">
        <v>1</v>
      </c>
      <c r="J878" s="9">
        <v>0.12</v>
      </c>
      <c r="K878" s="9">
        <v>0.1061</v>
      </c>
      <c r="L878" s="9">
        <v>0.33</v>
      </c>
      <c r="M878" s="9">
        <v>0.32840000000000003</v>
      </c>
      <c r="N878" s="9">
        <v>3</v>
      </c>
      <c r="O878" s="9">
        <v>9</v>
      </c>
      <c r="P878" s="9">
        <v>12</v>
      </c>
      <c r="Q878" s="13" t="s">
        <v>98</v>
      </c>
      <c r="R878" s="13" t="s">
        <v>79</v>
      </c>
      <c r="S878" s="9" t="s">
        <v>80</v>
      </c>
      <c r="T878" s="13" t="s">
        <v>81</v>
      </c>
      <c r="U878" s="16" t="s">
        <v>97</v>
      </c>
      <c r="V878" s="12" t="s">
        <v>83</v>
      </c>
      <c r="W878" s="15" t="s">
        <v>84</v>
      </c>
      <c r="X878" s="9" t="s">
        <v>85</v>
      </c>
      <c r="Y878" s="13" t="s">
        <v>99</v>
      </c>
      <c r="Z878">
        <f t="shared" si="79"/>
        <v>77</v>
      </c>
      <c r="AA878" s="39">
        <f t="shared" si="80"/>
        <v>67.80412371134021</v>
      </c>
      <c r="AB878" s="39">
        <f t="shared" si="81"/>
        <v>5209.3067645166293</v>
      </c>
      <c r="AC878">
        <f t="shared" si="84"/>
        <v>0.99994493119812733</v>
      </c>
      <c r="AD878">
        <f t="shared" si="82"/>
        <v>0.99992197234240343</v>
      </c>
      <c r="AE878">
        <f t="shared" si="83"/>
        <v>5052</v>
      </c>
    </row>
    <row r="879" spans="1:31">
      <c r="A879" s="10">
        <v>878</v>
      </c>
      <c r="B879" s="31">
        <v>40583</v>
      </c>
      <c r="C879" s="10">
        <v>1</v>
      </c>
      <c r="D879" s="10">
        <v>0</v>
      </c>
      <c r="E879" s="10">
        <v>2</v>
      </c>
      <c r="F879" s="10">
        <v>0</v>
      </c>
      <c r="G879" s="10" t="b">
        <v>0</v>
      </c>
      <c r="H879" s="10">
        <v>3</v>
      </c>
      <c r="I879" s="10">
        <v>1</v>
      </c>
      <c r="J879" s="10">
        <v>0.1</v>
      </c>
      <c r="K879" s="10">
        <v>7.5800000000000006E-2</v>
      </c>
      <c r="L879" s="10">
        <v>0.36</v>
      </c>
      <c r="M879" s="10">
        <v>0.35820000000000002</v>
      </c>
      <c r="N879" s="10">
        <v>0</v>
      </c>
      <c r="O879" s="10">
        <v>17</v>
      </c>
      <c r="P879" s="10">
        <v>17</v>
      </c>
      <c r="Q879" s="13" t="s">
        <v>98</v>
      </c>
      <c r="R879" s="13" t="s">
        <v>79</v>
      </c>
      <c r="S879" s="10" t="s">
        <v>80</v>
      </c>
      <c r="T879" s="13" t="s">
        <v>81</v>
      </c>
      <c r="U879" s="14" t="s">
        <v>82</v>
      </c>
      <c r="V879" s="12" t="s">
        <v>83</v>
      </c>
      <c r="W879" s="15" t="s">
        <v>84</v>
      </c>
      <c r="X879" s="10" t="s">
        <v>85</v>
      </c>
      <c r="Y879" s="13" t="s">
        <v>99</v>
      </c>
      <c r="Z879">
        <f t="shared" si="79"/>
        <v>76</v>
      </c>
      <c r="AA879" s="39">
        <f t="shared" si="80"/>
        <v>68.385416666666671</v>
      </c>
      <c r="AB879" s="39">
        <f t="shared" si="81"/>
        <v>5230.2286313310697</v>
      </c>
      <c r="AC879">
        <f t="shared" si="84"/>
        <v>0.99994504265812878</v>
      </c>
      <c r="AD879">
        <f t="shared" si="82"/>
        <v>0.99992218223454044</v>
      </c>
      <c r="AE879">
        <f t="shared" si="83"/>
        <v>5040</v>
      </c>
    </row>
    <row r="880" spans="1:31">
      <c r="A880" s="9">
        <v>879</v>
      </c>
      <c r="B880" s="30">
        <v>40583</v>
      </c>
      <c r="C880" s="9">
        <v>1</v>
      </c>
      <c r="D880" s="9">
        <v>0</v>
      </c>
      <c r="E880" s="9">
        <v>2</v>
      </c>
      <c r="F880" s="9">
        <v>1</v>
      </c>
      <c r="G880" s="9" t="b">
        <v>0</v>
      </c>
      <c r="H880" s="9">
        <v>3</v>
      </c>
      <c r="I880" s="9">
        <v>1</v>
      </c>
      <c r="J880" s="9">
        <v>0.1</v>
      </c>
      <c r="K880" s="9">
        <v>0.1061</v>
      </c>
      <c r="L880" s="9">
        <v>0.36</v>
      </c>
      <c r="M880" s="9">
        <v>0.22389999999999999</v>
      </c>
      <c r="N880" s="9">
        <v>0</v>
      </c>
      <c r="O880" s="9">
        <v>7</v>
      </c>
      <c r="P880" s="9">
        <v>7</v>
      </c>
      <c r="Q880" s="13" t="s">
        <v>98</v>
      </c>
      <c r="R880" s="13" t="s">
        <v>79</v>
      </c>
      <c r="S880" s="9" t="s">
        <v>80</v>
      </c>
      <c r="T880" s="13" t="s">
        <v>81</v>
      </c>
      <c r="U880" s="14" t="s">
        <v>82</v>
      </c>
      <c r="V880" s="12" t="s">
        <v>83</v>
      </c>
      <c r="W880" s="15" t="s">
        <v>84</v>
      </c>
      <c r="X880" s="9" t="s">
        <v>85</v>
      </c>
      <c r="Y880" s="13" t="s">
        <v>99</v>
      </c>
      <c r="Z880">
        <f t="shared" si="79"/>
        <v>75</v>
      </c>
      <c r="AA880" s="39">
        <f t="shared" si="80"/>
        <v>68.926315789473691</v>
      </c>
      <c r="AB880" s="39">
        <f t="shared" si="81"/>
        <v>5251.4087147295704</v>
      </c>
      <c r="AC880">
        <f t="shared" si="84"/>
        <v>0.99994508348450228</v>
      </c>
      <c r="AD880">
        <f t="shared" si="82"/>
        <v>0.9999223733923297</v>
      </c>
      <c r="AE880">
        <f t="shared" si="83"/>
        <v>5023</v>
      </c>
    </row>
    <row r="881" spans="1:31">
      <c r="A881" s="10">
        <v>880</v>
      </c>
      <c r="B881" s="31">
        <v>40583</v>
      </c>
      <c r="C881" s="10">
        <v>1</v>
      </c>
      <c r="D881" s="10">
        <v>0</v>
      </c>
      <c r="E881" s="10">
        <v>2</v>
      </c>
      <c r="F881" s="10">
        <v>2</v>
      </c>
      <c r="G881" s="10" t="b">
        <v>0</v>
      </c>
      <c r="H881" s="10">
        <v>3</v>
      </c>
      <c r="I881" s="10">
        <v>1</v>
      </c>
      <c r="J881" s="10">
        <v>0.08</v>
      </c>
      <c r="K881" s="10">
        <v>7.5800000000000006E-2</v>
      </c>
      <c r="L881" s="10">
        <v>0.38</v>
      </c>
      <c r="M881" s="10">
        <v>0.28360000000000002</v>
      </c>
      <c r="N881" s="10">
        <v>1</v>
      </c>
      <c r="O881" s="10">
        <v>2</v>
      </c>
      <c r="P881" s="10">
        <v>3</v>
      </c>
      <c r="Q881" s="13" t="s">
        <v>98</v>
      </c>
      <c r="R881" s="13" t="s">
        <v>79</v>
      </c>
      <c r="S881" s="10" t="s">
        <v>80</v>
      </c>
      <c r="T881" s="13" t="s">
        <v>81</v>
      </c>
      <c r="U881" s="14" t="s">
        <v>82</v>
      </c>
      <c r="V881" s="12" t="s">
        <v>83</v>
      </c>
      <c r="W881" s="15" t="s">
        <v>84</v>
      </c>
      <c r="X881" s="10" t="s">
        <v>85</v>
      </c>
      <c r="Y881" s="13" t="s">
        <v>99</v>
      </c>
      <c r="Z881">
        <f t="shared" si="79"/>
        <v>74</v>
      </c>
      <c r="AA881" s="39">
        <f t="shared" si="80"/>
        <v>69.585106382978722</v>
      </c>
      <c r="AB881" s="39">
        <f t="shared" si="81"/>
        <v>5272.8398636997417</v>
      </c>
      <c r="AC881">
        <f t="shared" si="84"/>
        <v>0.99994519232253942</v>
      </c>
      <c r="AD881">
        <f t="shared" si="82"/>
        <v>0.99992269217506891</v>
      </c>
      <c r="AE881">
        <f t="shared" si="83"/>
        <v>5016</v>
      </c>
    </row>
    <row r="882" spans="1:31">
      <c r="A882" s="9">
        <v>881</v>
      </c>
      <c r="B882" s="30">
        <v>40583</v>
      </c>
      <c r="C882" s="9">
        <v>1</v>
      </c>
      <c r="D882" s="9">
        <v>0</v>
      </c>
      <c r="E882" s="9">
        <v>2</v>
      </c>
      <c r="F882" s="9">
        <v>3</v>
      </c>
      <c r="G882" s="9" t="b">
        <v>0</v>
      </c>
      <c r="H882" s="9">
        <v>3</v>
      </c>
      <c r="I882" s="9">
        <v>1</v>
      </c>
      <c r="J882" s="9">
        <v>0.06</v>
      </c>
      <c r="K882" s="9">
        <v>7.5800000000000006E-2</v>
      </c>
      <c r="L882" s="9">
        <v>0.45</v>
      </c>
      <c r="M882" s="9">
        <v>0.1343</v>
      </c>
      <c r="N882" s="9">
        <v>0</v>
      </c>
      <c r="O882" s="9">
        <v>2</v>
      </c>
      <c r="P882" s="9">
        <v>2</v>
      </c>
      <c r="Q882" s="13" t="s">
        <v>98</v>
      </c>
      <c r="R882" s="13" t="s">
        <v>79</v>
      </c>
      <c r="S882" s="9" t="s">
        <v>80</v>
      </c>
      <c r="T882" s="13" t="s">
        <v>81</v>
      </c>
      <c r="U882" s="14" t="s">
        <v>82</v>
      </c>
      <c r="V882" s="12" t="s">
        <v>83</v>
      </c>
      <c r="W882" s="15" t="s">
        <v>84</v>
      </c>
      <c r="X882" s="9" t="s">
        <v>85</v>
      </c>
      <c r="Y882" s="13" t="s">
        <v>99</v>
      </c>
      <c r="Z882">
        <f t="shared" si="79"/>
        <v>73</v>
      </c>
      <c r="AA882" s="39">
        <f t="shared" si="80"/>
        <v>70.3010752688172</v>
      </c>
      <c r="AB882" s="39">
        <f t="shared" si="81"/>
        <v>5294.5321256180041</v>
      </c>
      <c r="AC882">
        <f t="shared" si="84"/>
        <v>0.99994528950972783</v>
      </c>
      <c r="AD882">
        <f t="shared" si="82"/>
        <v>0.99992310614965174</v>
      </c>
      <c r="AE882">
        <f t="shared" si="83"/>
        <v>5013</v>
      </c>
    </row>
    <row r="883" spans="1:31">
      <c r="A883" s="10">
        <v>882</v>
      </c>
      <c r="B883" s="31">
        <v>40583</v>
      </c>
      <c r="C883" s="10">
        <v>1</v>
      </c>
      <c r="D883" s="10">
        <v>0</v>
      </c>
      <c r="E883" s="10">
        <v>2</v>
      </c>
      <c r="F883" s="10">
        <v>5</v>
      </c>
      <c r="G883" s="10" t="b">
        <v>0</v>
      </c>
      <c r="H883" s="10">
        <v>3</v>
      </c>
      <c r="I883" s="10">
        <v>1</v>
      </c>
      <c r="J883" s="10">
        <v>0.06</v>
      </c>
      <c r="K883" s="10">
        <v>0.1061</v>
      </c>
      <c r="L883" s="10">
        <v>0.45</v>
      </c>
      <c r="M883" s="10">
        <v>0.1045</v>
      </c>
      <c r="N883" s="10">
        <v>0</v>
      </c>
      <c r="O883" s="10">
        <v>7</v>
      </c>
      <c r="P883" s="10">
        <v>7</v>
      </c>
      <c r="Q883" s="13" t="s">
        <v>98</v>
      </c>
      <c r="R883" s="13" t="s">
        <v>79</v>
      </c>
      <c r="S883" s="10" t="s">
        <v>80</v>
      </c>
      <c r="T883" s="13" t="s">
        <v>81</v>
      </c>
      <c r="U883" s="15" t="s">
        <v>89</v>
      </c>
      <c r="V883" s="12" t="s">
        <v>83</v>
      </c>
      <c r="W883" s="15" t="s">
        <v>84</v>
      </c>
      <c r="X883" s="10" t="s">
        <v>85</v>
      </c>
      <c r="Y883" s="13" t="s">
        <v>99</v>
      </c>
      <c r="Z883">
        <f t="shared" si="79"/>
        <v>72</v>
      </c>
      <c r="AA883" s="39">
        <f t="shared" si="80"/>
        <v>71.043478260869563</v>
      </c>
      <c r="AB883" s="39">
        <f t="shared" si="81"/>
        <v>5316.4934531639383</v>
      </c>
      <c r="AC883">
        <f t="shared" si="84"/>
        <v>0.99994535482039515</v>
      </c>
      <c r="AD883">
        <f t="shared" si="82"/>
        <v>0.9999236649512967</v>
      </c>
      <c r="AE883">
        <f t="shared" si="83"/>
        <v>5011</v>
      </c>
    </row>
    <row r="884" spans="1:31">
      <c r="A884" s="9">
        <v>883</v>
      </c>
      <c r="B884" s="30">
        <v>40583</v>
      </c>
      <c r="C884" s="9">
        <v>1</v>
      </c>
      <c r="D884" s="9">
        <v>0</v>
      </c>
      <c r="E884" s="9">
        <v>2</v>
      </c>
      <c r="F884" s="9">
        <v>6</v>
      </c>
      <c r="G884" s="9" t="b">
        <v>0</v>
      </c>
      <c r="H884" s="9">
        <v>3</v>
      </c>
      <c r="I884" s="9">
        <v>1</v>
      </c>
      <c r="J884" s="9">
        <v>0.06</v>
      </c>
      <c r="K884" s="9">
        <v>0.1515</v>
      </c>
      <c r="L884" s="9">
        <v>0.45</v>
      </c>
      <c r="M884" s="9">
        <v>0</v>
      </c>
      <c r="N884" s="9">
        <v>0</v>
      </c>
      <c r="O884" s="9">
        <v>43</v>
      </c>
      <c r="P884" s="9">
        <v>43</v>
      </c>
      <c r="Q884" s="13" t="s">
        <v>98</v>
      </c>
      <c r="R884" s="13" t="s">
        <v>79</v>
      </c>
      <c r="S884" s="9" t="s">
        <v>80</v>
      </c>
      <c r="T884" s="13" t="s">
        <v>81</v>
      </c>
      <c r="U884" s="15" t="s">
        <v>89</v>
      </c>
      <c r="V884" s="11" t="s">
        <v>87</v>
      </c>
      <c r="W884" s="15" t="s">
        <v>84</v>
      </c>
      <c r="X884" s="9" t="s">
        <v>85</v>
      </c>
      <c r="Y884" s="13" t="s">
        <v>99</v>
      </c>
      <c r="Z884">
        <f t="shared" si="79"/>
        <v>71</v>
      </c>
      <c r="AA884" s="39">
        <f t="shared" si="80"/>
        <v>71.747252747252745</v>
      </c>
      <c r="AB884" s="39">
        <f t="shared" si="81"/>
        <v>5338.7347306400106</v>
      </c>
      <c r="AC884">
        <f t="shared" si="84"/>
        <v>0.99994539236959568</v>
      </c>
      <c r="AD884">
        <f t="shared" si="82"/>
        <v>0.99992414432383092</v>
      </c>
      <c r="AE884">
        <f t="shared" si="83"/>
        <v>5004</v>
      </c>
    </row>
    <row r="885" spans="1:31">
      <c r="A885" s="10">
        <v>884</v>
      </c>
      <c r="B885" s="31">
        <v>40583</v>
      </c>
      <c r="C885" s="10">
        <v>1</v>
      </c>
      <c r="D885" s="10">
        <v>0</v>
      </c>
      <c r="E885" s="10">
        <v>2</v>
      </c>
      <c r="F885" s="10">
        <v>7</v>
      </c>
      <c r="G885" s="10" t="b">
        <v>0</v>
      </c>
      <c r="H885" s="10">
        <v>3</v>
      </c>
      <c r="I885" s="10">
        <v>1</v>
      </c>
      <c r="J885" s="10">
        <v>0.06</v>
      </c>
      <c r="K885" s="10">
        <v>0.1061</v>
      </c>
      <c r="L885" s="10">
        <v>0.49</v>
      </c>
      <c r="M885" s="10">
        <v>0.1045</v>
      </c>
      <c r="N885" s="10">
        <v>4</v>
      </c>
      <c r="O885" s="10">
        <v>95</v>
      </c>
      <c r="P885" s="10">
        <v>99</v>
      </c>
      <c r="Q885" s="13" t="s">
        <v>98</v>
      </c>
      <c r="R885" s="13" t="s">
        <v>79</v>
      </c>
      <c r="S885" s="10" t="s">
        <v>80</v>
      </c>
      <c r="T885" s="13" t="s">
        <v>81</v>
      </c>
      <c r="U885" s="15" t="s">
        <v>89</v>
      </c>
      <c r="V885" s="13" t="s">
        <v>93</v>
      </c>
      <c r="W885" s="15" t="s">
        <v>84</v>
      </c>
      <c r="X885" s="10" t="s">
        <v>85</v>
      </c>
      <c r="Y885" s="13" t="s">
        <v>99</v>
      </c>
      <c r="Z885">
        <f t="shared" si="79"/>
        <v>70</v>
      </c>
      <c r="AA885" s="39">
        <f t="shared" si="80"/>
        <v>72.066666666666663</v>
      </c>
      <c r="AB885" s="39">
        <f t="shared" si="81"/>
        <v>5361.288323573287</v>
      </c>
      <c r="AC885">
        <f t="shared" si="84"/>
        <v>0.99994544235855565</v>
      </c>
      <c r="AD885">
        <f t="shared" si="82"/>
        <v>0.99992420714737096</v>
      </c>
      <c r="AE885">
        <f t="shared" si="83"/>
        <v>4961</v>
      </c>
    </row>
    <row r="886" spans="1:31">
      <c r="A886" s="9">
        <v>885</v>
      </c>
      <c r="B886" s="30">
        <v>40583</v>
      </c>
      <c r="C886" s="9">
        <v>1</v>
      </c>
      <c r="D886" s="9">
        <v>0</v>
      </c>
      <c r="E886" s="9">
        <v>2</v>
      </c>
      <c r="F886" s="9">
        <v>8</v>
      </c>
      <c r="G886" s="9" t="b">
        <v>0</v>
      </c>
      <c r="H886" s="9">
        <v>3</v>
      </c>
      <c r="I886" s="9">
        <v>1</v>
      </c>
      <c r="J886" s="9">
        <v>0.1</v>
      </c>
      <c r="K886" s="9">
        <v>0.13639999999999999</v>
      </c>
      <c r="L886" s="9">
        <v>0.42</v>
      </c>
      <c r="M886" s="9">
        <v>0</v>
      </c>
      <c r="N886" s="9">
        <v>1</v>
      </c>
      <c r="O886" s="9">
        <v>198</v>
      </c>
      <c r="P886" s="9">
        <v>199</v>
      </c>
      <c r="Q886" s="13" t="s">
        <v>98</v>
      </c>
      <c r="R886" s="13" t="s">
        <v>79</v>
      </c>
      <c r="S886" s="9" t="s">
        <v>80</v>
      </c>
      <c r="T886" s="13" t="s">
        <v>81</v>
      </c>
      <c r="U886" s="15" t="s">
        <v>89</v>
      </c>
      <c r="V886" s="13" t="s">
        <v>93</v>
      </c>
      <c r="W886" s="15" t="s">
        <v>84</v>
      </c>
      <c r="X886" s="9" t="s">
        <v>85</v>
      </c>
      <c r="Y886" s="13" t="s">
        <v>99</v>
      </c>
      <c r="Z886">
        <f t="shared" si="79"/>
        <v>69</v>
      </c>
      <c r="AA886" s="39">
        <f t="shared" si="80"/>
        <v>71.764044943820224</v>
      </c>
      <c r="AB886" s="39">
        <f t="shared" si="81"/>
        <v>5384.1745923828867</v>
      </c>
      <c r="AC886">
        <f t="shared" si="84"/>
        <v>0.99994628691359044</v>
      </c>
      <c r="AD886">
        <f t="shared" si="82"/>
        <v>0.99992434076206616</v>
      </c>
      <c r="AE886">
        <f t="shared" si="83"/>
        <v>4862</v>
      </c>
    </row>
    <row r="887" spans="1:31">
      <c r="A887" s="10">
        <v>886</v>
      </c>
      <c r="B887" s="31">
        <v>40583</v>
      </c>
      <c r="C887" s="10">
        <v>1</v>
      </c>
      <c r="D887" s="10">
        <v>0</v>
      </c>
      <c r="E887" s="10">
        <v>2</v>
      </c>
      <c r="F887" s="10">
        <v>9</v>
      </c>
      <c r="G887" s="10" t="b">
        <v>0</v>
      </c>
      <c r="H887" s="10">
        <v>3</v>
      </c>
      <c r="I887" s="10">
        <v>1</v>
      </c>
      <c r="J887" s="10">
        <v>0.12</v>
      </c>
      <c r="K887" s="10">
        <v>0.13639999999999999</v>
      </c>
      <c r="L887" s="10">
        <v>0.39</v>
      </c>
      <c r="M887" s="10">
        <v>0.16420000000000001</v>
      </c>
      <c r="N887" s="10">
        <v>4</v>
      </c>
      <c r="O887" s="10">
        <v>119</v>
      </c>
      <c r="P887" s="10">
        <v>123</v>
      </c>
      <c r="Q887" s="13" t="s">
        <v>98</v>
      </c>
      <c r="R887" s="13" t="s">
        <v>79</v>
      </c>
      <c r="S887" s="10" t="s">
        <v>80</v>
      </c>
      <c r="T887" s="13" t="s">
        <v>81</v>
      </c>
      <c r="U887" s="15" t="s">
        <v>89</v>
      </c>
      <c r="V887" s="13" t="s">
        <v>93</v>
      </c>
      <c r="W887" s="15" t="s">
        <v>84</v>
      </c>
      <c r="X887" s="10" t="s">
        <v>85</v>
      </c>
      <c r="Y887" s="13" t="s">
        <v>99</v>
      </c>
      <c r="Z887">
        <f t="shared" si="79"/>
        <v>68</v>
      </c>
      <c r="AA887" s="39">
        <f t="shared" si="80"/>
        <v>70.318181818181813</v>
      </c>
      <c r="AB887" s="39">
        <f t="shared" si="81"/>
        <v>5407.4241227943376</v>
      </c>
      <c r="AC887">
        <f t="shared" si="84"/>
        <v>0.99995034468156574</v>
      </c>
      <c r="AD887">
        <f t="shared" si="82"/>
        <v>0.99992717993011637</v>
      </c>
      <c r="AE887">
        <f t="shared" si="83"/>
        <v>4663</v>
      </c>
    </row>
    <row r="888" spans="1:31">
      <c r="A888" s="9">
        <v>887</v>
      </c>
      <c r="B888" s="30">
        <v>40583</v>
      </c>
      <c r="C888" s="9">
        <v>1</v>
      </c>
      <c r="D888" s="9">
        <v>0</v>
      </c>
      <c r="E888" s="9">
        <v>2</v>
      </c>
      <c r="F888" s="9">
        <v>10</v>
      </c>
      <c r="G888" s="9" t="b">
        <v>0</v>
      </c>
      <c r="H888" s="9">
        <v>3</v>
      </c>
      <c r="I888" s="9">
        <v>1</v>
      </c>
      <c r="J888" s="9">
        <v>0.14000000000000001</v>
      </c>
      <c r="K888" s="9">
        <v>0.18179999999999999</v>
      </c>
      <c r="L888" s="9">
        <v>0.36</v>
      </c>
      <c r="M888" s="9">
        <v>0</v>
      </c>
      <c r="N888" s="9">
        <v>8</v>
      </c>
      <c r="O888" s="9">
        <v>51</v>
      </c>
      <c r="P888" s="9">
        <v>59</v>
      </c>
      <c r="Q888" s="13" t="s">
        <v>98</v>
      </c>
      <c r="R888" s="13" t="s">
        <v>79</v>
      </c>
      <c r="S888" s="9" t="s">
        <v>80</v>
      </c>
      <c r="T888" s="13" t="s">
        <v>81</v>
      </c>
      <c r="U888" s="13" t="s">
        <v>91</v>
      </c>
      <c r="V888" s="11" t="s">
        <v>87</v>
      </c>
      <c r="W888" s="15" t="s">
        <v>84</v>
      </c>
      <c r="X888" s="9" t="s">
        <v>85</v>
      </c>
      <c r="Y888" s="13" t="s">
        <v>99</v>
      </c>
      <c r="Z888">
        <f t="shared" si="79"/>
        <v>67</v>
      </c>
      <c r="AA888" s="39">
        <f t="shared" si="80"/>
        <v>69.712643678160916</v>
      </c>
      <c r="AB888" s="39">
        <f t="shared" si="81"/>
        <v>5430.9269241566981</v>
      </c>
      <c r="AC888">
        <f t="shared" si="84"/>
        <v>0.99995140755048539</v>
      </c>
      <c r="AD888">
        <f t="shared" si="82"/>
        <v>0.99992782614183784</v>
      </c>
      <c r="AE888">
        <f t="shared" si="83"/>
        <v>4540</v>
      </c>
    </row>
    <row r="889" spans="1:31">
      <c r="A889" s="10">
        <v>888</v>
      </c>
      <c r="B889" s="31">
        <v>40583</v>
      </c>
      <c r="C889" s="10">
        <v>1</v>
      </c>
      <c r="D889" s="10">
        <v>0</v>
      </c>
      <c r="E889" s="10">
        <v>2</v>
      </c>
      <c r="F889" s="10">
        <v>11</v>
      </c>
      <c r="G889" s="10" t="b">
        <v>0</v>
      </c>
      <c r="H889" s="10">
        <v>3</v>
      </c>
      <c r="I889" s="10">
        <v>2</v>
      </c>
      <c r="J889" s="10">
        <v>0.14000000000000001</v>
      </c>
      <c r="K889" s="10">
        <v>0.1515</v>
      </c>
      <c r="L889" s="10">
        <v>0.43</v>
      </c>
      <c r="M889" s="10">
        <v>0.16420000000000001</v>
      </c>
      <c r="N889" s="10">
        <v>1</v>
      </c>
      <c r="O889" s="10">
        <v>40</v>
      </c>
      <c r="P889" s="10">
        <v>41</v>
      </c>
      <c r="Q889" s="13" t="s">
        <v>98</v>
      </c>
      <c r="R889" s="13" t="s">
        <v>79</v>
      </c>
      <c r="S889" s="10" t="s">
        <v>80</v>
      </c>
      <c r="T889" s="11" t="s">
        <v>88</v>
      </c>
      <c r="U889" s="13" t="s">
        <v>91</v>
      </c>
      <c r="V889" s="11" t="s">
        <v>87</v>
      </c>
      <c r="W889" s="15" t="s">
        <v>84</v>
      </c>
      <c r="X889" s="10" t="s">
        <v>85</v>
      </c>
      <c r="Y889" s="13" t="s">
        <v>99</v>
      </c>
      <c r="Z889">
        <f t="shared" si="79"/>
        <v>66</v>
      </c>
      <c r="AA889" s="39">
        <f t="shared" si="80"/>
        <v>69.837209302325576</v>
      </c>
      <c r="AB889" s="39">
        <f t="shared" si="81"/>
        <v>5454.6883815819001</v>
      </c>
      <c r="AC889">
        <f t="shared" si="84"/>
        <v>0.99995143913027207</v>
      </c>
      <c r="AD889">
        <f t="shared" si="82"/>
        <v>0.99992782484628551</v>
      </c>
      <c r="AE889">
        <f t="shared" si="83"/>
        <v>4481</v>
      </c>
    </row>
    <row r="890" spans="1:31">
      <c r="A890" s="9">
        <v>889</v>
      </c>
      <c r="B890" s="30">
        <v>40583</v>
      </c>
      <c r="C890" s="9">
        <v>1</v>
      </c>
      <c r="D890" s="9">
        <v>0</v>
      </c>
      <c r="E890" s="9">
        <v>2</v>
      </c>
      <c r="F890" s="9">
        <v>12</v>
      </c>
      <c r="G890" s="9" t="b">
        <v>0</v>
      </c>
      <c r="H890" s="9">
        <v>3</v>
      </c>
      <c r="I890" s="9">
        <v>2</v>
      </c>
      <c r="J890" s="9">
        <v>0.18</v>
      </c>
      <c r="K890" s="9">
        <v>0.18179999999999999</v>
      </c>
      <c r="L890" s="9">
        <v>0.4</v>
      </c>
      <c r="M890" s="9">
        <v>0.22389999999999999</v>
      </c>
      <c r="N890" s="9">
        <v>4</v>
      </c>
      <c r="O890" s="9">
        <v>57</v>
      </c>
      <c r="P890" s="9">
        <v>61</v>
      </c>
      <c r="Q890" s="13" t="s">
        <v>98</v>
      </c>
      <c r="R890" s="13" t="s">
        <v>79</v>
      </c>
      <c r="S890" s="9" t="s">
        <v>80</v>
      </c>
      <c r="T890" s="11" t="s">
        <v>88</v>
      </c>
      <c r="U890" s="11" t="s">
        <v>92</v>
      </c>
      <c r="V890" s="11" t="s">
        <v>87</v>
      </c>
      <c r="W890" s="15" t="s">
        <v>84</v>
      </c>
      <c r="X890" s="9" t="s">
        <v>85</v>
      </c>
      <c r="Y890" s="13" t="s">
        <v>99</v>
      </c>
      <c r="Z890">
        <f t="shared" si="79"/>
        <v>65</v>
      </c>
      <c r="AA890" s="39">
        <f t="shared" si="80"/>
        <v>69.837209302325576</v>
      </c>
      <c r="AB890" s="39">
        <f t="shared" si="81"/>
        <v>5478.7488629279342</v>
      </c>
      <c r="AC890">
        <f t="shared" si="84"/>
        <v>0.99995143586944024</v>
      </c>
      <c r="AD890">
        <f t="shared" si="82"/>
        <v>0.99992787581298892</v>
      </c>
      <c r="AE890">
        <f t="shared" si="83"/>
        <v>4440</v>
      </c>
    </row>
    <row r="891" spans="1:31">
      <c r="A891" s="10">
        <v>890</v>
      </c>
      <c r="B891" s="31">
        <v>40583</v>
      </c>
      <c r="C891" s="10">
        <v>1</v>
      </c>
      <c r="D891" s="10">
        <v>0</v>
      </c>
      <c r="E891" s="10">
        <v>2</v>
      </c>
      <c r="F891" s="10">
        <v>13</v>
      </c>
      <c r="G891" s="10" t="b">
        <v>0</v>
      </c>
      <c r="H891" s="10">
        <v>3</v>
      </c>
      <c r="I891" s="10">
        <v>1</v>
      </c>
      <c r="J891" s="10">
        <v>0.18</v>
      </c>
      <c r="K891" s="10">
        <v>0.16669999999999999</v>
      </c>
      <c r="L891" s="10">
        <v>0.4</v>
      </c>
      <c r="M891" s="10">
        <v>0.25369999999999998</v>
      </c>
      <c r="N891" s="10">
        <v>2</v>
      </c>
      <c r="O891" s="10">
        <v>67</v>
      </c>
      <c r="P891" s="10">
        <v>69</v>
      </c>
      <c r="Q891" s="13" t="s">
        <v>98</v>
      </c>
      <c r="R891" s="13" t="s">
        <v>79</v>
      </c>
      <c r="S891" s="10" t="s">
        <v>80</v>
      </c>
      <c r="T891" s="13" t="s">
        <v>81</v>
      </c>
      <c r="U891" s="11" t="s">
        <v>92</v>
      </c>
      <c r="V891" s="13" t="s">
        <v>93</v>
      </c>
      <c r="W891" s="15" t="s">
        <v>84</v>
      </c>
      <c r="X891" s="10" t="s">
        <v>85</v>
      </c>
      <c r="Y891" s="13" t="s">
        <v>99</v>
      </c>
      <c r="Z891">
        <f t="shared" si="79"/>
        <v>64</v>
      </c>
      <c r="AA891" s="39">
        <f t="shared" si="80"/>
        <v>69.837209302325576</v>
      </c>
      <c r="AB891" s="39">
        <f t="shared" si="81"/>
        <v>5503.1481178691902</v>
      </c>
      <c r="AC891">
        <f t="shared" si="84"/>
        <v>0.99995143759448679</v>
      </c>
      <c r="AD891">
        <f t="shared" si="82"/>
        <v>0.99992787156707852</v>
      </c>
      <c r="AE891">
        <f t="shared" si="83"/>
        <v>4379</v>
      </c>
    </row>
    <row r="892" spans="1:31">
      <c r="A892" s="9">
        <v>891</v>
      </c>
      <c r="B892" s="30">
        <v>40583</v>
      </c>
      <c r="C892" s="9">
        <v>1</v>
      </c>
      <c r="D892" s="9">
        <v>0</v>
      </c>
      <c r="E892" s="9">
        <v>2</v>
      </c>
      <c r="F892" s="9">
        <v>14</v>
      </c>
      <c r="G892" s="9" t="b">
        <v>0</v>
      </c>
      <c r="H892" s="9">
        <v>3</v>
      </c>
      <c r="I892" s="9">
        <v>1</v>
      </c>
      <c r="J892" s="9">
        <v>0.2</v>
      </c>
      <c r="K892" s="9">
        <v>0.18179999999999999</v>
      </c>
      <c r="L892" s="9">
        <v>0.34</v>
      </c>
      <c r="M892" s="9">
        <v>0.29849999999999999</v>
      </c>
      <c r="N892" s="9">
        <v>2</v>
      </c>
      <c r="O892" s="9">
        <v>56</v>
      </c>
      <c r="P892" s="9">
        <v>58</v>
      </c>
      <c r="Q892" s="13" t="s">
        <v>98</v>
      </c>
      <c r="R892" s="13" t="s">
        <v>79</v>
      </c>
      <c r="S892" s="9" t="s">
        <v>80</v>
      </c>
      <c r="T892" s="13" t="s">
        <v>81</v>
      </c>
      <c r="U892" s="13" t="s">
        <v>94</v>
      </c>
      <c r="V892" s="11" t="s">
        <v>87</v>
      </c>
      <c r="W892" s="15" t="s">
        <v>84</v>
      </c>
      <c r="X892" s="9" t="s">
        <v>85</v>
      </c>
      <c r="Y892" s="13" t="s">
        <v>99</v>
      </c>
      <c r="Z892">
        <f t="shared" si="79"/>
        <v>63</v>
      </c>
      <c r="AA892" s="39">
        <f t="shared" si="80"/>
        <v>69.847058823529409</v>
      </c>
      <c r="AB892" s="39">
        <f t="shared" si="81"/>
        <v>5527.8832136942283</v>
      </c>
      <c r="AC892">
        <f t="shared" si="84"/>
        <v>0.99995146399815527</v>
      </c>
      <c r="AD892">
        <f t="shared" si="82"/>
        <v>0.99992788503835806</v>
      </c>
      <c r="AE892">
        <f t="shared" si="83"/>
        <v>4310</v>
      </c>
    </row>
    <row r="893" spans="1:31">
      <c r="A893" s="10">
        <v>892</v>
      </c>
      <c r="B893" s="31">
        <v>40583</v>
      </c>
      <c r="C893" s="10">
        <v>1</v>
      </c>
      <c r="D893" s="10">
        <v>0</v>
      </c>
      <c r="E893" s="10">
        <v>2</v>
      </c>
      <c r="F893" s="10">
        <v>15</v>
      </c>
      <c r="G893" s="10" t="b">
        <v>0</v>
      </c>
      <c r="H893" s="10">
        <v>3</v>
      </c>
      <c r="I893" s="10">
        <v>2</v>
      </c>
      <c r="J893" s="10">
        <v>0.2</v>
      </c>
      <c r="K893" s="10">
        <v>0.18179999999999999</v>
      </c>
      <c r="L893" s="10">
        <v>0.34</v>
      </c>
      <c r="M893" s="10">
        <v>0.28360000000000002</v>
      </c>
      <c r="N893" s="10">
        <v>3</v>
      </c>
      <c r="O893" s="10">
        <v>61</v>
      </c>
      <c r="P893" s="10">
        <v>64</v>
      </c>
      <c r="Q893" s="13" t="s">
        <v>98</v>
      </c>
      <c r="R893" s="13" t="s">
        <v>79</v>
      </c>
      <c r="S893" s="10" t="s">
        <v>80</v>
      </c>
      <c r="T893" s="11" t="s">
        <v>88</v>
      </c>
      <c r="U893" s="13" t="s">
        <v>94</v>
      </c>
      <c r="V893" s="11" t="s">
        <v>87</v>
      </c>
      <c r="W893" s="15" t="s">
        <v>84</v>
      </c>
      <c r="X893" s="10" t="s">
        <v>85</v>
      </c>
      <c r="Y893" s="13" t="s">
        <v>99</v>
      </c>
      <c r="Z893">
        <f t="shared" si="79"/>
        <v>62</v>
      </c>
      <c r="AA893" s="39">
        <f t="shared" si="80"/>
        <v>69.988095238095241</v>
      </c>
      <c r="AB893" s="39">
        <f t="shared" si="81"/>
        <v>5552.9451822356477</v>
      </c>
      <c r="AC893">
        <f t="shared" si="84"/>
        <v>0.9999514606578821</v>
      </c>
      <c r="AD893">
        <f t="shared" si="82"/>
        <v>0.99992788509894925</v>
      </c>
      <c r="AE893">
        <f t="shared" si="83"/>
        <v>4252</v>
      </c>
    </row>
    <row r="894" spans="1:31">
      <c r="A894" s="9">
        <v>893</v>
      </c>
      <c r="B894" s="30">
        <v>40583</v>
      </c>
      <c r="C894" s="9">
        <v>1</v>
      </c>
      <c r="D894" s="9">
        <v>0</v>
      </c>
      <c r="E894" s="9">
        <v>2</v>
      </c>
      <c r="F894" s="9">
        <v>16</v>
      </c>
      <c r="G894" s="9" t="b">
        <v>0</v>
      </c>
      <c r="H894" s="9">
        <v>3</v>
      </c>
      <c r="I894" s="9">
        <v>2</v>
      </c>
      <c r="J894" s="9">
        <v>0.2</v>
      </c>
      <c r="K894" s="9">
        <v>0.19700000000000001</v>
      </c>
      <c r="L894" s="9">
        <v>0.37</v>
      </c>
      <c r="M894" s="9">
        <v>0.25369999999999998</v>
      </c>
      <c r="N894" s="9">
        <v>7</v>
      </c>
      <c r="O894" s="9">
        <v>72</v>
      </c>
      <c r="P894" s="9">
        <v>79</v>
      </c>
      <c r="Q894" s="13" t="s">
        <v>98</v>
      </c>
      <c r="R894" s="13" t="s">
        <v>79</v>
      </c>
      <c r="S894" s="9" t="s">
        <v>80</v>
      </c>
      <c r="T894" s="11" t="s">
        <v>88</v>
      </c>
      <c r="U894" s="13" t="s">
        <v>94</v>
      </c>
      <c r="V894" s="13" t="s">
        <v>93</v>
      </c>
      <c r="W894" s="15" t="s">
        <v>84</v>
      </c>
      <c r="X894" s="9" t="s">
        <v>85</v>
      </c>
      <c r="Y894" s="13" t="s">
        <v>99</v>
      </c>
      <c r="Z894">
        <f t="shared" si="79"/>
        <v>61</v>
      </c>
      <c r="AA894" s="39">
        <f t="shared" si="80"/>
        <v>69.988095238095241</v>
      </c>
      <c r="AB894" s="39">
        <f t="shared" si="81"/>
        <v>5578.3565250642732</v>
      </c>
      <c r="AC894">
        <f t="shared" si="84"/>
        <v>0.99995145853164979</v>
      </c>
      <c r="AD894">
        <f t="shared" si="82"/>
        <v>0.99992790241843621</v>
      </c>
      <c r="AE894">
        <f t="shared" si="83"/>
        <v>4188</v>
      </c>
    </row>
    <row r="895" spans="1:31">
      <c r="A895" s="10">
        <v>894</v>
      </c>
      <c r="B895" s="31">
        <v>40583</v>
      </c>
      <c r="C895" s="10">
        <v>1</v>
      </c>
      <c r="D895" s="10">
        <v>0</v>
      </c>
      <c r="E895" s="10">
        <v>2</v>
      </c>
      <c r="F895" s="10">
        <v>17</v>
      </c>
      <c r="G895" s="10" t="b">
        <v>0</v>
      </c>
      <c r="H895" s="10">
        <v>3</v>
      </c>
      <c r="I895" s="10">
        <v>2</v>
      </c>
      <c r="J895" s="10">
        <v>0.2</v>
      </c>
      <c r="K895" s="10">
        <v>0.19700000000000001</v>
      </c>
      <c r="L895" s="10">
        <v>0.34</v>
      </c>
      <c r="M895" s="10">
        <v>0.25369999999999998</v>
      </c>
      <c r="N895" s="10">
        <v>9</v>
      </c>
      <c r="O895" s="10">
        <v>157</v>
      </c>
      <c r="P895" s="10">
        <v>166</v>
      </c>
      <c r="Q895" s="13" t="s">
        <v>98</v>
      </c>
      <c r="R895" s="13" t="s">
        <v>79</v>
      </c>
      <c r="S895" s="10" t="s">
        <v>80</v>
      </c>
      <c r="T895" s="11" t="s">
        <v>88</v>
      </c>
      <c r="U895" s="15" t="s">
        <v>95</v>
      </c>
      <c r="V895" s="13" t="s">
        <v>93</v>
      </c>
      <c r="W895" s="15" t="s">
        <v>84</v>
      </c>
      <c r="X895" s="10" t="s">
        <v>85</v>
      </c>
      <c r="Y895" s="13" t="s">
        <v>99</v>
      </c>
      <c r="Z895">
        <f t="shared" si="79"/>
        <v>60</v>
      </c>
      <c r="AA895" s="39">
        <f t="shared" si="80"/>
        <v>69.988095238095241</v>
      </c>
      <c r="AB895" s="39">
        <f t="shared" si="81"/>
        <v>5604.1333308639596</v>
      </c>
      <c r="AC895">
        <f t="shared" si="84"/>
        <v>0.99995150701490321</v>
      </c>
      <c r="AD895">
        <f t="shared" si="82"/>
        <v>0.99992798749526035</v>
      </c>
      <c r="AE895">
        <f t="shared" si="83"/>
        <v>4109</v>
      </c>
    </row>
    <row r="896" spans="1:31">
      <c r="A896" s="9">
        <v>895</v>
      </c>
      <c r="B896" s="30">
        <v>40583</v>
      </c>
      <c r="C896" s="9">
        <v>1</v>
      </c>
      <c r="D896" s="9">
        <v>0</v>
      </c>
      <c r="E896" s="9">
        <v>2</v>
      </c>
      <c r="F896" s="9">
        <v>18</v>
      </c>
      <c r="G896" s="9" t="b">
        <v>0</v>
      </c>
      <c r="H896" s="9">
        <v>3</v>
      </c>
      <c r="I896" s="9">
        <v>2</v>
      </c>
      <c r="J896" s="9">
        <v>0.18</v>
      </c>
      <c r="K896" s="9">
        <v>0.16669999999999999</v>
      </c>
      <c r="L896" s="9">
        <v>0.47</v>
      </c>
      <c r="M896" s="9">
        <v>0.29849999999999999</v>
      </c>
      <c r="N896" s="9">
        <v>2</v>
      </c>
      <c r="O896" s="9">
        <v>168</v>
      </c>
      <c r="P896" s="9">
        <v>170</v>
      </c>
      <c r="Q896" s="13" t="s">
        <v>98</v>
      </c>
      <c r="R896" s="13" t="s">
        <v>79</v>
      </c>
      <c r="S896" s="9" t="s">
        <v>80</v>
      </c>
      <c r="T896" s="11" t="s">
        <v>88</v>
      </c>
      <c r="U896" s="15" t="s">
        <v>95</v>
      </c>
      <c r="V896" s="13" t="s">
        <v>93</v>
      </c>
      <c r="W896" s="15" t="s">
        <v>84</v>
      </c>
      <c r="X896" s="9" t="s">
        <v>85</v>
      </c>
      <c r="Y896" s="13" t="s">
        <v>99</v>
      </c>
      <c r="Z896">
        <f t="shared" si="79"/>
        <v>59</v>
      </c>
      <c r="AA896" s="39">
        <f t="shared" si="80"/>
        <v>69.988095238095241</v>
      </c>
      <c r="AB896" s="39">
        <f t="shared" si="81"/>
        <v>5630.3419820602148</v>
      </c>
      <c r="AC896">
        <f t="shared" si="84"/>
        <v>0.99995318762389473</v>
      </c>
      <c r="AD896">
        <f t="shared" si="82"/>
        <v>0.99992996451578497</v>
      </c>
      <c r="AE896">
        <f t="shared" si="83"/>
        <v>3943</v>
      </c>
    </row>
    <row r="897" spans="1:31">
      <c r="A897" s="10">
        <v>896</v>
      </c>
      <c r="B897" s="31">
        <v>40583</v>
      </c>
      <c r="C897" s="10">
        <v>1</v>
      </c>
      <c r="D897" s="10">
        <v>0</v>
      </c>
      <c r="E897" s="10">
        <v>2</v>
      </c>
      <c r="F897" s="10">
        <v>19</v>
      </c>
      <c r="G897" s="10" t="b">
        <v>0</v>
      </c>
      <c r="H897" s="10">
        <v>3</v>
      </c>
      <c r="I897" s="10">
        <v>3</v>
      </c>
      <c r="J897" s="10">
        <v>0.14000000000000001</v>
      </c>
      <c r="K897" s="10">
        <v>0.1212</v>
      </c>
      <c r="L897" s="10">
        <v>0.86</v>
      </c>
      <c r="M897" s="10">
        <v>0.25369999999999998</v>
      </c>
      <c r="N897" s="10">
        <v>1</v>
      </c>
      <c r="O897" s="10">
        <v>87</v>
      </c>
      <c r="P897" s="10">
        <v>88</v>
      </c>
      <c r="Q897" s="13" t="s">
        <v>98</v>
      </c>
      <c r="R897" s="13" t="s">
        <v>79</v>
      </c>
      <c r="S897" s="10" t="s">
        <v>80</v>
      </c>
      <c r="T897" s="12" t="s">
        <v>96</v>
      </c>
      <c r="U897" s="15" t="s">
        <v>95</v>
      </c>
      <c r="V897" s="13" t="s">
        <v>93</v>
      </c>
      <c r="W897" s="15" t="s">
        <v>84</v>
      </c>
      <c r="X897" s="10" t="s">
        <v>85</v>
      </c>
      <c r="Y897" s="13" t="s">
        <v>99</v>
      </c>
      <c r="Z897">
        <f t="shared" si="79"/>
        <v>58</v>
      </c>
      <c r="AA897" s="39">
        <f t="shared" si="80"/>
        <v>69.988095238095241</v>
      </c>
      <c r="AB897" s="39">
        <f t="shared" si="81"/>
        <v>5656.9248305068886</v>
      </c>
      <c r="AC897">
        <f t="shared" si="84"/>
        <v>0.99995522479327459</v>
      </c>
      <c r="AD897">
        <f t="shared" si="82"/>
        <v>0.99993167791028115</v>
      </c>
      <c r="AE897">
        <f t="shared" si="83"/>
        <v>3773</v>
      </c>
    </row>
    <row r="898" spans="1:31">
      <c r="A898" s="9">
        <v>897</v>
      </c>
      <c r="B898" s="30">
        <v>40583</v>
      </c>
      <c r="C898" s="9">
        <v>1</v>
      </c>
      <c r="D898" s="9">
        <v>0</v>
      </c>
      <c r="E898" s="9">
        <v>2</v>
      </c>
      <c r="F898" s="9">
        <v>20</v>
      </c>
      <c r="G898" s="9" t="b">
        <v>0</v>
      </c>
      <c r="H898" s="9">
        <v>3</v>
      </c>
      <c r="I898" s="9">
        <v>3</v>
      </c>
      <c r="J898" s="9">
        <v>0.14000000000000001</v>
      </c>
      <c r="K898" s="9">
        <v>0.1515</v>
      </c>
      <c r="L898" s="9">
        <v>0.86</v>
      </c>
      <c r="M898" s="9">
        <v>0.16420000000000001</v>
      </c>
      <c r="N898" s="9">
        <v>0</v>
      </c>
      <c r="O898" s="9">
        <v>84</v>
      </c>
      <c r="P898" s="9">
        <v>84</v>
      </c>
      <c r="Q898" s="13" t="s">
        <v>98</v>
      </c>
      <c r="R898" s="13" t="s">
        <v>79</v>
      </c>
      <c r="S898" s="9" t="s">
        <v>80</v>
      </c>
      <c r="T898" s="12" t="s">
        <v>96</v>
      </c>
      <c r="U898" s="16" t="s">
        <v>97</v>
      </c>
      <c r="V898" s="13" t="s">
        <v>93</v>
      </c>
      <c r="W898" s="15" t="s">
        <v>84</v>
      </c>
      <c r="X898" s="9" t="s">
        <v>85</v>
      </c>
      <c r="Y898" s="13" t="s">
        <v>99</v>
      </c>
      <c r="Z898">
        <f t="shared" ref="Z898:Z961" si="85">COUNTIF(Q898:Q1897,"Weekday")</f>
        <v>57</v>
      </c>
      <c r="AA898" s="39">
        <f t="shared" ref="AA898:AA961" si="86">AVERAGEIF(T898:T1897,"Clear",P898:P1897)</f>
        <v>69.988095238095241</v>
      </c>
      <c r="AB898" s="39">
        <f t="shared" ref="AB898:AB961" si="87">STDEV(P898:P1897)</f>
        <v>5683.8198103429431</v>
      </c>
      <c r="AC898">
        <f t="shared" si="84"/>
        <v>0.99995555246076939</v>
      </c>
      <c r="AD898">
        <f t="shared" ref="AD898:AD961" si="88">CORREL(L898:L1897,P898:P1897)</f>
        <v>0.99993169795491543</v>
      </c>
      <c r="AE898">
        <f t="shared" ref="AE898:AE961" si="89">SUMIF(Q898:Q1897,"Weekday",P898:P1897)</f>
        <v>3685</v>
      </c>
    </row>
    <row r="899" spans="1:31">
      <c r="A899" s="10">
        <v>898</v>
      </c>
      <c r="B899" s="31">
        <v>40583</v>
      </c>
      <c r="C899" s="10">
        <v>1</v>
      </c>
      <c r="D899" s="10">
        <v>0</v>
      </c>
      <c r="E899" s="10">
        <v>2</v>
      </c>
      <c r="F899" s="10">
        <v>21</v>
      </c>
      <c r="G899" s="10" t="b">
        <v>0</v>
      </c>
      <c r="H899" s="10">
        <v>3</v>
      </c>
      <c r="I899" s="10">
        <v>2</v>
      </c>
      <c r="J899" s="10">
        <v>0.14000000000000001</v>
      </c>
      <c r="K899" s="10">
        <v>0.1515</v>
      </c>
      <c r="L899" s="10">
        <v>0.86</v>
      </c>
      <c r="M899" s="10">
        <v>0.16420000000000001</v>
      </c>
      <c r="N899" s="10">
        <v>0</v>
      </c>
      <c r="O899" s="10">
        <v>83</v>
      </c>
      <c r="P899" s="10">
        <v>83</v>
      </c>
      <c r="Q899" s="13" t="s">
        <v>98</v>
      </c>
      <c r="R899" s="13" t="s">
        <v>79</v>
      </c>
      <c r="S899" s="10" t="s">
        <v>80</v>
      </c>
      <c r="T899" s="11" t="s">
        <v>88</v>
      </c>
      <c r="U899" s="16" t="s">
        <v>97</v>
      </c>
      <c r="V899" s="13" t="s">
        <v>93</v>
      </c>
      <c r="W899" s="15" t="s">
        <v>84</v>
      </c>
      <c r="X899" s="10" t="s">
        <v>85</v>
      </c>
      <c r="Y899" s="13" t="s">
        <v>99</v>
      </c>
      <c r="Z899">
        <f t="shared" si="85"/>
        <v>56</v>
      </c>
      <c r="AA899" s="39">
        <f t="shared" si="86"/>
        <v>69.988095238095241</v>
      </c>
      <c r="AB899" s="39">
        <f t="shared" si="87"/>
        <v>5711.0984192377182</v>
      </c>
      <c r="AC899">
        <f t="shared" si="84"/>
        <v>0.99995583189524107</v>
      </c>
      <c r="AD899">
        <f t="shared" si="88"/>
        <v>0.99993173659525136</v>
      </c>
      <c r="AE899">
        <f t="shared" si="89"/>
        <v>3601</v>
      </c>
    </row>
    <row r="900" spans="1:31">
      <c r="A900" s="9">
        <v>899</v>
      </c>
      <c r="B900" s="30">
        <v>40583</v>
      </c>
      <c r="C900" s="9">
        <v>1</v>
      </c>
      <c r="D900" s="9">
        <v>0</v>
      </c>
      <c r="E900" s="9">
        <v>2</v>
      </c>
      <c r="F900" s="9">
        <v>22</v>
      </c>
      <c r="G900" s="9" t="b">
        <v>0</v>
      </c>
      <c r="H900" s="9">
        <v>3</v>
      </c>
      <c r="I900" s="9">
        <v>3</v>
      </c>
      <c r="J900" s="9">
        <v>0.16</v>
      </c>
      <c r="K900" s="9">
        <v>0.16669999999999999</v>
      </c>
      <c r="L900" s="9">
        <v>0.8</v>
      </c>
      <c r="M900" s="9">
        <v>0.16420000000000001</v>
      </c>
      <c r="N900" s="9">
        <v>4</v>
      </c>
      <c r="O900" s="9">
        <v>42</v>
      </c>
      <c r="P900" s="9">
        <v>46</v>
      </c>
      <c r="Q900" s="13" t="s">
        <v>98</v>
      </c>
      <c r="R900" s="13" t="s">
        <v>79</v>
      </c>
      <c r="S900" s="9" t="s">
        <v>80</v>
      </c>
      <c r="T900" s="12" t="s">
        <v>96</v>
      </c>
      <c r="U900" s="16" t="s">
        <v>97</v>
      </c>
      <c r="V900" s="11" t="s">
        <v>87</v>
      </c>
      <c r="W900" s="15" t="s">
        <v>84</v>
      </c>
      <c r="X900" s="9" t="s">
        <v>85</v>
      </c>
      <c r="Y900" s="13" t="s">
        <v>99</v>
      </c>
      <c r="Z900">
        <f t="shared" si="85"/>
        <v>55</v>
      </c>
      <c r="AA900" s="39">
        <f t="shared" si="86"/>
        <v>69.988095238095241</v>
      </c>
      <c r="AB900" s="39">
        <f t="shared" si="87"/>
        <v>5738.7726642039434</v>
      </c>
      <c r="AC900">
        <f t="shared" si="84"/>
        <v>0.99995610382154498</v>
      </c>
      <c r="AD900">
        <f t="shared" si="88"/>
        <v>0.99993178135306271</v>
      </c>
      <c r="AE900">
        <f t="shared" si="89"/>
        <v>3518</v>
      </c>
    </row>
    <row r="901" spans="1:31">
      <c r="A901" s="10">
        <v>900</v>
      </c>
      <c r="B901" s="31">
        <v>40583</v>
      </c>
      <c r="C901" s="10">
        <v>1</v>
      </c>
      <c r="D901" s="10">
        <v>0</v>
      </c>
      <c r="E901" s="10">
        <v>2</v>
      </c>
      <c r="F901" s="10">
        <v>23</v>
      </c>
      <c r="G901" s="10" t="b">
        <v>0</v>
      </c>
      <c r="H901" s="10">
        <v>3</v>
      </c>
      <c r="I901" s="10">
        <v>3</v>
      </c>
      <c r="J901" s="10">
        <v>0.16</v>
      </c>
      <c r="K901" s="10">
        <v>0.1515</v>
      </c>
      <c r="L901" s="10">
        <v>0.8</v>
      </c>
      <c r="M901" s="10">
        <v>0.19400000000000001</v>
      </c>
      <c r="N901" s="10">
        <v>0</v>
      </c>
      <c r="O901" s="10">
        <v>37</v>
      </c>
      <c r="P901" s="10">
        <v>37</v>
      </c>
      <c r="Q901" s="13" t="s">
        <v>98</v>
      </c>
      <c r="R901" s="13" t="s">
        <v>79</v>
      </c>
      <c r="S901" s="10" t="s">
        <v>80</v>
      </c>
      <c r="T901" s="12" t="s">
        <v>96</v>
      </c>
      <c r="U901" s="16" t="s">
        <v>97</v>
      </c>
      <c r="V901" s="11" t="s">
        <v>87</v>
      </c>
      <c r="W901" s="15" t="s">
        <v>84</v>
      </c>
      <c r="X901" s="10" t="s">
        <v>85</v>
      </c>
      <c r="Y901" s="13" t="s">
        <v>99</v>
      </c>
      <c r="Z901">
        <f t="shared" si="85"/>
        <v>54</v>
      </c>
      <c r="AA901" s="39">
        <f t="shared" si="86"/>
        <v>69.988095238095241</v>
      </c>
      <c r="AB901" s="39">
        <f t="shared" si="87"/>
        <v>5766.8168828478483</v>
      </c>
      <c r="AC901">
        <f t="shared" si="84"/>
        <v>0.99995609937467744</v>
      </c>
      <c r="AD901">
        <f t="shared" si="88"/>
        <v>0.99993214356670979</v>
      </c>
      <c r="AE901">
        <f t="shared" si="89"/>
        <v>3472</v>
      </c>
    </row>
    <row r="902" spans="1:31">
      <c r="A902" s="9">
        <v>901</v>
      </c>
      <c r="B902" s="30">
        <v>40584</v>
      </c>
      <c r="C902" s="9">
        <v>1</v>
      </c>
      <c r="D902" s="9">
        <v>0</v>
      </c>
      <c r="E902" s="9">
        <v>2</v>
      </c>
      <c r="F902" s="9">
        <v>0</v>
      </c>
      <c r="G902" s="9" t="b">
        <v>0</v>
      </c>
      <c r="H902" s="9">
        <v>4</v>
      </c>
      <c r="I902" s="9">
        <v>3</v>
      </c>
      <c r="J902" s="9">
        <v>0.14000000000000001</v>
      </c>
      <c r="K902" s="9">
        <v>0.13639999999999999</v>
      </c>
      <c r="L902" s="9">
        <v>0.86</v>
      </c>
      <c r="M902" s="9">
        <v>0.19400000000000001</v>
      </c>
      <c r="N902" s="9">
        <v>0</v>
      </c>
      <c r="O902" s="9">
        <v>16</v>
      </c>
      <c r="P902" s="9">
        <v>16</v>
      </c>
      <c r="Q902" s="13" t="s">
        <v>98</v>
      </c>
      <c r="R902" s="13" t="s">
        <v>79</v>
      </c>
      <c r="S902" s="9" t="s">
        <v>80</v>
      </c>
      <c r="T902" s="12" t="s">
        <v>96</v>
      </c>
      <c r="U902" s="14" t="s">
        <v>82</v>
      </c>
      <c r="V902" s="12" t="s">
        <v>83</v>
      </c>
      <c r="W902" s="15" t="s">
        <v>84</v>
      </c>
      <c r="X902" s="9" t="s">
        <v>85</v>
      </c>
      <c r="Y902" s="13" t="s">
        <v>99</v>
      </c>
      <c r="Z902">
        <f t="shared" si="85"/>
        <v>53</v>
      </c>
      <c r="AA902" s="39">
        <f t="shared" si="86"/>
        <v>69.988095238095241</v>
      </c>
      <c r="AB902" s="39">
        <f t="shared" si="87"/>
        <v>5795.2669779179751</v>
      </c>
      <c r="AC902">
        <f t="shared" si="84"/>
        <v>0.99995610525402845</v>
      </c>
      <c r="AD902">
        <f t="shared" si="88"/>
        <v>0.9999326605176766</v>
      </c>
      <c r="AE902">
        <f t="shared" si="89"/>
        <v>3435</v>
      </c>
    </row>
    <row r="903" spans="1:31">
      <c r="A903" s="10">
        <v>902</v>
      </c>
      <c r="B903" s="31">
        <v>40584</v>
      </c>
      <c r="C903" s="10">
        <v>1</v>
      </c>
      <c r="D903" s="10">
        <v>0</v>
      </c>
      <c r="E903" s="10">
        <v>2</v>
      </c>
      <c r="F903" s="10">
        <v>1</v>
      </c>
      <c r="G903" s="10" t="b">
        <v>0</v>
      </c>
      <c r="H903" s="10">
        <v>4</v>
      </c>
      <c r="I903" s="10">
        <v>3</v>
      </c>
      <c r="J903" s="10">
        <v>0.14000000000000001</v>
      </c>
      <c r="K903" s="10">
        <v>0.1515</v>
      </c>
      <c r="L903" s="10">
        <v>0.8</v>
      </c>
      <c r="M903" s="10">
        <v>0.1343</v>
      </c>
      <c r="N903" s="10">
        <v>0</v>
      </c>
      <c r="O903" s="10">
        <v>7</v>
      </c>
      <c r="P903" s="10">
        <v>7</v>
      </c>
      <c r="Q903" s="13" t="s">
        <v>98</v>
      </c>
      <c r="R903" s="13" t="s">
        <v>79</v>
      </c>
      <c r="S903" s="10" t="s">
        <v>80</v>
      </c>
      <c r="T903" s="12" t="s">
        <v>96</v>
      </c>
      <c r="U903" s="14" t="s">
        <v>82</v>
      </c>
      <c r="V903" s="12" t="s">
        <v>83</v>
      </c>
      <c r="W903" s="15" t="s">
        <v>84</v>
      </c>
      <c r="X903" s="10" t="s">
        <v>85</v>
      </c>
      <c r="Y903" s="13" t="s">
        <v>99</v>
      </c>
      <c r="Z903">
        <f t="shared" si="85"/>
        <v>52</v>
      </c>
      <c r="AA903" s="39">
        <f t="shared" si="86"/>
        <v>69.988095238095241</v>
      </c>
      <c r="AB903" s="39">
        <f t="shared" si="87"/>
        <v>5824.1197067007297</v>
      </c>
      <c r="AC903">
        <f t="shared" si="84"/>
        <v>0.99995618543237275</v>
      </c>
      <c r="AD903">
        <f t="shared" si="88"/>
        <v>0.99993378159814583</v>
      </c>
      <c r="AE903">
        <f t="shared" si="89"/>
        <v>3419</v>
      </c>
    </row>
    <row r="904" spans="1:31">
      <c r="A904" s="9">
        <v>903</v>
      </c>
      <c r="B904" s="30">
        <v>40584</v>
      </c>
      <c r="C904" s="9">
        <v>1</v>
      </c>
      <c r="D904" s="9">
        <v>0</v>
      </c>
      <c r="E904" s="9">
        <v>2</v>
      </c>
      <c r="F904" s="9">
        <v>2</v>
      </c>
      <c r="G904" s="9" t="b">
        <v>0</v>
      </c>
      <c r="H904" s="9">
        <v>4</v>
      </c>
      <c r="I904" s="9">
        <v>3</v>
      </c>
      <c r="J904" s="9">
        <v>0.14000000000000001</v>
      </c>
      <c r="K904" s="9">
        <v>0.1515</v>
      </c>
      <c r="L904" s="9">
        <v>0.8</v>
      </c>
      <c r="M904" s="9">
        <v>0.1343</v>
      </c>
      <c r="N904" s="9">
        <v>0</v>
      </c>
      <c r="O904" s="9">
        <v>3</v>
      </c>
      <c r="P904" s="9">
        <v>3</v>
      </c>
      <c r="Q904" s="13" t="s">
        <v>98</v>
      </c>
      <c r="R904" s="13" t="s">
        <v>79</v>
      </c>
      <c r="S904" s="9" t="s">
        <v>80</v>
      </c>
      <c r="T904" s="12" t="s">
        <v>96</v>
      </c>
      <c r="U904" s="14" t="s">
        <v>82</v>
      </c>
      <c r="V904" s="12" t="s">
        <v>83</v>
      </c>
      <c r="W904" s="15" t="s">
        <v>84</v>
      </c>
      <c r="X904" s="9" t="s">
        <v>85</v>
      </c>
      <c r="Y904" s="13" t="s">
        <v>99</v>
      </c>
      <c r="Z904">
        <f t="shared" si="85"/>
        <v>51</v>
      </c>
      <c r="AA904" s="39">
        <f t="shared" si="86"/>
        <v>69.988095238095241</v>
      </c>
      <c r="AB904" s="39">
        <f t="shared" si="87"/>
        <v>5853.397619046782</v>
      </c>
      <c r="AC904">
        <f t="shared" si="84"/>
        <v>0.99995634446069737</v>
      </c>
      <c r="AD904">
        <f t="shared" si="88"/>
        <v>0.99993500582164929</v>
      </c>
      <c r="AE904">
        <f t="shared" si="89"/>
        <v>3412</v>
      </c>
    </row>
    <row r="905" spans="1:31">
      <c r="A905" s="10">
        <v>904</v>
      </c>
      <c r="B905" s="31">
        <v>40584</v>
      </c>
      <c r="C905" s="10">
        <v>1</v>
      </c>
      <c r="D905" s="10">
        <v>0</v>
      </c>
      <c r="E905" s="10">
        <v>2</v>
      </c>
      <c r="F905" s="10">
        <v>4</v>
      </c>
      <c r="G905" s="10" t="b">
        <v>0</v>
      </c>
      <c r="H905" s="10">
        <v>4</v>
      </c>
      <c r="I905" s="10">
        <v>2</v>
      </c>
      <c r="J905" s="10">
        <v>0.14000000000000001</v>
      </c>
      <c r="K905" s="10">
        <v>0.13639999999999999</v>
      </c>
      <c r="L905" s="10">
        <v>0.59</v>
      </c>
      <c r="M905" s="10">
        <v>0.22389999999999999</v>
      </c>
      <c r="N905" s="10">
        <v>0</v>
      </c>
      <c r="O905" s="10">
        <v>1</v>
      </c>
      <c r="P905" s="10">
        <v>1</v>
      </c>
      <c r="Q905" s="13" t="s">
        <v>98</v>
      </c>
      <c r="R905" s="13" t="s">
        <v>79</v>
      </c>
      <c r="S905" s="10" t="s">
        <v>80</v>
      </c>
      <c r="T905" s="11" t="s">
        <v>88</v>
      </c>
      <c r="U905" s="14" t="s">
        <v>82</v>
      </c>
      <c r="V905" s="12" t="s">
        <v>83</v>
      </c>
      <c r="W905" s="15" t="s">
        <v>84</v>
      </c>
      <c r="X905" s="10" t="s">
        <v>85</v>
      </c>
      <c r="Y905" s="13" t="s">
        <v>99</v>
      </c>
      <c r="Z905">
        <f t="shared" si="85"/>
        <v>50</v>
      </c>
      <c r="AA905" s="39">
        <f t="shared" si="86"/>
        <v>69.988095238095241</v>
      </c>
      <c r="AB905" s="39">
        <f t="shared" si="87"/>
        <v>5883.1169449542285</v>
      </c>
      <c r="AC905">
        <f t="shared" si="84"/>
        <v>0.99995654935812073</v>
      </c>
      <c r="AD905">
        <f t="shared" si="88"/>
        <v>0.99993636794459806</v>
      </c>
      <c r="AE905">
        <f t="shared" si="89"/>
        <v>3409</v>
      </c>
    </row>
    <row r="906" spans="1:31">
      <c r="A906" s="9">
        <v>905</v>
      </c>
      <c r="B906" s="30">
        <v>40584</v>
      </c>
      <c r="C906" s="9">
        <v>1</v>
      </c>
      <c r="D906" s="9">
        <v>0</v>
      </c>
      <c r="E906" s="9">
        <v>2</v>
      </c>
      <c r="F906" s="9">
        <v>5</v>
      </c>
      <c r="G906" s="9" t="b">
        <v>0</v>
      </c>
      <c r="H906" s="9">
        <v>4</v>
      </c>
      <c r="I906" s="9">
        <v>2</v>
      </c>
      <c r="J906" s="9">
        <v>0.12</v>
      </c>
      <c r="K906" s="9">
        <v>0.1212</v>
      </c>
      <c r="L906" s="9">
        <v>0.5</v>
      </c>
      <c r="M906" s="9">
        <v>0.22389999999999999</v>
      </c>
      <c r="N906" s="9">
        <v>0</v>
      </c>
      <c r="O906" s="9">
        <v>6</v>
      </c>
      <c r="P906" s="9">
        <v>6</v>
      </c>
      <c r="Q906" s="13" t="s">
        <v>98</v>
      </c>
      <c r="R906" s="13" t="s">
        <v>79</v>
      </c>
      <c r="S906" s="9" t="s">
        <v>80</v>
      </c>
      <c r="T906" s="11" t="s">
        <v>88</v>
      </c>
      <c r="U906" s="15" t="s">
        <v>89</v>
      </c>
      <c r="V906" s="12" t="s">
        <v>83</v>
      </c>
      <c r="W906" s="15" t="s">
        <v>84</v>
      </c>
      <c r="X906" s="9" t="s">
        <v>85</v>
      </c>
      <c r="Y906" s="13" t="s">
        <v>99</v>
      </c>
      <c r="Z906">
        <f t="shared" si="85"/>
        <v>49</v>
      </c>
      <c r="AA906" s="39">
        <f t="shared" si="86"/>
        <v>69.988095238095241</v>
      </c>
      <c r="AB906" s="39">
        <f t="shared" si="87"/>
        <v>5913.2912327745407</v>
      </c>
      <c r="AC906">
        <f t="shared" si="84"/>
        <v>0.99995678189928972</v>
      </c>
      <c r="AD906">
        <f t="shared" si="88"/>
        <v>0.99993726133420813</v>
      </c>
      <c r="AE906">
        <f t="shared" si="89"/>
        <v>3408</v>
      </c>
    </row>
    <row r="907" spans="1:31">
      <c r="A907" s="10">
        <v>906</v>
      </c>
      <c r="B907" s="31">
        <v>40584</v>
      </c>
      <c r="C907" s="10">
        <v>1</v>
      </c>
      <c r="D907" s="10">
        <v>0</v>
      </c>
      <c r="E907" s="10">
        <v>2</v>
      </c>
      <c r="F907" s="10">
        <v>6</v>
      </c>
      <c r="G907" s="10" t="b">
        <v>0</v>
      </c>
      <c r="H907" s="10">
        <v>4</v>
      </c>
      <c r="I907" s="10">
        <v>2</v>
      </c>
      <c r="J907" s="10">
        <v>0.12</v>
      </c>
      <c r="K907" s="10">
        <v>0.1212</v>
      </c>
      <c r="L907" s="10">
        <v>0.54</v>
      </c>
      <c r="M907" s="10">
        <v>0.28360000000000002</v>
      </c>
      <c r="N907" s="10">
        <v>0</v>
      </c>
      <c r="O907" s="10">
        <v>26</v>
      </c>
      <c r="P907" s="10">
        <v>26</v>
      </c>
      <c r="Q907" s="13" t="s">
        <v>98</v>
      </c>
      <c r="R907" s="13" t="s">
        <v>79</v>
      </c>
      <c r="S907" s="10" t="s">
        <v>80</v>
      </c>
      <c r="T907" s="11" t="s">
        <v>88</v>
      </c>
      <c r="U907" s="15" t="s">
        <v>89</v>
      </c>
      <c r="V907" s="12" t="s">
        <v>83</v>
      </c>
      <c r="W907" s="15" t="s">
        <v>84</v>
      </c>
      <c r="X907" s="10" t="s">
        <v>85</v>
      </c>
      <c r="Y907" s="13" t="s">
        <v>99</v>
      </c>
      <c r="Z907">
        <f t="shared" si="85"/>
        <v>48</v>
      </c>
      <c r="AA907" s="39">
        <f t="shared" si="86"/>
        <v>69.988095238095241</v>
      </c>
      <c r="AB907" s="39">
        <f t="shared" si="87"/>
        <v>5943.9405462566847</v>
      </c>
      <c r="AC907">
        <f t="shared" si="84"/>
        <v>0.99995690754303124</v>
      </c>
      <c r="AD907">
        <f t="shared" si="88"/>
        <v>0.99993787362453013</v>
      </c>
      <c r="AE907">
        <f t="shared" si="89"/>
        <v>3402</v>
      </c>
    </row>
    <row r="908" spans="1:31">
      <c r="A908" s="9">
        <v>907</v>
      </c>
      <c r="B908" s="30">
        <v>40584</v>
      </c>
      <c r="C908" s="9">
        <v>1</v>
      </c>
      <c r="D908" s="9">
        <v>0</v>
      </c>
      <c r="E908" s="9">
        <v>2</v>
      </c>
      <c r="F908" s="9">
        <v>7</v>
      </c>
      <c r="G908" s="9" t="b">
        <v>0</v>
      </c>
      <c r="H908" s="9">
        <v>4</v>
      </c>
      <c r="I908" s="9">
        <v>1</v>
      </c>
      <c r="J908" s="9">
        <v>0.1</v>
      </c>
      <c r="K908" s="9">
        <v>7.5800000000000006E-2</v>
      </c>
      <c r="L908" s="9">
        <v>0.5</v>
      </c>
      <c r="M908" s="9">
        <v>0.41789999999999999</v>
      </c>
      <c r="N908" s="9">
        <v>0</v>
      </c>
      <c r="O908" s="9">
        <v>99</v>
      </c>
      <c r="P908" s="9">
        <v>99</v>
      </c>
      <c r="Q908" s="13" t="s">
        <v>98</v>
      </c>
      <c r="R908" s="13" t="s">
        <v>79</v>
      </c>
      <c r="S908" s="9" t="s">
        <v>80</v>
      </c>
      <c r="T908" s="13" t="s">
        <v>81</v>
      </c>
      <c r="U908" s="15" t="s">
        <v>89</v>
      </c>
      <c r="V908" s="13" t="s">
        <v>93</v>
      </c>
      <c r="W908" s="15" t="s">
        <v>84</v>
      </c>
      <c r="X908" s="9" t="s">
        <v>85</v>
      </c>
      <c r="Y908" s="13" t="s">
        <v>99</v>
      </c>
      <c r="Z908">
        <f t="shared" si="85"/>
        <v>47</v>
      </c>
      <c r="AA908" s="39">
        <f t="shared" si="86"/>
        <v>69.988095238095241</v>
      </c>
      <c r="AB908" s="39">
        <f t="shared" si="87"/>
        <v>5975.0951133944091</v>
      </c>
      <c r="AC908">
        <f t="shared" si="84"/>
        <v>0.99995691668803277</v>
      </c>
      <c r="AD908">
        <f t="shared" si="88"/>
        <v>0.99993822555143719</v>
      </c>
      <c r="AE908">
        <f t="shared" si="89"/>
        <v>3376</v>
      </c>
    </row>
    <row r="909" spans="1:31">
      <c r="A909" s="10">
        <v>908</v>
      </c>
      <c r="B909" s="31">
        <v>40584</v>
      </c>
      <c r="C909" s="10">
        <v>1</v>
      </c>
      <c r="D909" s="10">
        <v>0</v>
      </c>
      <c r="E909" s="10">
        <v>2</v>
      </c>
      <c r="F909" s="10">
        <v>8</v>
      </c>
      <c r="G909" s="10" t="b">
        <v>0</v>
      </c>
      <c r="H909" s="10">
        <v>4</v>
      </c>
      <c r="I909" s="10">
        <v>1</v>
      </c>
      <c r="J909" s="10">
        <v>0.1</v>
      </c>
      <c r="K909" s="10">
        <v>7.5800000000000006E-2</v>
      </c>
      <c r="L909" s="10">
        <v>0.49</v>
      </c>
      <c r="M909" s="10">
        <v>0.32840000000000003</v>
      </c>
      <c r="N909" s="10">
        <v>5</v>
      </c>
      <c r="O909" s="10">
        <v>173</v>
      </c>
      <c r="P909" s="10">
        <v>178</v>
      </c>
      <c r="Q909" s="13" t="s">
        <v>98</v>
      </c>
      <c r="R909" s="13" t="s">
        <v>79</v>
      </c>
      <c r="S909" s="10" t="s">
        <v>80</v>
      </c>
      <c r="T909" s="13" t="s">
        <v>81</v>
      </c>
      <c r="U909" s="15" t="s">
        <v>89</v>
      </c>
      <c r="V909" s="13" t="s">
        <v>93</v>
      </c>
      <c r="W909" s="15" t="s">
        <v>84</v>
      </c>
      <c r="X909" s="10" t="s">
        <v>85</v>
      </c>
      <c r="Y909" s="13" t="s">
        <v>99</v>
      </c>
      <c r="Z909">
        <f t="shared" si="85"/>
        <v>46</v>
      </c>
      <c r="AA909" s="39">
        <f t="shared" si="86"/>
        <v>69.638554216867476</v>
      </c>
      <c r="AB909" s="39">
        <f t="shared" si="87"/>
        <v>6006.8264879375793</v>
      </c>
      <c r="AC909">
        <f t="shared" si="84"/>
        <v>0.99995762334397431</v>
      </c>
      <c r="AD909">
        <f t="shared" si="88"/>
        <v>0.99993833398057796</v>
      </c>
      <c r="AE909">
        <f t="shared" si="89"/>
        <v>3277</v>
      </c>
    </row>
    <row r="910" spans="1:31">
      <c r="A910" s="9">
        <v>909</v>
      </c>
      <c r="B910" s="30">
        <v>40584</v>
      </c>
      <c r="C910" s="9">
        <v>1</v>
      </c>
      <c r="D910" s="9">
        <v>0</v>
      </c>
      <c r="E910" s="9">
        <v>2</v>
      </c>
      <c r="F910" s="9">
        <v>9</v>
      </c>
      <c r="G910" s="9" t="b">
        <v>0</v>
      </c>
      <c r="H910" s="9">
        <v>4</v>
      </c>
      <c r="I910" s="9">
        <v>1</v>
      </c>
      <c r="J910" s="9">
        <v>0.12</v>
      </c>
      <c r="K910" s="9">
        <v>0.1061</v>
      </c>
      <c r="L910" s="9">
        <v>0.42</v>
      </c>
      <c r="M910" s="9">
        <v>0.35820000000000002</v>
      </c>
      <c r="N910" s="9">
        <v>1</v>
      </c>
      <c r="O910" s="9">
        <v>121</v>
      </c>
      <c r="P910" s="9">
        <v>122</v>
      </c>
      <c r="Q910" s="13" t="s">
        <v>98</v>
      </c>
      <c r="R910" s="13" t="s">
        <v>79</v>
      </c>
      <c r="S910" s="9" t="s">
        <v>80</v>
      </c>
      <c r="T910" s="13" t="s">
        <v>81</v>
      </c>
      <c r="U910" s="15" t="s">
        <v>89</v>
      </c>
      <c r="V910" s="13" t="s">
        <v>93</v>
      </c>
      <c r="W910" s="15" t="s">
        <v>84</v>
      </c>
      <c r="X910" s="9" t="s">
        <v>85</v>
      </c>
      <c r="Y910" s="13" t="s">
        <v>99</v>
      </c>
      <c r="Z910">
        <f t="shared" si="85"/>
        <v>45</v>
      </c>
      <c r="AA910" s="39">
        <f t="shared" si="86"/>
        <v>68.317073170731703</v>
      </c>
      <c r="AB910" s="39">
        <f t="shared" si="87"/>
        <v>6039.1477646852345</v>
      </c>
      <c r="AC910">
        <f t="shared" si="84"/>
        <v>0.99996093980512646</v>
      </c>
      <c r="AD910">
        <f t="shared" si="88"/>
        <v>0.99994008296491588</v>
      </c>
      <c r="AE910">
        <f t="shared" si="89"/>
        <v>3099</v>
      </c>
    </row>
    <row r="911" spans="1:31">
      <c r="A911" s="10">
        <v>910</v>
      </c>
      <c r="B911" s="31">
        <v>40584</v>
      </c>
      <c r="C911" s="10">
        <v>1</v>
      </c>
      <c r="D911" s="10">
        <v>0</v>
      </c>
      <c r="E911" s="10">
        <v>2</v>
      </c>
      <c r="F911" s="10">
        <v>10</v>
      </c>
      <c r="G911" s="10" t="b">
        <v>0</v>
      </c>
      <c r="H911" s="10">
        <v>4</v>
      </c>
      <c r="I911" s="10">
        <v>1</v>
      </c>
      <c r="J911" s="10">
        <v>0.12</v>
      </c>
      <c r="K911" s="10">
        <v>0.1061</v>
      </c>
      <c r="L911" s="10">
        <v>0.42</v>
      </c>
      <c r="M911" s="10">
        <v>0.29849999999999999</v>
      </c>
      <c r="N911" s="10">
        <v>1</v>
      </c>
      <c r="O911" s="10">
        <v>34</v>
      </c>
      <c r="P911" s="10">
        <v>35</v>
      </c>
      <c r="Q911" s="13" t="s">
        <v>98</v>
      </c>
      <c r="R911" s="13" t="s">
        <v>79</v>
      </c>
      <c r="S911" s="10" t="s">
        <v>80</v>
      </c>
      <c r="T911" s="13" t="s">
        <v>81</v>
      </c>
      <c r="U911" s="13" t="s">
        <v>91</v>
      </c>
      <c r="V911" s="11" t="s">
        <v>87</v>
      </c>
      <c r="W911" s="15" t="s">
        <v>84</v>
      </c>
      <c r="X911" s="10" t="s">
        <v>85</v>
      </c>
      <c r="Y911" s="13" t="s">
        <v>99</v>
      </c>
      <c r="Z911">
        <f t="shared" si="85"/>
        <v>44</v>
      </c>
      <c r="AA911" s="39">
        <f t="shared" si="86"/>
        <v>67.654320987654316</v>
      </c>
      <c r="AB911" s="39">
        <f t="shared" si="87"/>
        <v>6071.940830108465</v>
      </c>
      <c r="AC911">
        <f t="shared" si="84"/>
        <v>0.99996211348689867</v>
      </c>
      <c r="AD911">
        <f t="shared" si="88"/>
        <v>0.99994062087586166</v>
      </c>
      <c r="AE911">
        <f t="shared" si="89"/>
        <v>2977</v>
      </c>
    </row>
    <row r="912" spans="1:31">
      <c r="A912" s="9">
        <v>911</v>
      </c>
      <c r="B912" s="30">
        <v>40584</v>
      </c>
      <c r="C912" s="9">
        <v>1</v>
      </c>
      <c r="D912" s="9">
        <v>0</v>
      </c>
      <c r="E912" s="9">
        <v>2</v>
      </c>
      <c r="F912" s="9">
        <v>11</v>
      </c>
      <c r="G912" s="9" t="b">
        <v>0</v>
      </c>
      <c r="H912" s="9">
        <v>4</v>
      </c>
      <c r="I912" s="9">
        <v>1</v>
      </c>
      <c r="J912" s="9">
        <v>0.14000000000000001</v>
      </c>
      <c r="K912" s="9">
        <v>0.1212</v>
      </c>
      <c r="L912" s="9">
        <v>0.39</v>
      </c>
      <c r="M912" s="9">
        <v>0.35820000000000002</v>
      </c>
      <c r="N912" s="9">
        <v>1</v>
      </c>
      <c r="O912" s="9">
        <v>44</v>
      </c>
      <c r="P912" s="9">
        <v>45</v>
      </c>
      <c r="Q912" s="13" t="s">
        <v>98</v>
      </c>
      <c r="R912" s="13" t="s">
        <v>79</v>
      </c>
      <c r="S912" s="9" t="s">
        <v>80</v>
      </c>
      <c r="T912" s="13" t="s">
        <v>81</v>
      </c>
      <c r="U912" s="13" t="s">
        <v>91</v>
      </c>
      <c r="V912" s="11" t="s">
        <v>87</v>
      </c>
      <c r="W912" s="15" t="s">
        <v>84</v>
      </c>
      <c r="X912" s="9" t="s">
        <v>85</v>
      </c>
      <c r="Y912" s="13" t="s">
        <v>99</v>
      </c>
      <c r="Z912">
        <f t="shared" si="85"/>
        <v>43</v>
      </c>
      <c r="AA912" s="39">
        <f t="shared" si="86"/>
        <v>68.0625</v>
      </c>
      <c r="AB912" s="39">
        <f t="shared" si="87"/>
        <v>6105.1745976579305</v>
      </c>
      <c r="AC912">
        <f t="shared" ref="AC912:AC975" si="90">CORREL(J912:J1911,P912:P1911)</f>
        <v>0.99996210929702023</v>
      </c>
      <c r="AD912">
        <f t="shared" si="88"/>
        <v>0.99994071694253506</v>
      </c>
      <c r="AE912">
        <f t="shared" si="89"/>
        <v>2942</v>
      </c>
    </row>
    <row r="913" spans="1:31">
      <c r="A913" s="10">
        <v>912</v>
      </c>
      <c r="B913" s="31">
        <v>40584</v>
      </c>
      <c r="C913" s="10">
        <v>1</v>
      </c>
      <c r="D913" s="10">
        <v>0</v>
      </c>
      <c r="E913" s="10">
        <v>2</v>
      </c>
      <c r="F913" s="10">
        <v>12</v>
      </c>
      <c r="G913" s="10" t="b">
        <v>0</v>
      </c>
      <c r="H913" s="10">
        <v>4</v>
      </c>
      <c r="I913" s="10">
        <v>1</v>
      </c>
      <c r="J913" s="10">
        <v>0.16</v>
      </c>
      <c r="K913" s="10">
        <v>0.13639999999999999</v>
      </c>
      <c r="L913" s="10">
        <v>0.34</v>
      </c>
      <c r="M913" s="10">
        <v>0.3881</v>
      </c>
      <c r="N913" s="10">
        <v>4</v>
      </c>
      <c r="O913" s="10">
        <v>65</v>
      </c>
      <c r="P913" s="10">
        <v>69</v>
      </c>
      <c r="Q913" s="13" t="s">
        <v>98</v>
      </c>
      <c r="R913" s="13" t="s">
        <v>79</v>
      </c>
      <c r="S913" s="10" t="s">
        <v>80</v>
      </c>
      <c r="T913" s="13" t="s">
        <v>81</v>
      </c>
      <c r="U913" s="11" t="s">
        <v>92</v>
      </c>
      <c r="V913" s="13" t="s">
        <v>93</v>
      </c>
      <c r="W913" s="15" t="s">
        <v>84</v>
      </c>
      <c r="X913" s="10" t="s">
        <v>85</v>
      </c>
      <c r="Y913" s="13" t="s">
        <v>99</v>
      </c>
      <c r="Z913">
        <f t="shared" si="85"/>
        <v>42</v>
      </c>
      <c r="AA913" s="39">
        <f t="shared" si="86"/>
        <v>68.35443037974683</v>
      </c>
      <c r="AB913" s="39">
        <f t="shared" si="87"/>
        <v>6138.9724334636385</v>
      </c>
      <c r="AC913">
        <f t="shared" si="90"/>
        <v>0.99996211114008093</v>
      </c>
      <c r="AD913">
        <f t="shared" si="88"/>
        <v>0.99994073681508211</v>
      </c>
      <c r="AE913">
        <f t="shared" si="89"/>
        <v>2897</v>
      </c>
    </row>
    <row r="914" spans="1:31">
      <c r="A914" s="9">
        <v>913</v>
      </c>
      <c r="B914" s="30">
        <v>40584</v>
      </c>
      <c r="C914" s="9">
        <v>1</v>
      </c>
      <c r="D914" s="9">
        <v>0</v>
      </c>
      <c r="E914" s="9">
        <v>2</v>
      </c>
      <c r="F914" s="9">
        <v>13</v>
      </c>
      <c r="G914" s="9" t="b">
        <v>0</v>
      </c>
      <c r="H914" s="9">
        <v>4</v>
      </c>
      <c r="I914" s="9">
        <v>1</v>
      </c>
      <c r="J914" s="9">
        <v>0.18</v>
      </c>
      <c r="K914" s="9">
        <v>0.16669999999999999</v>
      </c>
      <c r="L914" s="9">
        <v>0.28999999999999998</v>
      </c>
      <c r="M914" s="9">
        <v>0.29849999999999999</v>
      </c>
      <c r="N914" s="9">
        <v>3</v>
      </c>
      <c r="O914" s="9">
        <v>59</v>
      </c>
      <c r="P914" s="9">
        <v>62</v>
      </c>
      <c r="Q914" s="13" t="s">
        <v>98</v>
      </c>
      <c r="R914" s="13" t="s">
        <v>79</v>
      </c>
      <c r="S914" s="9" t="s">
        <v>80</v>
      </c>
      <c r="T914" s="13" t="s">
        <v>81</v>
      </c>
      <c r="U914" s="11" t="s">
        <v>92</v>
      </c>
      <c r="V914" s="11" t="s">
        <v>87</v>
      </c>
      <c r="W914" s="15" t="s">
        <v>84</v>
      </c>
      <c r="X914" s="9" t="s">
        <v>85</v>
      </c>
      <c r="Y914" s="13" t="s">
        <v>99</v>
      </c>
      <c r="Z914">
        <f t="shared" si="85"/>
        <v>41</v>
      </c>
      <c r="AA914" s="39">
        <f t="shared" si="86"/>
        <v>68.34615384615384</v>
      </c>
      <c r="AB914" s="39">
        <f t="shared" si="87"/>
        <v>6173.3672091641238</v>
      </c>
      <c r="AC914">
        <f t="shared" si="90"/>
        <v>0.99996220176589268</v>
      </c>
      <c r="AD914">
        <f t="shared" si="88"/>
        <v>0.99994076466180426</v>
      </c>
      <c r="AE914">
        <f t="shared" si="89"/>
        <v>2828</v>
      </c>
    </row>
    <row r="915" spans="1:31">
      <c r="A915" s="10">
        <v>914</v>
      </c>
      <c r="B915" s="31">
        <v>40584</v>
      </c>
      <c r="C915" s="10">
        <v>1</v>
      </c>
      <c r="D915" s="10">
        <v>0</v>
      </c>
      <c r="E915" s="10">
        <v>2</v>
      </c>
      <c r="F915" s="10">
        <v>14</v>
      </c>
      <c r="G915" s="10" t="b">
        <v>0</v>
      </c>
      <c r="H915" s="10">
        <v>4</v>
      </c>
      <c r="I915" s="10">
        <v>1</v>
      </c>
      <c r="J915" s="10">
        <v>0.2</v>
      </c>
      <c r="K915" s="10">
        <v>0.18179999999999999</v>
      </c>
      <c r="L915" s="10">
        <v>0.27</v>
      </c>
      <c r="M915" s="10">
        <v>0.28360000000000002</v>
      </c>
      <c r="N915" s="10">
        <v>6</v>
      </c>
      <c r="O915" s="10">
        <v>42</v>
      </c>
      <c r="P915" s="10">
        <v>48</v>
      </c>
      <c r="Q915" s="13" t="s">
        <v>98</v>
      </c>
      <c r="R915" s="13" t="s">
        <v>79</v>
      </c>
      <c r="S915" s="10" t="s">
        <v>80</v>
      </c>
      <c r="T915" s="13" t="s">
        <v>81</v>
      </c>
      <c r="U915" s="13" t="s">
        <v>94</v>
      </c>
      <c r="V915" s="11" t="s">
        <v>87</v>
      </c>
      <c r="W915" s="15" t="s">
        <v>84</v>
      </c>
      <c r="X915" s="10" t="s">
        <v>85</v>
      </c>
      <c r="Y915" s="13" t="s">
        <v>99</v>
      </c>
      <c r="Z915">
        <f t="shared" si="85"/>
        <v>40</v>
      </c>
      <c r="AA915" s="39">
        <f t="shared" si="86"/>
        <v>68.428571428571431</v>
      </c>
      <c r="AB915" s="39">
        <f t="shared" si="87"/>
        <v>6208.3380547589577</v>
      </c>
      <c r="AC915">
        <f t="shared" si="90"/>
        <v>0.99996222141754021</v>
      </c>
      <c r="AD915">
        <f t="shared" si="88"/>
        <v>0.99994078427640043</v>
      </c>
      <c r="AE915">
        <f t="shared" si="89"/>
        <v>2766</v>
      </c>
    </row>
    <row r="916" spans="1:31">
      <c r="A916" s="9">
        <v>915</v>
      </c>
      <c r="B916" s="30">
        <v>40584</v>
      </c>
      <c r="C916" s="9">
        <v>1</v>
      </c>
      <c r="D916" s="9">
        <v>0</v>
      </c>
      <c r="E916" s="9">
        <v>2</v>
      </c>
      <c r="F916" s="9">
        <v>15</v>
      </c>
      <c r="G916" s="9" t="b">
        <v>0</v>
      </c>
      <c r="H916" s="9">
        <v>4</v>
      </c>
      <c r="I916" s="9">
        <v>1</v>
      </c>
      <c r="J916" s="9">
        <v>0.2</v>
      </c>
      <c r="K916" s="9">
        <v>0.19700000000000001</v>
      </c>
      <c r="L916" s="9">
        <v>0.25</v>
      </c>
      <c r="M916" s="9">
        <v>0.25369999999999998</v>
      </c>
      <c r="N916" s="9">
        <v>0</v>
      </c>
      <c r="O916" s="9">
        <v>50</v>
      </c>
      <c r="P916" s="9">
        <v>50</v>
      </c>
      <c r="Q916" s="13" t="s">
        <v>98</v>
      </c>
      <c r="R916" s="13" t="s">
        <v>79</v>
      </c>
      <c r="S916" s="9" t="s">
        <v>80</v>
      </c>
      <c r="T916" s="13" t="s">
        <v>81</v>
      </c>
      <c r="U916" s="13" t="s">
        <v>94</v>
      </c>
      <c r="V916" s="11" t="s">
        <v>87</v>
      </c>
      <c r="W916" s="15" t="s">
        <v>84</v>
      </c>
      <c r="X916" s="9" t="s">
        <v>85</v>
      </c>
      <c r="Y916" s="13" t="s">
        <v>99</v>
      </c>
      <c r="Z916">
        <f t="shared" si="85"/>
        <v>39</v>
      </c>
      <c r="AA916" s="39">
        <f t="shared" si="86"/>
        <v>68.69736842105263</v>
      </c>
      <c r="AB916" s="39">
        <f t="shared" si="87"/>
        <v>6243.8922520084589</v>
      </c>
      <c r="AC916">
        <f t="shared" si="90"/>
        <v>0.99996222299691284</v>
      </c>
      <c r="AD916">
        <f t="shared" si="88"/>
        <v>0.99994077639762524</v>
      </c>
      <c r="AE916">
        <f t="shared" si="89"/>
        <v>2718</v>
      </c>
    </row>
    <row r="917" spans="1:31">
      <c r="A917" s="10">
        <v>916</v>
      </c>
      <c r="B917" s="31">
        <v>40584</v>
      </c>
      <c r="C917" s="10">
        <v>1</v>
      </c>
      <c r="D917" s="10">
        <v>0</v>
      </c>
      <c r="E917" s="10">
        <v>2</v>
      </c>
      <c r="F917" s="10">
        <v>16</v>
      </c>
      <c r="G917" s="10" t="b">
        <v>0</v>
      </c>
      <c r="H917" s="10">
        <v>4</v>
      </c>
      <c r="I917" s="10">
        <v>1</v>
      </c>
      <c r="J917" s="10">
        <v>0.2</v>
      </c>
      <c r="K917" s="10">
        <v>0.18179999999999999</v>
      </c>
      <c r="L917" s="10">
        <v>0.27</v>
      </c>
      <c r="M917" s="10">
        <v>0.29849999999999999</v>
      </c>
      <c r="N917" s="10">
        <v>4</v>
      </c>
      <c r="O917" s="10">
        <v>76</v>
      </c>
      <c r="P917" s="10">
        <v>80</v>
      </c>
      <c r="Q917" s="13" t="s">
        <v>98</v>
      </c>
      <c r="R917" s="13" t="s">
        <v>79</v>
      </c>
      <c r="S917" s="10" t="s">
        <v>80</v>
      </c>
      <c r="T917" s="13" t="s">
        <v>81</v>
      </c>
      <c r="U917" s="13" t="s">
        <v>94</v>
      </c>
      <c r="V917" s="13" t="s">
        <v>93</v>
      </c>
      <c r="W917" s="15" t="s">
        <v>84</v>
      </c>
      <c r="X917" s="10" t="s">
        <v>85</v>
      </c>
      <c r="Y917" s="13" t="s">
        <v>99</v>
      </c>
      <c r="Z917">
        <f t="shared" si="85"/>
        <v>38</v>
      </c>
      <c r="AA917" s="39">
        <f t="shared" si="86"/>
        <v>68.946666666666673</v>
      </c>
      <c r="AB917" s="39">
        <f t="shared" si="87"/>
        <v>6280.0669695580527</v>
      </c>
      <c r="AC917">
        <f t="shared" si="90"/>
        <v>0.99996222113220357</v>
      </c>
      <c r="AD917">
        <f t="shared" si="88"/>
        <v>0.99994077278934801</v>
      </c>
      <c r="AE917">
        <f t="shared" si="89"/>
        <v>2668</v>
      </c>
    </row>
    <row r="918" spans="1:31">
      <c r="A918" s="9">
        <v>917</v>
      </c>
      <c r="B918" s="30">
        <v>40584</v>
      </c>
      <c r="C918" s="9">
        <v>1</v>
      </c>
      <c r="D918" s="9">
        <v>0</v>
      </c>
      <c r="E918" s="9">
        <v>2</v>
      </c>
      <c r="F918" s="9">
        <v>17</v>
      </c>
      <c r="G918" s="9" t="b">
        <v>0</v>
      </c>
      <c r="H918" s="9">
        <v>4</v>
      </c>
      <c r="I918" s="9">
        <v>1</v>
      </c>
      <c r="J918" s="9">
        <v>0.18</v>
      </c>
      <c r="K918" s="9">
        <v>0.18179999999999999</v>
      </c>
      <c r="L918" s="9">
        <v>0.26</v>
      </c>
      <c r="M918" s="9">
        <v>0.19400000000000001</v>
      </c>
      <c r="N918" s="9">
        <v>6</v>
      </c>
      <c r="O918" s="9">
        <v>159</v>
      </c>
      <c r="P918" s="9">
        <v>165</v>
      </c>
      <c r="Q918" s="13" t="s">
        <v>98</v>
      </c>
      <c r="R918" s="13" t="s">
        <v>79</v>
      </c>
      <c r="S918" s="9" t="s">
        <v>80</v>
      </c>
      <c r="T918" s="13" t="s">
        <v>81</v>
      </c>
      <c r="U918" s="15" t="s">
        <v>95</v>
      </c>
      <c r="V918" s="13" t="s">
        <v>93</v>
      </c>
      <c r="W918" s="15" t="s">
        <v>84</v>
      </c>
      <c r="X918" s="9" t="s">
        <v>85</v>
      </c>
      <c r="Y918" s="13" t="s">
        <v>99</v>
      </c>
      <c r="Z918">
        <f t="shared" si="85"/>
        <v>37</v>
      </c>
      <c r="AA918" s="39">
        <f t="shared" si="86"/>
        <v>68.797297297297291</v>
      </c>
      <c r="AB918" s="39">
        <f t="shared" si="87"/>
        <v>6316.9166757172898</v>
      </c>
      <c r="AC918">
        <f t="shared" si="90"/>
        <v>0.99996231135602143</v>
      </c>
      <c r="AD918">
        <f t="shared" si="88"/>
        <v>0.99994093648305493</v>
      </c>
      <c r="AE918">
        <f t="shared" si="89"/>
        <v>2588</v>
      </c>
    </row>
    <row r="919" spans="1:31">
      <c r="A919" s="10">
        <v>918</v>
      </c>
      <c r="B919" s="31">
        <v>40584</v>
      </c>
      <c r="C919" s="10">
        <v>1</v>
      </c>
      <c r="D919" s="10">
        <v>0</v>
      </c>
      <c r="E919" s="10">
        <v>2</v>
      </c>
      <c r="F919" s="10">
        <v>18</v>
      </c>
      <c r="G919" s="10" t="b">
        <v>0</v>
      </c>
      <c r="H919" s="10">
        <v>4</v>
      </c>
      <c r="I919" s="10">
        <v>1</v>
      </c>
      <c r="J919" s="10">
        <v>0.16</v>
      </c>
      <c r="K919" s="10">
        <v>0.18179999999999999</v>
      </c>
      <c r="L919" s="10">
        <v>0.28000000000000003</v>
      </c>
      <c r="M919" s="10">
        <v>0.1343</v>
      </c>
      <c r="N919" s="10">
        <v>3</v>
      </c>
      <c r="O919" s="10">
        <v>157</v>
      </c>
      <c r="P919" s="10">
        <v>160</v>
      </c>
      <c r="Q919" s="13" t="s">
        <v>98</v>
      </c>
      <c r="R919" s="13" t="s">
        <v>79</v>
      </c>
      <c r="S919" s="10" t="s">
        <v>80</v>
      </c>
      <c r="T919" s="13" t="s">
        <v>81</v>
      </c>
      <c r="U919" s="15" t="s">
        <v>95</v>
      </c>
      <c r="V919" s="13" t="s">
        <v>93</v>
      </c>
      <c r="W919" s="15" t="s">
        <v>84</v>
      </c>
      <c r="X919" s="10" t="s">
        <v>85</v>
      </c>
      <c r="Y919" s="13" t="s">
        <v>99</v>
      </c>
      <c r="Z919">
        <f t="shared" si="85"/>
        <v>36</v>
      </c>
      <c r="AA919" s="39">
        <f t="shared" si="86"/>
        <v>67.479452054794521</v>
      </c>
      <c r="AB919" s="39">
        <f t="shared" si="87"/>
        <v>6354.5254871138732</v>
      </c>
      <c r="AC919">
        <f t="shared" si="90"/>
        <v>0.99996434207341467</v>
      </c>
      <c r="AD919">
        <f t="shared" si="88"/>
        <v>0.99994310887137761</v>
      </c>
      <c r="AE919">
        <f t="shared" si="89"/>
        <v>2423</v>
      </c>
    </row>
    <row r="920" spans="1:31">
      <c r="A920" s="9">
        <v>919</v>
      </c>
      <c r="B920" s="30">
        <v>40584</v>
      </c>
      <c r="C920" s="9">
        <v>1</v>
      </c>
      <c r="D920" s="9">
        <v>0</v>
      </c>
      <c r="E920" s="9">
        <v>2</v>
      </c>
      <c r="F920" s="9">
        <v>19</v>
      </c>
      <c r="G920" s="9" t="b">
        <v>0</v>
      </c>
      <c r="H920" s="9">
        <v>4</v>
      </c>
      <c r="I920" s="9">
        <v>1</v>
      </c>
      <c r="J920" s="9">
        <v>0.14000000000000001</v>
      </c>
      <c r="K920" s="9">
        <v>0.16669999999999999</v>
      </c>
      <c r="L920" s="9">
        <v>0.28000000000000003</v>
      </c>
      <c r="M920" s="9">
        <v>0.1045</v>
      </c>
      <c r="N920" s="9">
        <v>2</v>
      </c>
      <c r="O920" s="9">
        <v>110</v>
      </c>
      <c r="P920" s="9">
        <v>112</v>
      </c>
      <c r="Q920" s="13" t="s">
        <v>98</v>
      </c>
      <c r="R920" s="13" t="s">
        <v>79</v>
      </c>
      <c r="S920" s="9" t="s">
        <v>80</v>
      </c>
      <c r="T920" s="13" t="s">
        <v>81</v>
      </c>
      <c r="U920" s="15" t="s">
        <v>95</v>
      </c>
      <c r="V920" s="13" t="s">
        <v>93</v>
      </c>
      <c r="W920" s="15" t="s">
        <v>84</v>
      </c>
      <c r="X920" s="9" t="s">
        <v>85</v>
      </c>
      <c r="Y920" s="13" t="s">
        <v>99</v>
      </c>
      <c r="Z920">
        <f t="shared" si="85"/>
        <v>35</v>
      </c>
      <c r="AA920" s="39">
        <f t="shared" si="86"/>
        <v>66.194444444444443</v>
      </c>
      <c r="AB920" s="39">
        <f t="shared" si="87"/>
        <v>6392.8083926293439</v>
      </c>
      <c r="AC920">
        <f t="shared" si="90"/>
        <v>0.99996644634926612</v>
      </c>
      <c r="AD920">
        <f t="shared" si="88"/>
        <v>0.99994508496790224</v>
      </c>
      <c r="AE920">
        <f t="shared" si="89"/>
        <v>2263</v>
      </c>
    </row>
    <row r="921" spans="1:31">
      <c r="A921" s="10">
        <v>920</v>
      </c>
      <c r="B921" s="31">
        <v>40584</v>
      </c>
      <c r="C921" s="10">
        <v>1</v>
      </c>
      <c r="D921" s="10">
        <v>0</v>
      </c>
      <c r="E921" s="10">
        <v>2</v>
      </c>
      <c r="F921" s="10">
        <v>20</v>
      </c>
      <c r="G921" s="10" t="b">
        <v>0</v>
      </c>
      <c r="H921" s="10">
        <v>4</v>
      </c>
      <c r="I921" s="10">
        <v>1</v>
      </c>
      <c r="J921" s="10">
        <v>0.14000000000000001</v>
      </c>
      <c r="K921" s="10">
        <v>0.18179999999999999</v>
      </c>
      <c r="L921" s="10">
        <v>0.31</v>
      </c>
      <c r="M921" s="10">
        <v>8.9599999999999999E-2</v>
      </c>
      <c r="N921" s="10">
        <v>4</v>
      </c>
      <c r="O921" s="10">
        <v>93</v>
      </c>
      <c r="P921" s="10">
        <v>97</v>
      </c>
      <c r="Q921" s="13" t="s">
        <v>98</v>
      </c>
      <c r="R921" s="13" t="s">
        <v>79</v>
      </c>
      <c r="S921" s="10" t="s">
        <v>80</v>
      </c>
      <c r="T921" s="13" t="s">
        <v>81</v>
      </c>
      <c r="U921" s="16" t="s">
        <v>97</v>
      </c>
      <c r="V921" s="13" t="s">
        <v>93</v>
      </c>
      <c r="W921" s="15" t="s">
        <v>84</v>
      </c>
      <c r="X921" s="10" t="s">
        <v>85</v>
      </c>
      <c r="Y921" s="13" t="s">
        <v>99</v>
      </c>
      <c r="Z921">
        <f t="shared" si="85"/>
        <v>34</v>
      </c>
      <c r="AA921" s="39">
        <f t="shared" si="86"/>
        <v>65.549295774647888</v>
      </c>
      <c r="AB921" s="39">
        <f t="shared" si="87"/>
        <v>6431.732865497177</v>
      </c>
      <c r="AC921">
        <f t="shared" si="90"/>
        <v>0.99996734358587147</v>
      </c>
      <c r="AD921">
        <f t="shared" si="88"/>
        <v>0.99994577564414788</v>
      </c>
      <c r="AE921">
        <f t="shared" si="89"/>
        <v>2151</v>
      </c>
    </row>
    <row r="922" spans="1:31">
      <c r="A922" s="9">
        <v>921</v>
      </c>
      <c r="B922" s="30">
        <v>40584</v>
      </c>
      <c r="C922" s="9">
        <v>1</v>
      </c>
      <c r="D922" s="9">
        <v>0</v>
      </c>
      <c r="E922" s="9">
        <v>2</v>
      </c>
      <c r="F922" s="9">
        <v>21</v>
      </c>
      <c r="G922" s="9" t="b">
        <v>0</v>
      </c>
      <c r="H922" s="9">
        <v>4</v>
      </c>
      <c r="I922" s="9">
        <v>1</v>
      </c>
      <c r="J922" s="9">
        <v>0.14000000000000001</v>
      </c>
      <c r="K922" s="9">
        <v>0.21210000000000001</v>
      </c>
      <c r="L922" s="9">
        <v>0.39</v>
      </c>
      <c r="M922" s="9">
        <v>0</v>
      </c>
      <c r="N922" s="9">
        <v>2</v>
      </c>
      <c r="O922" s="9">
        <v>70</v>
      </c>
      <c r="P922" s="9">
        <v>72</v>
      </c>
      <c r="Q922" s="13" t="s">
        <v>98</v>
      </c>
      <c r="R922" s="13" t="s">
        <v>79</v>
      </c>
      <c r="S922" s="9" t="s">
        <v>80</v>
      </c>
      <c r="T922" s="13" t="s">
        <v>81</v>
      </c>
      <c r="U922" s="16" t="s">
        <v>97</v>
      </c>
      <c r="V922" s="13" t="s">
        <v>93</v>
      </c>
      <c r="W922" s="15" t="s">
        <v>84</v>
      </c>
      <c r="X922" s="9" t="s">
        <v>85</v>
      </c>
      <c r="Y922" s="13" t="s">
        <v>99</v>
      </c>
      <c r="Z922">
        <f t="shared" si="85"/>
        <v>33</v>
      </c>
      <c r="AA922" s="39">
        <f t="shared" si="86"/>
        <v>65.099999999999994</v>
      </c>
      <c r="AB922" s="39">
        <f t="shared" si="87"/>
        <v>6471.3574791175661</v>
      </c>
      <c r="AC922">
        <f t="shared" si="90"/>
        <v>0.99996794278094692</v>
      </c>
      <c r="AD922">
        <f t="shared" si="88"/>
        <v>0.99994615809662568</v>
      </c>
      <c r="AE922">
        <f t="shared" si="89"/>
        <v>2054</v>
      </c>
    </row>
    <row r="923" spans="1:31">
      <c r="A923" s="10">
        <v>922</v>
      </c>
      <c r="B923" s="31">
        <v>40584</v>
      </c>
      <c r="C923" s="10">
        <v>1</v>
      </c>
      <c r="D923" s="10">
        <v>0</v>
      </c>
      <c r="E923" s="10">
        <v>2</v>
      </c>
      <c r="F923" s="10">
        <v>22</v>
      </c>
      <c r="G923" s="10" t="b">
        <v>0</v>
      </c>
      <c r="H923" s="10">
        <v>4</v>
      </c>
      <c r="I923" s="10">
        <v>1</v>
      </c>
      <c r="J923" s="10">
        <v>0.12</v>
      </c>
      <c r="K923" s="10">
        <v>0.19700000000000001</v>
      </c>
      <c r="L923" s="10">
        <v>0.39</v>
      </c>
      <c r="M923" s="10">
        <v>0</v>
      </c>
      <c r="N923" s="10">
        <v>4</v>
      </c>
      <c r="O923" s="10">
        <v>47</v>
      </c>
      <c r="P923" s="10">
        <v>51</v>
      </c>
      <c r="Q923" s="13" t="s">
        <v>98</v>
      </c>
      <c r="R923" s="13" t="s">
        <v>79</v>
      </c>
      <c r="S923" s="10" t="s">
        <v>80</v>
      </c>
      <c r="T923" s="13" t="s">
        <v>81</v>
      </c>
      <c r="U923" s="16" t="s">
        <v>97</v>
      </c>
      <c r="V923" s="11" t="s">
        <v>87</v>
      </c>
      <c r="W923" s="15" t="s">
        <v>84</v>
      </c>
      <c r="X923" s="10" t="s">
        <v>85</v>
      </c>
      <c r="Y923" s="13" t="s">
        <v>99</v>
      </c>
      <c r="Z923">
        <f t="shared" si="85"/>
        <v>32</v>
      </c>
      <c r="AA923" s="39">
        <f t="shared" si="86"/>
        <v>65</v>
      </c>
      <c r="AB923" s="39">
        <f t="shared" si="87"/>
        <v>6511.6892370639844</v>
      </c>
      <c r="AC923">
        <f t="shared" si="90"/>
        <v>0.99996816777858177</v>
      </c>
      <c r="AD923">
        <f t="shared" si="88"/>
        <v>0.99994620121396438</v>
      </c>
      <c r="AE923">
        <f t="shared" si="89"/>
        <v>1982</v>
      </c>
    </row>
    <row r="924" spans="1:31">
      <c r="A924" s="9">
        <v>923</v>
      </c>
      <c r="B924" s="30">
        <v>40584</v>
      </c>
      <c r="C924" s="9">
        <v>1</v>
      </c>
      <c r="D924" s="9">
        <v>0</v>
      </c>
      <c r="E924" s="9">
        <v>2</v>
      </c>
      <c r="F924" s="9">
        <v>23</v>
      </c>
      <c r="G924" s="9" t="b">
        <v>0</v>
      </c>
      <c r="H924" s="9">
        <v>4</v>
      </c>
      <c r="I924" s="9">
        <v>1</v>
      </c>
      <c r="J924" s="9">
        <v>0.12</v>
      </c>
      <c r="K924" s="9">
        <v>0.1515</v>
      </c>
      <c r="L924" s="9">
        <v>0.42</v>
      </c>
      <c r="M924" s="9">
        <v>0.1045</v>
      </c>
      <c r="N924" s="9">
        <v>1</v>
      </c>
      <c r="O924" s="9">
        <v>33</v>
      </c>
      <c r="P924" s="9">
        <v>34</v>
      </c>
      <c r="Q924" s="13" t="s">
        <v>98</v>
      </c>
      <c r="R924" s="13" t="s">
        <v>79</v>
      </c>
      <c r="S924" s="9" t="s">
        <v>80</v>
      </c>
      <c r="T924" s="13" t="s">
        <v>81</v>
      </c>
      <c r="U924" s="16" t="s">
        <v>97</v>
      </c>
      <c r="V924" s="11" t="s">
        <v>87</v>
      </c>
      <c r="W924" s="15" t="s">
        <v>84</v>
      </c>
      <c r="X924" s="9" t="s">
        <v>85</v>
      </c>
      <c r="Y924" s="13" t="s">
        <v>99</v>
      </c>
      <c r="Z924">
        <f t="shared" si="85"/>
        <v>31</v>
      </c>
      <c r="AA924" s="39">
        <f t="shared" si="86"/>
        <v>65.205882352941174</v>
      </c>
      <c r="AB924" s="39">
        <f t="shared" si="87"/>
        <v>6552.754219666419</v>
      </c>
      <c r="AC924">
        <f t="shared" si="90"/>
        <v>0.99996825073286755</v>
      </c>
      <c r="AD924">
        <f t="shared" si="88"/>
        <v>0.99994619311177635</v>
      </c>
      <c r="AE924">
        <f t="shared" si="89"/>
        <v>1931</v>
      </c>
    </row>
    <row r="925" spans="1:31">
      <c r="A925" s="10">
        <v>924</v>
      </c>
      <c r="B925" s="31">
        <v>40585</v>
      </c>
      <c r="C925" s="10">
        <v>1</v>
      </c>
      <c r="D925" s="10">
        <v>0</v>
      </c>
      <c r="E925" s="10">
        <v>2</v>
      </c>
      <c r="F925" s="10">
        <v>0</v>
      </c>
      <c r="G925" s="10" t="b">
        <v>0</v>
      </c>
      <c r="H925" s="10">
        <v>5</v>
      </c>
      <c r="I925" s="10">
        <v>1</v>
      </c>
      <c r="J925" s="10">
        <v>0.1</v>
      </c>
      <c r="K925" s="10">
        <v>0.13639999999999999</v>
      </c>
      <c r="L925" s="10">
        <v>0.49</v>
      </c>
      <c r="M925" s="10">
        <v>0.1045</v>
      </c>
      <c r="N925" s="10">
        <v>2</v>
      </c>
      <c r="O925" s="10">
        <v>12</v>
      </c>
      <c r="P925" s="10">
        <v>14</v>
      </c>
      <c r="Q925" s="13" t="s">
        <v>98</v>
      </c>
      <c r="R925" s="13" t="s">
        <v>79</v>
      </c>
      <c r="S925" s="10" t="s">
        <v>80</v>
      </c>
      <c r="T925" s="13" t="s">
        <v>81</v>
      </c>
      <c r="U925" s="14" t="s">
        <v>82</v>
      </c>
      <c r="V925" s="12" t="s">
        <v>83</v>
      </c>
      <c r="W925" s="15" t="s">
        <v>84</v>
      </c>
      <c r="X925" s="10" t="s">
        <v>85</v>
      </c>
      <c r="Y925" s="13" t="s">
        <v>99</v>
      </c>
      <c r="Z925">
        <f t="shared" si="85"/>
        <v>30</v>
      </c>
      <c r="AA925" s="39">
        <f t="shared" si="86"/>
        <v>65.671641791044777</v>
      </c>
      <c r="AB925" s="39">
        <f t="shared" si="87"/>
        <v>6594.5803090023446</v>
      </c>
      <c r="AC925">
        <f t="shared" si="90"/>
        <v>0.99996825351327112</v>
      </c>
      <c r="AD925">
        <f t="shared" si="88"/>
        <v>0.99994625921932245</v>
      </c>
      <c r="AE925">
        <f t="shared" si="89"/>
        <v>1897</v>
      </c>
    </row>
    <row r="926" spans="1:31">
      <c r="A926" s="9">
        <v>925</v>
      </c>
      <c r="B926" s="30">
        <v>40585</v>
      </c>
      <c r="C926" s="9">
        <v>1</v>
      </c>
      <c r="D926" s="9">
        <v>0</v>
      </c>
      <c r="E926" s="9">
        <v>2</v>
      </c>
      <c r="F926" s="9">
        <v>1</v>
      </c>
      <c r="G926" s="9" t="b">
        <v>0</v>
      </c>
      <c r="H926" s="9">
        <v>5</v>
      </c>
      <c r="I926" s="9">
        <v>1</v>
      </c>
      <c r="J926" s="9">
        <v>0.1</v>
      </c>
      <c r="K926" s="9">
        <v>0.13639999999999999</v>
      </c>
      <c r="L926" s="9">
        <v>0.54</v>
      </c>
      <c r="M926" s="9">
        <v>8.9599999999999999E-2</v>
      </c>
      <c r="N926" s="9">
        <v>1</v>
      </c>
      <c r="O926" s="9">
        <v>6</v>
      </c>
      <c r="P926" s="9">
        <v>7</v>
      </c>
      <c r="Q926" s="13" t="s">
        <v>98</v>
      </c>
      <c r="R926" s="13" t="s">
        <v>79</v>
      </c>
      <c r="S926" s="9" t="s">
        <v>80</v>
      </c>
      <c r="T926" s="13" t="s">
        <v>81</v>
      </c>
      <c r="U926" s="14" t="s">
        <v>82</v>
      </c>
      <c r="V926" s="12" t="s">
        <v>83</v>
      </c>
      <c r="W926" s="15" t="s">
        <v>84</v>
      </c>
      <c r="X926" s="9" t="s">
        <v>85</v>
      </c>
      <c r="Y926" s="13" t="s">
        <v>99</v>
      </c>
      <c r="Z926">
        <f t="shared" si="85"/>
        <v>29</v>
      </c>
      <c r="AA926" s="39">
        <f t="shared" si="86"/>
        <v>66.454545454545453</v>
      </c>
      <c r="AB926" s="39">
        <f t="shared" si="87"/>
        <v>6637.1860581117635</v>
      </c>
      <c r="AC926">
        <f t="shared" si="90"/>
        <v>0.99996825435080705</v>
      </c>
      <c r="AD926">
        <f t="shared" si="88"/>
        <v>0.99994662212004759</v>
      </c>
      <c r="AE926">
        <f t="shared" si="89"/>
        <v>1883</v>
      </c>
    </row>
    <row r="927" spans="1:31">
      <c r="A927" s="10">
        <v>926</v>
      </c>
      <c r="B927" s="31">
        <v>40585</v>
      </c>
      <c r="C927" s="10">
        <v>1</v>
      </c>
      <c r="D927" s="10">
        <v>0</v>
      </c>
      <c r="E927" s="10">
        <v>2</v>
      </c>
      <c r="F927" s="10">
        <v>2</v>
      </c>
      <c r="G927" s="10" t="b">
        <v>0</v>
      </c>
      <c r="H927" s="10">
        <v>5</v>
      </c>
      <c r="I927" s="10">
        <v>1</v>
      </c>
      <c r="J927" s="10">
        <v>0.1</v>
      </c>
      <c r="K927" s="10">
        <v>0.13639999999999999</v>
      </c>
      <c r="L927" s="10">
        <v>0.54</v>
      </c>
      <c r="M927" s="10">
        <v>8.9599999999999999E-2</v>
      </c>
      <c r="N927" s="10">
        <v>0</v>
      </c>
      <c r="O927" s="10">
        <v>3</v>
      </c>
      <c r="P927" s="10">
        <v>3</v>
      </c>
      <c r="Q927" s="13" t="s">
        <v>98</v>
      </c>
      <c r="R927" s="13" t="s">
        <v>79</v>
      </c>
      <c r="S927" s="10" t="s">
        <v>80</v>
      </c>
      <c r="T927" s="13" t="s">
        <v>81</v>
      </c>
      <c r="U927" s="14" t="s">
        <v>82</v>
      </c>
      <c r="V927" s="12" t="s">
        <v>83</v>
      </c>
      <c r="W927" s="15" t="s">
        <v>84</v>
      </c>
      <c r="X927" s="10" t="s">
        <v>85</v>
      </c>
      <c r="Y927" s="13" t="s">
        <v>99</v>
      </c>
      <c r="Z927">
        <f t="shared" si="85"/>
        <v>28</v>
      </c>
      <c r="AA927" s="39">
        <f t="shared" si="86"/>
        <v>67.369230769230768</v>
      </c>
      <c r="AB927" s="39">
        <f t="shared" si="87"/>
        <v>6680.6169055801129</v>
      </c>
      <c r="AC927">
        <f t="shared" si="90"/>
        <v>0.99996827706276892</v>
      </c>
      <c r="AD927">
        <f t="shared" si="88"/>
        <v>0.99994719932862131</v>
      </c>
      <c r="AE927">
        <f t="shared" si="89"/>
        <v>1876</v>
      </c>
    </row>
    <row r="928" spans="1:31">
      <c r="A928" s="9">
        <v>927</v>
      </c>
      <c r="B928" s="30">
        <v>40585</v>
      </c>
      <c r="C928" s="9">
        <v>1</v>
      </c>
      <c r="D928" s="9">
        <v>0</v>
      </c>
      <c r="E928" s="9">
        <v>2</v>
      </c>
      <c r="F928" s="9">
        <v>5</v>
      </c>
      <c r="G928" s="9" t="b">
        <v>0</v>
      </c>
      <c r="H928" s="9">
        <v>5</v>
      </c>
      <c r="I928" s="9">
        <v>1</v>
      </c>
      <c r="J928" s="9">
        <v>0.08</v>
      </c>
      <c r="K928" s="9">
        <v>0.1212</v>
      </c>
      <c r="L928" s="9">
        <v>0.63</v>
      </c>
      <c r="M928" s="9">
        <v>8.9599999999999999E-2</v>
      </c>
      <c r="N928" s="9">
        <v>0</v>
      </c>
      <c r="O928" s="9">
        <v>4</v>
      </c>
      <c r="P928" s="9">
        <v>4</v>
      </c>
      <c r="Q928" s="13" t="s">
        <v>98</v>
      </c>
      <c r="R928" s="13" t="s">
        <v>79</v>
      </c>
      <c r="S928" s="9" t="s">
        <v>80</v>
      </c>
      <c r="T928" s="13" t="s">
        <v>81</v>
      </c>
      <c r="U928" s="15" t="s">
        <v>89</v>
      </c>
      <c r="V928" s="12" t="s">
        <v>83</v>
      </c>
      <c r="W928" s="15" t="s">
        <v>84</v>
      </c>
      <c r="X928" s="9" t="s">
        <v>85</v>
      </c>
      <c r="Y928" s="13" t="s">
        <v>99</v>
      </c>
      <c r="Z928">
        <f t="shared" si="85"/>
        <v>27</v>
      </c>
      <c r="AA928" s="39">
        <f t="shared" si="86"/>
        <v>68.375</v>
      </c>
      <c r="AB928" s="39">
        <f t="shared" si="87"/>
        <v>6724.9048669516178</v>
      </c>
      <c r="AC928">
        <f t="shared" si="90"/>
        <v>0.99996831977789158</v>
      </c>
      <c r="AD928">
        <f t="shared" si="88"/>
        <v>0.9999478712038985</v>
      </c>
      <c r="AE928">
        <f t="shared" si="89"/>
        <v>1873</v>
      </c>
    </row>
    <row r="929" spans="1:31">
      <c r="A929" s="10">
        <v>928</v>
      </c>
      <c r="B929" s="31">
        <v>40585</v>
      </c>
      <c r="C929" s="10">
        <v>1</v>
      </c>
      <c r="D929" s="10">
        <v>0</v>
      </c>
      <c r="E929" s="10">
        <v>2</v>
      </c>
      <c r="F929" s="10">
        <v>6</v>
      </c>
      <c r="G929" s="10" t="b">
        <v>0</v>
      </c>
      <c r="H929" s="10">
        <v>5</v>
      </c>
      <c r="I929" s="10">
        <v>1</v>
      </c>
      <c r="J929" s="10">
        <v>0.1</v>
      </c>
      <c r="K929" s="10">
        <v>0.18179999999999999</v>
      </c>
      <c r="L929" s="10">
        <v>0.68</v>
      </c>
      <c r="M929" s="10">
        <v>0</v>
      </c>
      <c r="N929" s="10">
        <v>1</v>
      </c>
      <c r="O929" s="10">
        <v>23</v>
      </c>
      <c r="P929" s="10">
        <v>24</v>
      </c>
      <c r="Q929" s="13" t="s">
        <v>98</v>
      </c>
      <c r="R929" s="13" t="s">
        <v>79</v>
      </c>
      <c r="S929" s="10" t="s">
        <v>80</v>
      </c>
      <c r="T929" s="13" t="s">
        <v>81</v>
      </c>
      <c r="U929" s="15" t="s">
        <v>89</v>
      </c>
      <c r="V929" s="12" t="s">
        <v>83</v>
      </c>
      <c r="W929" s="15" t="s">
        <v>84</v>
      </c>
      <c r="X929" s="10" t="s">
        <v>85</v>
      </c>
      <c r="Y929" s="13" t="s">
        <v>99</v>
      </c>
      <c r="Z929">
        <f t="shared" si="85"/>
        <v>26</v>
      </c>
      <c r="AA929" s="39">
        <f t="shared" si="86"/>
        <v>69.396825396825392</v>
      </c>
      <c r="AB929" s="39">
        <f t="shared" si="87"/>
        <v>6770.0871450720388</v>
      </c>
      <c r="AC929">
        <f t="shared" si="90"/>
        <v>0.99996833349934822</v>
      </c>
      <c r="AD929">
        <f t="shared" si="88"/>
        <v>0.99994873659811023</v>
      </c>
      <c r="AE929">
        <f t="shared" si="89"/>
        <v>1869</v>
      </c>
    </row>
    <row r="930" spans="1:31">
      <c r="A930" s="9">
        <v>929</v>
      </c>
      <c r="B930" s="30">
        <v>40585</v>
      </c>
      <c r="C930" s="9">
        <v>1</v>
      </c>
      <c r="D930" s="9">
        <v>0</v>
      </c>
      <c r="E930" s="9">
        <v>2</v>
      </c>
      <c r="F930" s="9">
        <v>7</v>
      </c>
      <c r="G930" s="9" t="b">
        <v>0</v>
      </c>
      <c r="H930" s="9">
        <v>5</v>
      </c>
      <c r="I930" s="9">
        <v>1</v>
      </c>
      <c r="J930" s="9">
        <v>0.08</v>
      </c>
      <c r="K930" s="9">
        <v>0.16669999999999999</v>
      </c>
      <c r="L930" s="9">
        <v>0.73</v>
      </c>
      <c r="M930" s="9">
        <v>0</v>
      </c>
      <c r="N930" s="9">
        <v>1</v>
      </c>
      <c r="O930" s="9">
        <v>73</v>
      </c>
      <c r="P930" s="9">
        <v>74</v>
      </c>
      <c r="Q930" s="13" t="s">
        <v>98</v>
      </c>
      <c r="R930" s="13" t="s">
        <v>79</v>
      </c>
      <c r="S930" s="9" t="s">
        <v>80</v>
      </c>
      <c r="T930" s="13" t="s">
        <v>81</v>
      </c>
      <c r="U930" s="15" t="s">
        <v>89</v>
      </c>
      <c r="V930" s="13" t="s">
        <v>93</v>
      </c>
      <c r="W930" s="15" t="s">
        <v>84</v>
      </c>
      <c r="X930" s="9" t="s">
        <v>85</v>
      </c>
      <c r="Y930" s="13" t="s">
        <v>99</v>
      </c>
      <c r="Z930">
        <f t="shared" si="85"/>
        <v>25</v>
      </c>
      <c r="AA930" s="39">
        <f t="shared" si="86"/>
        <v>70.129032258064512</v>
      </c>
      <c r="AB930" s="39">
        <f t="shared" si="87"/>
        <v>6816.2272017297973</v>
      </c>
      <c r="AC930">
        <f t="shared" si="90"/>
        <v>0.99996832786555967</v>
      </c>
      <c r="AD930">
        <f t="shared" si="88"/>
        <v>0.99994931051006919</v>
      </c>
      <c r="AE930">
        <f t="shared" si="89"/>
        <v>1845</v>
      </c>
    </row>
    <row r="931" spans="1:31">
      <c r="A931" s="10">
        <v>930</v>
      </c>
      <c r="B931" s="31">
        <v>40585</v>
      </c>
      <c r="C931" s="10">
        <v>1</v>
      </c>
      <c r="D931" s="10">
        <v>0</v>
      </c>
      <c r="E931" s="10">
        <v>2</v>
      </c>
      <c r="F931" s="10">
        <v>8</v>
      </c>
      <c r="G931" s="10" t="b">
        <v>0</v>
      </c>
      <c r="H931" s="10">
        <v>5</v>
      </c>
      <c r="I931" s="10">
        <v>1</v>
      </c>
      <c r="J931" s="10">
        <v>0.1</v>
      </c>
      <c r="K931" s="10">
        <v>0.1212</v>
      </c>
      <c r="L931" s="10">
        <v>0.74</v>
      </c>
      <c r="M931" s="10">
        <v>0.16420000000000001</v>
      </c>
      <c r="N931" s="10">
        <v>4</v>
      </c>
      <c r="O931" s="10">
        <v>212</v>
      </c>
      <c r="P931" s="10">
        <v>216</v>
      </c>
      <c r="Q931" s="13" t="s">
        <v>98</v>
      </c>
      <c r="R931" s="13" t="s">
        <v>79</v>
      </c>
      <c r="S931" s="10" t="s">
        <v>80</v>
      </c>
      <c r="T931" s="13" t="s">
        <v>81</v>
      </c>
      <c r="U931" s="15" t="s">
        <v>89</v>
      </c>
      <c r="V931" s="13" t="s">
        <v>93</v>
      </c>
      <c r="W931" s="15" t="s">
        <v>84</v>
      </c>
      <c r="X931" s="10" t="s">
        <v>85</v>
      </c>
      <c r="Y931" s="13" t="s">
        <v>99</v>
      </c>
      <c r="Z931">
        <f t="shared" si="85"/>
        <v>24</v>
      </c>
      <c r="AA931" s="39">
        <f t="shared" si="86"/>
        <v>70.06557377049181</v>
      </c>
      <c r="AB931" s="39">
        <f t="shared" si="87"/>
        <v>6863.4086254070162</v>
      </c>
      <c r="AC931">
        <f t="shared" si="90"/>
        <v>0.99996883625360433</v>
      </c>
      <c r="AD931">
        <f t="shared" si="88"/>
        <v>0.99994934985858208</v>
      </c>
      <c r="AE931">
        <f t="shared" si="89"/>
        <v>1771</v>
      </c>
    </row>
    <row r="932" spans="1:31">
      <c r="A932" s="9">
        <v>931</v>
      </c>
      <c r="B932" s="30">
        <v>40585</v>
      </c>
      <c r="C932" s="9">
        <v>1</v>
      </c>
      <c r="D932" s="9">
        <v>0</v>
      </c>
      <c r="E932" s="9">
        <v>2</v>
      </c>
      <c r="F932" s="9">
        <v>9</v>
      </c>
      <c r="G932" s="9" t="b">
        <v>0</v>
      </c>
      <c r="H932" s="9">
        <v>5</v>
      </c>
      <c r="I932" s="9">
        <v>1</v>
      </c>
      <c r="J932" s="9">
        <v>0.12</v>
      </c>
      <c r="K932" s="9">
        <v>0.1212</v>
      </c>
      <c r="L932" s="9">
        <v>0.74</v>
      </c>
      <c r="M932" s="9">
        <v>0.22389999999999999</v>
      </c>
      <c r="N932" s="9">
        <v>8</v>
      </c>
      <c r="O932" s="9">
        <v>132</v>
      </c>
      <c r="P932" s="9">
        <v>140</v>
      </c>
      <c r="Q932" s="13" t="s">
        <v>98</v>
      </c>
      <c r="R932" s="13" t="s">
        <v>79</v>
      </c>
      <c r="S932" s="9" t="s">
        <v>80</v>
      </c>
      <c r="T932" s="13" t="s">
        <v>81</v>
      </c>
      <c r="U932" s="15" t="s">
        <v>89</v>
      </c>
      <c r="V932" s="13" t="s">
        <v>93</v>
      </c>
      <c r="W932" s="15" t="s">
        <v>84</v>
      </c>
      <c r="X932" s="9" t="s">
        <v>85</v>
      </c>
      <c r="Y932" s="13" t="s">
        <v>99</v>
      </c>
      <c r="Z932">
        <f t="shared" si="85"/>
        <v>23</v>
      </c>
      <c r="AA932" s="39">
        <f t="shared" si="86"/>
        <v>67.63333333333334</v>
      </c>
      <c r="AB932" s="39">
        <f t="shared" si="87"/>
        <v>6911.8014079847899</v>
      </c>
      <c r="AC932">
        <f t="shared" si="90"/>
        <v>0.99997462311010121</v>
      </c>
      <c r="AD932">
        <f t="shared" si="88"/>
        <v>0.9999516290669902</v>
      </c>
      <c r="AE932">
        <f t="shared" si="89"/>
        <v>1555</v>
      </c>
    </row>
    <row r="933" spans="1:31">
      <c r="A933" s="10">
        <v>932</v>
      </c>
      <c r="B933" s="31">
        <v>40585</v>
      </c>
      <c r="C933" s="10">
        <v>1</v>
      </c>
      <c r="D933" s="10">
        <v>0</v>
      </c>
      <c r="E933" s="10">
        <v>2</v>
      </c>
      <c r="F933" s="10">
        <v>10</v>
      </c>
      <c r="G933" s="10" t="b">
        <v>0</v>
      </c>
      <c r="H933" s="10">
        <v>5</v>
      </c>
      <c r="I933" s="10">
        <v>1</v>
      </c>
      <c r="J933" s="10">
        <v>0.14000000000000001</v>
      </c>
      <c r="K933" s="10">
        <v>0.13639999999999999</v>
      </c>
      <c r="L933" s="10">
        <v>0.69</v>
      </c>
      <c r="M933" s="10">
        <v>0.19400000000000001</v>
      </c>
      <c r="N933" s="10">
        <v>5</v>
      </c>
      <c r="O933" s="10">
        <v>39</v>
      </c>
      <c r="P933" s="10">
        <v>44</v>
      </c>
      <c r="Q933" s="13" t="s">
        <v>98</v>
      </c>
      <c r="R933" s="13" t="s">
        <v>79</v>
      </c>
      <c r="S933" s="10" t="s">
        <v>80</v>
      </c>
      <c r="T933" s="13" t="s">
        <v>81</v>
      </c>
      <c r="U933" s="13" t="s">
        <v>91</v>
      </c>
      <c r="V933" s="11" t="s">
        <v>87</v>
      </c>
      <c r="W933" s="15" t="s">
        <v>84</v>
      </c>
      <c r="X933" s="10" t="s">
        <v>85</v>
      </c>
      <c r="Y933" s="13" t="s">
        <v>99</v>
      </c>
      <c r="Z933">
        <f t="shared" si="85"/>
        <v>22</v>
      </c>
      <c r="AA933" s="39">
        <f t="shared" si="86"/>
        <v>66.406779661016955</v>
      </c>
      <c r="AB933" s="39">
        <f t="shared" si="87"/>
        <v>6961.118876177994</v>
      </c>
      <c r="AC933">
        <f t="shared" si="90"/>
        <v>0.99997667932674394</v>
      </c>
      <c r="AD933">
        <f t="shared" si="88"/>
        <v>0.99995197811690473</v>
      </c>
      <c r="AE933">
        <f t="shared" si="89"/>
        <v>1415</v>
      </c>
    </row>
    <row r="934" spans="1:31">
      <c r="A934" s="9">
        <v>933</v>
      </c>
      <c r="B934" s="30">
        <v>40585</v>
      </c>
      <c r="C934" s="9">
        <v>1</v>
      </c>
      <c r="D934" s="9">
        <v>0</v>
      </c>
      <c r="E934" s="9">
        <v>2</v>
      </c>
      <c r="F934" s="9">
        <v>11</v>
      </c>
      <c r="G934" s="9" t="b">
        <v>0</v>
      </c>
      <c r="H934" s="9">
        <v>5</v>
      </c>
      <c r="I934" s="9">
        <v>1</v>
      </c>
      <c r="J934" s="9">
        <v>0.22</v>
      </c>
      <c r="K934" s="9">
        <v>0.2273</v>
      </c>
      <c r="L934" s="9">
        <v>0.47</v>
      </c>
      <c r="M934" s="9">
        <v>0.1343</v>
      </c>
      <c r="N934" s="9">
        <v>12</v>
      </c>
      <c r="O934" s="9">
        <v>52</v>
      </c>
      <c r="P934" s="9">
        <v>64</v>
      </c>
      <c r="Q934" s="13" t="s">
        <v>98</v>
      </c>
      <c r="R934" s="13" t="s">
        <v>79</v>
      </c>
      <c r="S934" s="9" t="s">
        <v>80</v>
      </c>
      <c r="T934" s="13" t="s">
        <v>81</v>
      </c>
      <c r="U934" s="13" t="s">
        <v>91</v>
      </c>
      <c r="V934" s="11" t="s">
        <v>87</v>
      </c>
      <c r="W934" s="15" t="s">
        <v>84</v>
      </c>
      <c r="X934" s="9" t="s">
        <v>85</v>
      </c>
      <c r="Y934" s="13" t="s">
        <v>99</v>
      </c>
      <c r="Z934">
        <f t="shared" si="85"/>
        <v>21</v>
      </c>
      <c r="AA934" s="39">
        <f t="shared" si="86"/>
        <v>66.793103448275858</v>
      </c>
      <c r="AB934" s="39">
        <f t="shared" si="87"/>
        <v>7011.3429503021689</v>
      </c>
      <c r="AC934">
        <f t="shared" si="90"/>
        <v>0.99997671583173919</v>
      </c>
      <c r="AD934">
        <f t="shared" si="88"/>
        <v>0.99995223233617736</v>
      </c>
      <c r="AE934">
        <f t="shared" si="89"/>
        <v>1371</v>
      </c>
    </row>
    <row r="935" spans="1:31">
      <c r="A935" s="10">
        <v>934</v>
      </c>
      <c r="B935" s="31">
        <v>40585</v>
      </c>
      <c r="C935" s="10">
        <v>1</v>
      </c>
      <c r="D935" s="10">
        <v>0</v>
      </c>
      <c r="E935" s="10">
        <v>2</v>
      </c>
      <c r="F935" s="10">
        <v>12</v>
      </c>
      <c r="G935" s="10" t="b">
        <v>0</v>
      </c>
      <c r="H935" s="10">
        <v>5</v>
      </c>
      <c r="I935" s="10">
        <v>1</v>
      </c>
      <c r="J935" s="10">
        <v>0.22</v>
      </c>
      <c r="K935" s="10">
        <v>0.2273</v>
      </c>
      <c r="L935" s="10">
        <v>0.47</v>
      </c>
      <c r="M935" s="10">
        <v>0.1343</v>
      </c>
      <c r="N935" s="10">
        <v>7</v>
      </c>
      <c r="O935" s="10">
        <v>64</v>
      </c>
      <c r="P935" s="10">
        <v>71</v>
      </c>
      <c r="Q935" s="13" t="s">
        <v>98</v>
      </c>
      <c r="R935" s="13" t="s">
        <v>79</v>
      </c>
      <c r="S935" s="10" t="s">
        <v>80</v>
      </c>
      <c r="T935" s="13" t="s">
        <v>81</v>
      </c>
      <c r="U935" s="11" t="s">
        <v>92</v>
      </c>
      <c r="V935" s="13" t="s">
        <v>93</v>
      </c>
      <c r="W935" s="15" t="s">
        <v>84</v>
      </c>
      <c r="X935" s="10" t="s">
        <v>85</v>
      </c>
      <c r="Y935" s="13" t="s">
        <v>99</v>
      </c>
      <c r="Z935">
        <f t="shared" si="85"/>
        <v>20</v>
      </c>
      <c r="AA935" s="39">
        <f t="shared" si="86"/>
        <v>66.84210526315789</v>
      </c>
      <c r="AB935" s="39">
        <f t="shared" si="87"/>
        <v>7062.706702329182</v>
      </c>
      <c r="AC935">
        <f t="shared" si="90"/>
        <v>0.99997674119113455</v>
      </c>
      <c r="AD935">
        <f t="shared" si="88"/>
        <v>0.99995222199590428</v>
      </c>
      <c r="AE935">
        <f t="shared" si="89"/>
        <v>1307</v>
      </c>
    </row>
    <row r="936" spans="1:31">
      <c r="A936" s="9">
        <v>935</v>
      </c>
      <c r="B936" s="30">
        <v>40585</v>
      </c>
      <c r="C936" s="9">
        <v>1</v>
      </c>
      <c r="D936" s="9">
        <v>0</v>
      </c>
      <c r="E936" s="9">
        <v>2</v>
      </c>
      <c r="F936" s="9">
        <v>13</v>
      </c>
      <c r="G936" s="9" t="b">
        <v>0</v>
      </c>
      <c r="H936" s="9">
        <v>5</v>
      </c>
      <c r="I936" s="9">
        <v>1</v>
      </c>
      <c r="J936" s="9">
        <v>0.24</v>
      </c>
      <c r="K936" s="9">
        <v>0.2273</v>
      </c>
      <c r="L936" s="9">
        <v>0.35</v>
      </c>
      <c r="M936" s="9">
        <v>0.19400000000000001</v>
      </c>
      <c r="N936" s="9">
        <v>21</v>
      </c>
      <c r="O936" s="9">
        <v>89</v>
      </c>
      <c r="P936" s="9">
        <v>110</v>
      </c>
      <c r="Q936" s="13" t="s">
        <v>98</v>
      </c>
      <c r="R936" s="13" t="s">
        <v>79</v>
      </c>
      <c r="S936" s="9" t="s">
        <v>80</v>
      </c>
      <c r="T936" s="13" t="s">
        <v>81</v>
      </c>
      <c r="U936" s="11" t="s">
        <v>92</v>
      </c>
      <c r="V936" s="13" t="s">
        <v>93</v>
      </c>
      <c r="W936" s="15" t="s">
        <v>84</v>
      </c>
      <c r="X936" s="9" t="s">
        <v>85</v>
      </c>
      <c r="Y936" s="13" t="s">
        <v>99</v>
      </c>
      <c r="Z936">
        <f t="shared" si="85"/>
        <v>19</v>
      </c>
      <c r="AA936" s="39">
        <f t="shared" si="86"/>
        <v>66.767857142857139</v>
      </c>
      <c r="AB936" s="39">
        <f t="shared" si="87"/>
        <v>7115.2290142921902</v>
      </c>
      <c r="AC936">
        <f t="shared" si="90"/>
        <v>0.99997680540811573</v>
      </c>
      <c r="AD936">
        <f t="shared" si="88"/>
        <v>0.9999522181610131</v>
      </c>
      <c r="AE936">
        <f t="shared" si="89"/>
        <v>1236</v>
      </c>
    </row>
    <row r="937" spans="1:31">
      <c r="A937" s="10">
        <v>936</v>
      </c>
      <c r="B937" s="31">
        <v>40585</v>
      </c>
      <c r="C937" s="10">
        <v>1</v>
      </c>
      <c r="D937" s="10">
        <v>0</v>
      </c>
      <c r="E937" s="10">
        <v>2</v>
      </c>
      <c r="F937" s="10">
        <v>14</v>
      </c>
      <c r="G937" s="10" t="b">
        <v>0</v>
      </c>
      <c r="H937" s="10">
        <v>5</v>
      </c>
      <c r="I937" s="10">
        <v>1</v>
      </c>
      <c r="J937" s="10">
        <v>0.3</v>
      </c>
      <c r="K937" s="10">
        <v>0.28789999999999999</v>
      </c>
      <c r="L937" s="10">
        <v>0.26</v>
      </c>
      <c r="M937" s="10">
        <v>0.25369999999999998</v>
      </c>
      <c r="N937" s="10">
        <v>17</v>
      </c>
      <c r="O937" s="10">
        <v>67</v>
      </c>
      <c r="P937" s="10">
        <v>84</v>
      </c>
      <c r="Q937" s="13" t="s">
        <v>98</v>
      </c>
      <c r="R937" s="13" t="s">
        <v>79</v>
      </c>
      <c r="S937" s="10" t="s">
        <v>80</v>
      </c>
      <c r="T937" s="13" t="s">
        <v>81</v>
      </c>
      <c r="U937" s="13" t="s">
        <v>94</v>
      </c>
      <c r="V937" s="13" t="s">
        <v>93</v>
      </c>
      <c r="W937" s="13" t="s">
        <v>90</v>
      </c>
      <c r="X937" s="10" t="s">
        <v>85</v>
      </c>
      <c r="Y937" s="13" t="s">
        <v>99</v>
      </c>
      <c r="Z937">
        <f t="shared" si="85"/>
        <v>18</v>
      </c>
      <c r="AA937" s="39">
        <f t="shared" si="86"/>
        <v>65.981818181818184</v>
      </c>
      <c r="AB937" s="39">
        <f t="shared" si="87"/>
        <v>7169.0124855483909</v>
      </c>
      <c r="AC937">
        <f t="shared" si="90"/>
        <v>0.99997726072361226</v>
      </c>
      <c r="AD937">
        <f t="shared" si="88"/>
        <v>0.99995271485768622</v>
      </c>
      <c r="AE937">
        <f t="shared" si="89"/>
        <v>1126</v>
      </c>
    </row>
    <row r="938" spans="1:31">
      <c r="A938" s="9">
        <v>937</v>
      </c>
      <c r="B938" s="30">
        <v>40585</v>
      </c>
      <c r="C938" s="9">
        <v>1</v>
      </c>
      <c r="D938" s="9">
        <v>0</v>
      </c>
      <c r="E938" s="9">
        <v>2</v>
      </c>
      <c r="F938" s="9">
        <v>15</v>
      </c>
      <c r="G938" s="9" t="b">
        <v>0</v>
      </c>
      <c r="H938" s="9">
        <v>5</v>
      </c>
      <c r="I938" s="9">
        <v>1</v>
      </c>
      <c r="J938" s="9">
        <v>0.32</v>
      </c>
      <c r="K938" s="9">
        <v>0.31819999999999998</v>
      </c>
      <c r="L938" s="9">
        <v>0.21</v>
      </c>
      <c r="M938" s="9">
        <v>0.16420000000000001</v>
      </c>
      <c r="N938" s="9">
        <v>12</v>
      </c>
      <c r="O938" s="9">
        <v>62</v>
      </c>
      <c r="P938" s="9">
        <v>74</v>
      </c>
      <c r="Q938" s="13" t="s">
        <v>98</v>
      </c>
      <c r="R938" s="13" t="s">
        <v>79</v>
      </c>
      <c r="S938" s="9" t="s">
        <v>80</v>
      </c>
      <c r="T938" s="13" t="s">
        <v>81</v>
      </c>
      <c r="U938" s="13" t="s">
        <v>94</v>
      </c>
      <c r="V938" s="13" t="s">
        <v>93</v>
      </c>
      <c r="W938" s="13" t="s">
        <v>90</v>
      </c>
      <c r="X938" s="9" t="s">
        <v>85</v>
      </c>
      <c r="Y938" s="13" t="s">
        <v>99</v>
      </c>
      <c r="Z938">
        <f t="shared" si="85"/>
        <v>17</v>
      </c>
      <c r="AA938" s="39">
        <f t="shared" si="86"/>
        <v>65.648148148148152</v>
      </c>
      <c r="AB938" s="39">
        <f t="shared" si="87"/>
        <v>7223.9858352294787</v>
      </c>
      <c r="AC938">
        <f t="shared" si="90"/>
        <v>0.99997728078094006</v>
      </c>
      <c r="AD938">
        <f t="shared" si="88"/>
        <v>0.9999529676353881</v>
      </c>
      <c r="AE938">
        <f t="shared" si="89"/>
        <v>1042</v>
      </c>
    </row>
    <row r="939" spans="1:31">
      <c r="A939" s="10">
        <v>938</v>
      </c>
      <c r="B939" s="31">
        <v>40585</v>
      </c>
      <c r="C939" s="10">
        <v>1</v>
      </c>
      <c r="D939" s="10">
        <v>0</v>
      </c>
      <c r="E939" s="10">
        <v>2</v>
      </c>
      <c r="F939" s="10">
        <v>16</v>
      </c>
      <c r="G939" s="10" t="b">
        <v>0</v>
      </c>
      <c r="H939" s="10">
        <v>5</v>
      </c>
      <c r="I939" s="10">
        <v>1</v>
      </c>
      <c r="J939" s="10">
        <v>0.3</v>
      </c>
      <c r="K939" s="10">
        <v>0.28789999999999999</v>
      </c>
      <c r="L939" s="10">
        <v>0.28000000000000003</v>
      </c>
      <c r="M939" s="10">
        <v>0.19400000000000001</v>
      </c>
      <c r="N939" s="10">
        <v>14</v>
      </c>
      <c r="O939" s="10">
        <v>111</v>
      </c>
      <c r="P939" s="10">
        <v>125</v>
      </c>
      <c r="Q939" s="13" t="s">
        <v>98</v>
      </c>
      <c r="R939" s="13" t="s">
        <v>79</v>
      </c>
      <c r="S939" s="10" t="s">
        <v>80</v>
      </c>
      <c r="T939" s="13" t="s">
        <v>81</v>
      </c>
      <c r="U939" s="13" t="s">
        <v>94</v>
      </c>
      <c r="V939" s="13" t="s">
        <v>93</v>
      </c>
      <c r="W939" s="13" t="s">
        <v>90</v>
      </c>
      <c r="X939" s="10" t="s">
        <v>85</v>
      </c>
      <c r="Y939" s="13" t="s">
        <v>99</v>
      </c>
      <c r="Z939">
        <f t="shared" si="85"/>
        <v>16</v>
      </c>
      <c r="AA939" s="39">
        <f t="shared" si="86"/>
        <v>65.490566037735846</v>
      </c>
      <c r="AB939" s="39">
        <f t="shared" si="87"/>
        <v>7280.2240403117357</v>
      </c>
      <c r="AC939">
        <f t="shared" si="90"/>
        <v>0.99997727637433942</v>
      </c>
      <c r="AD939">
        <f t="shared" si="88"/>
        <v>0.99995316784455224</v>
      </c>
      <c r="AE939">
        <f t="shared" si="89"/>
        <v>968</v>
      </c>
    </row>
    <row r="940" spans="1:31">
      <c r="A940" s="9">
        <v>939</v>
      </c>
      <c r="B940" s="30">
        <v>40585</v>
      </c>
      <c r="C940" s="9">
        <v>1</v>
      </c>
      <c r="D940" s="9">
        <v>0</v>
      </c>
      <c r="E940" s="9">
        <v>2</v>
      </c>
      <c r="F940" s="9">
        <v>17</v>
      </c>
      <c r="G940" s="9" t="b">
        <v>0</v>
      </c>
      <c r="H940" s="9">
        <v>5</v>
      </c>
      <c r="I940" s="9">
        <v>1</v>
      </c>
      <c r="J940" s="9">
        <v>0.3</v>
      </c>
      <c r="K940" s="9">
        <v>0.33329999999999999</v>
      </c>
      <c r="L940" s="9">
        <v>0.24</v>
      </c>
      <c r="M940" s="9">
        <v>0</v>
      </c>
      <c r="N940" s="9">
        <v>18</v>
      </c>
      <c r="O940" s="9">
        <v>193</v>
      </c>
      <c r="P940" s="9">
        <v>211</v>
      </c>
      <c r="Q940" s="13" t="s">
        <v>98</v>
      </c>
      <c r="R940" s="13" t="s">
        <v>79</v>
      </c>
      <c r="S940" s="9" t="s">
        <v>80</v>
      </c>
      <c r="T940" s="13" t="s">
        <v>81</v>
      </c>
      <c r="U940" s="15" t="s">
        <v>95</v>
      </c>
      <c r="V940" s="13" t="s">
        <v>93</v>
      </c>
      <c r="W940" s="13" t="s">
        <v>90</v>
      </c>
      <c r="X940" s="9" t="s">
        <v>85</v>
      </c>
      <c r="Y940" s="13" t="s">
        <v>99</v>
      </c>
      <c r="Z940">
        <f t="shared" si="85"/>
        <v>15</v>
      </c>
      <c r="AA940" s="39">
        <f t="shared" si="86"/>
        <v>64.34615384615384</v>
      </c>
      <c r="AB940" s="39">
        <f t="shared" si="87"/>
        <v>7337.8960567161557</v>
      </c>
      <c r="AC940">
        <f t="shared" si="90"/>
        <v>0.9999777157586679</v>
      </c>
      <c r="AD940">
        <f t="shared" si="88"/>
        <v>0.99995417768544337</v>
      </c>
      <c r="AE940">
        <f t="shared" si="89"/>
        <v>843</v>
      </c>
    </row>
    <row r="941" spans="1:31">
      <c r="A941" s="10">
        <v>940</v>
      </c>
      <c r="B941" s="31">
        <v>40585</v>
      </c>
      <c r="C941" s="10">
        <v>1</v>
      </c>
      <c r="D941" s="10">
        <v>0</v>
      </c>
      <c r="E941" s="10">
        <v>2</v>
      </c>
      <c r="F941" s="10">
        <v>18</v>
      </c>
      <c r="G941" s="10" t="b">
        <v>0</v>
      </c>
      <c r="H941" s="10">
        <v>5</v>
      </c>
      <c r="I941" s="10">
        <v>1</v>
      </c>
      <c r="J941" s="10">
        <v>0.28000000000000003</v>
      </c>
      <c r="K941" s="10">
        <v>0.31819999999999998</v>
      </c>
      <c r="L941" s="10">
        <v>0.28000000000000003</v>
      </c>
      <c r="M941" s="10">
        <v>0</v>
      </c>
      <c r="N941" s="10">
        <v>9</v>
      </c>
      <c r="O941" s="10">
        <v>165</v>
      </c>
      <c r="P941" s="10">
        <v>174</v>
      </c>
      <c r="Q941" s="13" t="s">
        <v>98</v>
      </c>
      <c r="R941" s="13" t="s">
        <v>79</v>
      </c>
      <c r="S941" s="10" t="s">
        <v>80</v>
      </c>
      <c r="T941" s="13" t="s">
        <v>81</v>
      </c>
      <c r="U941" s="15" t="s">
        <v>95</v>
      </c>
      <c r="V941" s="13" t="s">
        <v>93</v>
      </c>
      <c r="W941" s="13" t="s">
        <v>90</v>
      </c>
      <c r="X941" s="10" t="s">
        <v>85</v>
      </c>
      <c r="Y941" s="13" t="s">
        <v>99</v>
      </c>
      <c r="Z941">
        <f t="shared" si="85"/>
        <v>14</v>
      </c>
      <c r="AA941" s="39">
        <f t="shared" si="86"/>
        <v>61.470588235294116</v>
      </c>
      <c r="AB941" s="39">
        <f t="shared" si="87"/>
        <v>7397.1194934852174</v>
      </c>
      <c r="AC941">
        <f t="shared" si="90"/>
        <v>0.99998073471748095</v>
      </c>
      <c r="AD941">
        <f t="shared" si="88"/>
        <v>0.99995873661996215</v>
      </c>
      <c r="AE941">
        <f t="shared" si="89"/>
        <v>632</v>
      </c>
    </row>
    <row r="942" spans="1:31">
      <c r="A942" s="9">
        <v>941</v>
      </c>
      <c r="B942" s="30">
        <v>40585</v>
      </c>
      <c r="C942" s="9">
        <v>1</v>
      </c>
      <c r="D942" s="9">
        <v>0</v>
      </c>
      <c r="E942" s="9">
        <v>2</v>
      </c>
      <c r="F942" s="9">
        <v>19</v>
      </c>
      <c r="G942" s="9" t="b">
        <v>0</v>
      </c>
      <c r="H942" s="9">
        <v>5</v>
      </c>
      <c r="I942" s="9">
        <v>1</v>
      </c>
      <c r="J942" s="9">
        <v>0.26</v>
      </c>
      <c r="K942" s="9">
        <v>0.30299999999999999</v>
      </c>
      <c r="L942" s="9">
        <v>0.33</v>
      </c>
      <c r="M942" s="9">
        <v>0</v>
      </c>
      <c r="N942" s="9">
        <v>7</v>
      </c>
      <c r="O942" s="9">
        <v>94</v>
      </c>
      <c r="P942" s="9">
        <v>101</v>
      </c>
      <c r="Q942" s="13" t="s">
        <v>98</v>
      </c>
      <c r="R942" s="13" t="s">
        <v>79</v>
      </c>
      <c r="S942" s="9" t="s">
        <v>80</v>
      </c>
      <c r="T942" s="13" t="s">
        <v>81</v>
      </c>
      <c r="U942" s="15" t="s">
        <v>95</v>
      </c>
      <c r="V942" s="13" t="s">
        <v>93</v>
      </c>
      <c r="W942" s="13" t="s">
        <v>90</v>
      </c>
      <c r="X942" s="9" t="s">
        <v>85</v>
      </c>
      <c r="Y942" s="13" t="s">
        <v>99</v>
      </c>
      <c r="Z942">
        <f t="shared" si="85"/>
        <v>13</v>
      </c>
      <c r="AA942" s="39">
        <f t="shared" si="86"/>
        <v>59.22</v>
      </c>
      <c r="AB942" s="39">
        <f t="shared" si="87"/>
        <v>7457.7326818610472</v>
      </c>
      <c r="AC942">
        <f t="shared" si="90"/>
        <v>0.99998263749952188</v>
      </c>
      <c r="AD942">
        <f t="shared" si="88"/>
        <v>0.99996150570993581</v>
      </c>
      <c r="AE942">
        <f t="shared" si="89"/>
        <v>458</v>
      </c>
    </row>
    <row r="943" spans="1:31">
      <c r="A943" s="10">
        <v>942</v>
      </c>
      <c r="B943" s="31">
        <v>40585</v>
      </c>
      <c r="C943" s="10">
        <v>1</v>
      </c>
      <c r="D943" s="10">
        <v>0</v>
      </c>
      <c r="E943" s="10">
        <v>2</v>
      </c>
      <c r="F943" s="10">
        <v>20</v>
      </c>
      <c r="G943" s="10" t="b">
        <v>0</v>
      </c>
      <c r="H943" s="10">
        <v>5</v>
      </c>
      <c r="I943" s="10">
        <v>1</v>
      </c>
      <c r="J943" s="10">
        <v>0.22</v>
      </c>
      <c r="K943" s="10">
        <v>0.2273</v>
      </c>
      <c r="L943" s="10">
        <v>0.55000000000000004</v>
      </c>
      <c r="M943" s="10">
        <v>0.1343</v>
      </c>
      <c r="N943" s="10">
        <v>2</v>
      </c>
      <c r="O943" s="10">
        <v>61</v>
      </c>
      <c r="P943" s="10">
        <v>63</v>
      </c>
      <c r="Q943" s="13" t="s">
        <v>98</v>
      </c>
      <c r="R943" s="13" t="s">
        <v>79</v>
      </c>
      <c r="S943" s="10" t="s">
        <v>80</v>
      </c>
      <c r="T943" s="13" t="s">
        <v>81</v>
      </c>
      <c r="U943" s="16" t="s">
        <v>97</v>
      </c>
      <c r="V943" s="11" t="s">
        <v>87</v>
      </c>
      <c r="W943" s="15" t="s">
        <v>84</v>
      </c>
      <c r="X943" s="10" t="s">
        <v>85</v>
      </c>
      <c r="Y943" s="13" t="s">
        <v>99</v>
      </c>
      <c r="Z943">
        <f t="shared" si="85"/>
        <v>12</v>
      </c>
      <c r="AA943" s="39">
        <f t="shared" si="86"/>
        <v>58.367346938775512</v>
      </c>
      <c r="AB943" s="39">
        <f t="shared" si="87"/>
        <v>7519.714300604237</v>
      </c>
      <c r="AC943">
        <f t="shared" si="90"/>
        <v>0.99998296138204879</v>
      </c>
      <c r="AD943">
        <f t="shared" si="88"/>
        <v>0.9999620315607618</v>
      </c>
      <c r="AE943">
        <f t="shared" si="89"/>
        <v>357</v>
      </c>
    </row>
    <row r="944" spans="1:31">
      <c r="A944" s="9">
        <v>943</v>
      </c>
      <c r="B944" s="30">
        <v>40585</v>
      </c>
      <c r="C944" s="9">
        <v>1</v>
      </c>
      <c r="D944" s="9">
        <v>0</v>
      </c>
      <c r="E944" s="9">
        <v>2</v>
      </c>
      <c r="F944" s="9">
        <v>21</v>
      </c>
      <c r="G944" s="9" t="b">
        <v>0</v>
      </c>
      <c r="H944" s="9">
        <v>5</v>
      </c>
      <c r="I944" s="9">
        <v>1</v>
      </c>
      <c r="J944" s="9">
        <v>0.2</v>
      </c>
      <c r="K944" s="9">
        <v>0.21210000000000001</v>
      </c>
      <c r="L944" s="9">
        <v>0.59</v>
      </c>
      <c r="M944" s="9">
        <v>0.1343</v>
      </c>
      <c r="N944" s="9">
        <v>1</v>
      </c>
      <c r="O944" s="9">
        <v>46</v>
      </c>
      <c r="P944" s="9">
        <v>47</v>
      </c>
      <c r="Q944" s="13" t="s">
        <v>98</v>
      </c>
      <c r="R944" s="13" t="s">
        <v>79</v>
      </c>
      <c r="S944" s="9" t="s">
        <v>80</v>
      </c>
      <c r="T944" s="13" t="s">
        <v>81</v>
      </c>
      <c r="U944" s="16" t="s">
        <v>97</v>
      </c>
      <c r="V944" s="11" t="s">
        <v>87</v>
      </c>
      <c r="W944" s="15" t="s">
        <v>84</v>
      </c>
      <c r="X944" s="9" t="s">
        <v>85</v>
      </c>
      <c r="Y944" s="13" t="s">
        <v>99</v>
      </c>
      <c r="Z944">
        <f t="shared" si="85"/>
        <v>11</v>
      </c>
      <c r="AA944" s="39">
        <f t="shared" si="86"/>
        <v>58.270833333333336</v>
      </c>
      <c r="AB944" s="39">
        <f t="shared" si="87"/>
        <v>7583.184327645512</v>
      </c>
      <c r="AC944">
        <f t="shared" si="90"/>
        <v>0.99998302079934964</v>
      </c>
      <c r="AD944">
        <f t="shared" si="88"/>
        <v>0.99996202077517982</v>
      </c>
      <c r="AE944">
        <f t="shared" si="89"/>
        <v>294</v>
      </c>
    </row>
    <row r="945" spans="1:31">
      <c r="A945" s="10">
        <v>944</v>
      </c>
      <c r="B945" s="31">
        <v>40585</v>
      </c>
      <c r="C945" s="10">
        <v>1</v>
      </c>
      <c r="D945" s="10">
        <v>0</v>
      </c>
      <c r="E945" s="10">
        <v>2</v>
      </c>
      <c r="F945" s="10">
        <v>22</v>
      </c>
      <c r="G945" s="10" t="b">
        <v>0</v>
      </c>
      <c r="H945" s="10">
        <v>5</v>
      </c>
      <c r="I945" s="10">
        <v>1</v>
      </c>
      <c r="J945" s="10">
        <v>0.2</v>
      </c>
      <c r="K945" s="10">
        <v>0.2273</v>
      </c>
      <c r="L945" s="10">
        <v>0.64</v>
      </c>
      <c r="M945" s="10">
        <v>8.9599999999999999E-2</v>
      </c>
      <c r="N945" s="10">
        <v>2</v>
      </c>
      <c r="O945" s="10">
        <v>41</v>
      </c>
      <c r="P945" s="10">
        <v>43</v>
      </c>
      <c r="Q945" s="13" t="s">
        <v>98</v>
      </c>
      <c r="R945" s="13" t="s">
        <v>79</v>
      </c>
      <c r="S945" s="10" t="s">
        <v>80</v>
      </c>
      <c r="T945" s="13" t="s">
        <v>81</v>
      </c>
      <c r="U945" s="16" t="s">
        <v>97</v>
      </c>
      <c r="V945" s="11" t="s">
        <v>87</v>
      </c>
      <c r="W945" s="15" t="s">
        <v>84</v>
      </c>
      <c r="X945" s="10" t="s">
        <v>85</v>
      </c>
      <c r="Y945" s="13" t="s">
        <v>99</v>
      </c>
      <c r="Z945">
        <f t="shared" si="85"/>
        <v>10</v>
      </c>
      <c r="AA945" s="39">
        <f t="shared" si="86"/>
        <v>58.51063829787234</v>
      </c>
      <c r="AB945" s="39">
        <f t="shared" si="87"/>
        <v>7648.2521677054192</v>
      </c>
      <c r="AC945">
        <f t="shared" si="90"/>
        <v>0.99998303261404198</v>
      </c>
      <c r="AD945">
        <f t="shared" si="88"/>
        <v>0.99996206863901993</v>
      </c>
      <c r="AE945">
        <f t="shared" si="89"/>
        <v>247</v>
      </c>
    </row>
    <row r="946" spans="1:31">
      <c r="A946" s="9">
        <v>945</v>
      </c>
      <c r="B946" s="30">
        <v>40585</v>
      </c>
      <c r="C946" s="9">
        <v>1</v>
      </c>
      <c r="D946" s="9">
        <v>0</v>
      </c>
      <c r="E946" s="9">
        <v>2</v>
      </c>
      <c r="F946" s="9">
        <v>23</v>
      </c>
      <c r="G946" s="9" t="b">
        <v>0</v>
      </c>
      <c r="H946" s="9">
        <v>5</v>
      </c>
      <c r="I946" s="9">
        <v>1</v>
      </c>
      <c r="J946" s="9">
        <v>0.18</v>
      </c>
      <c r="K946" s="9">
        <v>0.2424</v>
      </c>
      <c r="L946" s="9">
        <v>0.69</v>
      </c>
      <c r="M946" s="9">
        <v>0</v>
      </c>
      <c r="N946" s="9">
        <v>5</v>
      </c>
      <c r="O946" s="9">
        <v>48</v>
      </c>
      <c r="P946" s="9">
        <v>53</v>
      </c>
      <c r="Q946" s="13" t="s">
        <v>98</v>
      </c>
      <c r="R946" s="13" t="s">
        <v>79</v>
      </c>
      <c r="S946" s="9" t="s">
        <v>80</v>
      </c>
      <c r="T946" s="13" t="s">
        <v>81</v>
      </c>
      <c r="U946" s="16" t="s">
        <v>97</v>
      </c>
      <c r="V946" s="11" t="s">
        <v>87</v>
      </c>
      <c r="W946" s="15" t="s">
        <v>84</v>
      </c>
      <c r="X946" s="9" t="s">
        <v>85</v>
      </c>
      <c r="Y946" s="13" t="s">
        <v>99</v>
      </c>
      <c r="Z946">
        <f t="shared" si="85"/>
        <v>9</v>
      </c>
      <c r="AA946" s="39">
        <f t="shared" si="86"/>
        <v>58.847826086956523</v>
      </c>
      <c r="AB946" s="39">
        <f t="shared" si="87"/>
        <v>7715.0146277740077</v>
      </c>
      <c r="AC946">
        <f t="shared" si="90"/>
        <v>0.99998303415317646</v>
      </c>
      <c r="AD946">
        <f t="shared" si="88"/>
        <v>0.99996218573846296</v>
      </c>
      <c r="AE946">
        <f t="shared" si="89"/>
        <v>204</v>
      </c>
    </row>
    <row r="947" spans="1:31">
      <c r="A947" s="10">
        <v>946</v>
      </c>
      <c r="B947" s="31">
        <v>40586</v>
      </c>
      <c r="C947" s="10">
        <v>1</v>
      </c>
      <c r="D947" s="10">
        <v>0</v>
      </c>
      <c r="E947" s="10">
        <v>2</v>
      </c>
      <c r="F947" s="10">
        <v>0</v>
      </c>
      <c r="G947" s="10" t="b">
        <v>0</v>
      </c>
      <c r="H947" s="10">
        <v>6</v>
      </c>
      <c r="I947" s="10">
        <v>1</v>
      </c>
      <c r="J947" s="10">
        <v>0.16</v>
      </c>
      <c r="K947" s="10">
        <v>0.19700000000000001</v>
      </c>
      <c r="L947" s="10">
        <v>0.69</v>
      </c>
      <c r="M947" s="10">
        <v>8.9599999999999999E-2</v>
      </c>
      <c r="N947" s="10">
        <v>3</v>
      </c>
      <c r="O947" s="10">
        <v>27</v>
      </c>
      <c r="P947" s="10">
        <v>30</v>
      </c>
      <c r="Q947" s="12" t="s">
        <v>78</v>
      </c>
      <c r="R947" s="13" t="s">
        <v>79</v>
      </c>
      <c r="S947" s="10" t="s">
        <v>80</v>
      </c>
      <c r="T947" s="13" t="s">
        <v>81</v>
      </c>
      <c r="U947" s="14" t="s">
        <v>82</v>
      </c>
      <c r="V947" s="11" t="s">
        <v>87</v>
      </c>
      <c r="W947" s="15" t="s">
        <v>84</v>
      </c>
      <c r="X947" s="10" t="s">
        <v>85</v>
      </c>
      <c r="Y947" s="12" t="s">
        <v>86</v>
      </c>
      <c r="Z947">
        <f t="shared" si="85"/>
        <v>8</v>
      </c>
      <c r="AA947" s="39">
        <f t="shared" si="86"/>
        <v>58.977777777777774</v>
      </c>
      <c r="AB947" s="39">
        <f t="shared" si="87"/>
        <v>7783.581024415199</v>
      </c>
      <c r="AC947">
        <f t="shared" si="90"/>
        <v>0.99998310615768693</v>
      </c>
      <c r="AD947">
        <f t="shared" si="88"/>
        <v>0.99996226604194982</v>
      </c>
      <c r="AE947">
        <f t="shared" si="89"/>
        <v>151</v>
      </c>
    </row>
    <row r="948" spans="1:31">
      <c r="A948" s="9">
        <v>947</v>
      </c>
      <c r="B948" s="30">
        <v>40586</v>
      </c>
      <c r="C948" s="9">
        <v>1</v>
      </c>
      <c r="D948" s="9">
        <v>0</v>
      </c>
      <c r="E948" s="9">
        <v>2</v>
      </c>
      <c r="F948" s="9">
        <v>1</v>
      </c>
      <c r="G948" s="9" t="b">
        <v>0</v>
      </c>
      <c r="H948" s="9">
        <v>6</v>
      </c>
      <c r="I948" s="9">
        <v>1</v>
      </c>
      <c r="J948" s="9">
        <v>0.14000000000000001</v>
      </c>
      <c r="K948" s="9">
        <v>0.21210000000000001</v>
      </c>
      <c r="L948" s="9">
        <v>0.86</v>
      </c>
      <c r="M948" s="9">
        <v>0</v>
      </c>
      <c r="N948" s="9">
        <v>2</v>
      </c>
      <c r="O948" s="9">
        <v>22</v>
      </c>
      <c r="P948" s="9">
        <v>24</v>
      </c>
      <c r="Q948" s="12" t="s">
        <v>78</v>
      </c>
      <c r="R948" s="13" t="s">
        <v>79</v>
      </c>
      <c r="S948" s="9" t="s">
        <v>80</v>
      </c>
      <c r="T948" s="13" t="s">
        <v>81</v>
      </c>
      <c r="U948" s="14" t="s">
        <v>82</v>
      </c>
      <c r="V948" s="12" t="s">
        <v>83</v>
      </c>
      <c r="W948" s="15" t="s">
        <v>84</v>
      </c>
      <c r="X948" s="9" t="s">
        <v>85</v>
      </c>
      <c r="Y948" s="12" t="s">
        <v>86</v>
      </c>
      <c r="Z948">
        <f t="shared" si="85"/>
        <v>8</v>
      </c>
      <c r="AA948" s="39">
        <f t="shared" si="86"/>
        <v>59.636363636363633</v>
      </c>
      <c r="AB948" s="39">
        <f t="shared" si="87"/>
        <v>7853.9502866852872</v>
      </c>
      <c r="AC948">
        <f t="shared" si="90"/>
        <v>0.99998310504495824</v>
      </c>
      <c r="AD948">
        <f t="shared" si="88"/>
        <v>0.99996260588263464</v>
      </c>
      <c r="AE948">
        <f t="shared" si="89"/>
        <v>151</v>
      </c>
    </row>
    <row r="949" spans="1:31">
      <c r="A949" s="10">
        <v>948</v>
      </c>
      <c r="B949" s="31">
        <v>40586</v>
      </c>
      <c r="C949" s="10">
        <v>1</v>
      </c>
      <c r="D949" s="10">
        <v>0</v>
      </c>
      <c r="E949" s="10">
        <v>2</v>
      </c>
      <c r="F949" s="10">
        <v>2</v>
      </c>
      <c r="G949" s="10" t="b">
        <v>0</v>
      </c>
      <c r="H949" s="10">
        <v>6</v>
      </c>
      <c r="I949" s="10">
        <v>1</v>
      </c>
      <c r="J949" s="10">
        <v>0.14000000000000001</v>
      </c>
      <c r="K949" s="10">
        <v>0.21210000000000001</v>
      </c>
      <c r="L949" s="10">
        <v>0.8</v>
      </c>
      <c r="M949" s="10">
        <v>0</v>
      </c>
      <c r="N949" s="10">
        <v>2</v>
      </c>
      <c r="O949" s="10">
        <v>13</v>
      </c>
      <c r="P949" s="10">
        <v>15</v>
      </c>
      <c r="Q949" s="12" t="s">
        <v>78</v>
      </c>
      <c r="R949" s="13" t="s">
        <v>79</v>
      </c>
      <c r="S949" s="10" t="s">
        <v>80</v>
      </c>
      <c r="T949" s="13" t="s">
        <v>81</v>
      </c>
      <c r="U949" s="14" t="s">
        <v>82</v>
      </c>
      <c r="V949" s="12" t="s">
        <v>83</v>
      </c>
      <c r="W949" s="15" t="s">
        <v>84</v>
      </c>
      <c r="X949" s="10" t="s">
        <v>85</v>
      </c>
      <c r="Y949" s="12" t="s">
        <v>86</v>
      </c>
      <c r="Z949">
        <f t="shared" si="85"/>
        <v>8</v>
      </c>
      <c r="AA949" s="39">
        <f t="shared" si="86"/>
        <v>60.465116279069768</v>
      </c>
      <c r="AB949" s="39">
        <f t="shared" si="87"/>
        <v>7926.2473670426134</v>
      </c>
      <c r="AC949">
        <f t="shared" si="90"/>
        <v>0.99998310325992412</v>
      </c>
      <c r="AD949">
        <f t="shared" si="88"/>
        <v>0.99996338430631537</v>
      </c>
      <c r="AE949">
        <f t="shared" si="89"/>
        <v>151</v>
      </c>
    </row>
    <row r="950" spans="1:31">
      <c r="A950" s="9">
        <v>949</v>
      </c>
      <c r="B950" s="30">
        <v>40586</v>
      </c>
      <c r="C950" s="9">
        <v>1</v>
      </c>
      <c r="D950" s="9">
        <v>0</v>
      </c>
      <c r="E950" s="9">
        <v>2</v>
      </c>
      <c r="F950" s="9">
        <v>3</v>
      </c>
      <c r="G950" s="9" t="b">
        <v>0</v>
      </c>
      <c r="H950" s="9">
        <v>6</v>
      </c>
      <c r="I950" s="9">
        <v>1</v>
      </c>
      <c r="J950" s="9">
        <v>0.12</v>
      </c>
      <c r="K950" s="9">
        <v>0.19700000000000001</v>
      </c>
      <c r="L950" s="9">
        <v>0.8</v>
      </c>
      <c r="M950" s="9">
        <v>0</v>
      </c>
      <c r="N950" s="9">
        <v>3</v>
      </c>
      <c r="O950" s="9">
        <v>7</v>
      </c>
      <c r="P950" s="9">
        <v>10</v>
      </c>
      <c r="Q950" s="12" t="s">
        <v>78</v>
      </c>
      <c r="R950" s="13" t="s">
        <v>79</v>
      </c>
      <c r="S950" s="9" t="s">
        <v>80</v>
      </c>
      <c r="T950" s="13" t="s">
        <v>81</v>
      </c>
      <c r="U950" s="14" t="s">
        <v>82</v>
      </c>
      <c r="V950" s="12" t="s">
        <v>83</v>
      </c>
      <c r="W950" s="15" t="s">
        <v>84</v>
      </c>
      <c r="X950" s="9" t="s">
        <v>85</v>
      </c>
      <c r="Y950" s="12" t="s">
        <v>86</v>
      </c>
      <c r="Z950">
        <f t="shared" si="85"/>
        <v>8</v>
      </c>
      <c r="AA950" s="39">
        <f t="shared" si="86"/>
        <v>61.547619047619051</v>
      </c>
      <c r="AB950" s="39">
        <f t="shared" si="87"/>
        <v>8000.5537193622158</v>
      </c>
      <c r="AC950">
        <f t="shared" si="90"/>
        <v>0.99998309864980439</v>
      </c>
      <c r="AD950">
        <f t="shared" si="88"/>
        <v>0.99996426164372754</v>
      </c>
      <c r="AE950">
        <f t="shared" si="89"/>
        <v>151</v>
      </c>
    </row>
    <row r="951" spans="1:31">
      <c r="A951" s="10">
        <v>950</v>
      </c>
      <c r="B951" s="31">
        <v>40586</v>
      </c>
      <c r="C951" s="10">
        <v>1</v>
      </c>
      <c r="D951" s="10">
        <v>0</v>
      </c>
      <c r="E951" s="10">
        <v>2</v>
      </c>
      <c r="F951" s="10">
        <v>4</v>
      </c>
      <c r="G951" s="10" t="b">
        <v>0</v>
      </c>
      <c r="H951" s="10">
        <v>6</v>
      </c>
      <c r="I951" s="10">
        <v>1</v>
      </c>
      <c r="J951" s="10">
        <v>0.12</v>
      </c>
      <c r="K951" s="10">
        <v>0.16669999999999999</v>
      </c>
      <c r="L951" s="10">
        <v>0.74</v>
      </c>
      <c r="M951" s="10">
        <v>8.9599999999999999E-2</v>
      </c>
      <c r="N951" s="10">
        <v>0</v>
      </c>
      <c r="O951" s="10">
        <v>4</v>
      </c>
      <c r="P951" s="10">
        <v>4</v>
      </c>
      <c r="Q951" s="12" t="s">
        <v>78</v>
      </c>
      <c r="R951" s="13" t="s">
        <v>79</v>
      </c>
      <c r="S951" s="10" t="s">
        <v>80</v>
      </c>
      <c r="T951" s="13" t="s">
        <v>81</v>
      </c>
      <c r="U951" s="14" t="s">
        <v>82</v>
      </c>
      <c r="V951" s="12" t="s">
        <v>83</v>
      </c>
      <c r="W951" s="15" t="s">
        <v>84</v>
      </c>
      <c r="X951" s="10" t="s">
        <v>85</v>
      </c>
      <c r="Y951" s="12" t="s">
        <v>86</v>
      </c>
      <c r="Z951">
        <f t="shared" si="85"/>
        <v>8</v>
      </c>
      <c r="AA951" s="39">
        <f t="shared" si="86"/>
        <v>62.804878048780488</v>
      </c>
      <c r="AB951" s="39">
        <f t="shared" si="87"/>
        <v>8076.9755514330027</v>
      </c>
      <c r="AC951">
        <f t="shared" si="90"/>
        <v>0.99998309313357359</v>
      </c>
      <c r="AD951">
        <f t="shared" si="88"/>
        <v>0.99996529695080494</v>
      </c>
      <c r="AE951">
        <f t="shared" si="89"/>
        <v>151</v>
      </c>
    </row>
    <row r="952" spans="1:31">
      <c r="A952" s="9">
        <v>951</v>
      </c>
      <c r="B952" s="30">
        <v>40586</v>
      </c>
      <c r="C952" s="9">
        <v>1</v>
      </c>
      <c r="D952" s="9">
        <v>0</v>
      </c>
      <c r="E952" s="9">
        <v>2</v>
      </c>
      <c r="F952" s="9">
        <v>5</v>
      </c>
      <c r="G952" s="9" t="b">
        <v>0</v>
      </c>
      <c r="H952" s="9">
        <v>6</v>
      </c>
      <c r="I952" s="9">
        <v>1</v>
      </c>
      <c r="J952" s="9">
        <v>0.12</v>
      </c>
      <c r="K952" s="9">
        <v>0.16669999999999999</v>
      </c>
      <c r="L952" s="9">
        <v>0.74</v>
      </c>
      <c r="M952" s="9">
        <v>8.9599999999999999E-2</v>
      </c>
      <c r="N952" s="9">
        <v>0</v>
      </c>
      <c r="O952" s="9">
        <v>1</v>
      </c>
      <c r="P952" s="9">
        <v>1</v>
      </c>
      <c r="Q952" s="12" t="s">
        <v>78</v>
      </c>
      <c r="R952" s="13" t="s">
        <v>79</v>
      </c>
      <c r="S952" s="9" t="s">
        <v>80</v>
      </c>
      <c r="T952" s="13" t="s">
        <v>81</v>
      </c>
      <c r="U952" s="15" t="s">
        <v>89</v>
      </c>
      <c r="V952" s="12" t="s">
        <v>83</v>
      </c>
      <c r="W952" s="15" t="s">
        <v>84</v>
      </c>
      <c r="X952" s="9" t="s">
        <v>85</v>
      </c>
      <c r="Y952" s="12" t="s">
        <v>86</v>
      </c>
      <c r="Z952">
        <f t="shared" si="85"/>
        <v>8</v>
      </c>
      <c r="AA952" s="39">
        <f t="shared" si="86"/>
        <v>64.275000000000006</v>
      </c>
      <c r="AB952" s="39">
        <f t="shared" si="87"/>
        <v>8155.6122891047289</v>
      </c>
      <c r="AC952">
        <f t="shared" si="90"/>
        <v>0.9999830983604816</v>
      </c>
      <c r="AD952">
        <f t="shared" si="88"/>
        <v>0.99996637427138502</v>
      </c>
      <c r="AE952">
        <f t="shared" si="89"/>
        <v>151</v>
      </c>
    </row>
    <row r="953" spans="1:31">
      <c r="A953" s="10">
        <v>952</v>
      </c>
      <c r="B953" s="31">
        <v>40586</v>
      </c>
      <c r="C953" s="10">
        <v>1</v>
      </c>
      <c r="D953" s="10">
        <v>0</v>
      </c>
      <c r="E953" s="10">
        <v>2</v>
      </c>
      <c r="F953" s="10">
        <v>6</v>
      </c>
      <c r="G953" s="10" t="b">
        <v>0</v>
      </c>
      <c r="H953" s="10">
        <v>6</v>
      </c>
      <c r="I953" s="10">
        <v>1</v>
      </c>
      <c r="J953" s="10">
        <v>0.12</v>
      </c>
      <c r="K953" s="10">
        <v>0.13639999999999999</v>
      </c>
      <c r="L953" s="10">
        <v>0.93</v>
      </c>
      <c r="M953" s="10">
        <v>0.19400000000000001</v>
      </c>
      <c r="N953" s="10">
        <v>1</v>
      </c>
      <c r="O953" s="10">
        <v>1</v>
      </c>
      <c r="P953" s="10">
        <v>2</v>
      </c>
      <c r="Q953" s="12" t="s">
        <v>78</v>
      </c>
      <c r="R953" s="13" t="s">
        <v>79</v>
      </c>
      <c r="S953" s="10" t="s">
        <v>80</v>
      </c>
      <c r="T953" s="13" t="s">
        <v>81</v>
      </c>
      <c r="U953" s="15" t="s">
        <v>89</v>
      </c>
      <c r="V953" s="12" t="s">
        <v>83</v>
      </c>
      <c r="W953" s="15" t="s">
        <v>84</v>
      </c>
      <c r="X953" s="10" t="s">
        <v>85</v>
      </c>
      <c r="Y953" s="12" t="s">
        <v>86</v>
      </c>
      <c r="Z953">
        <f t="shared" si="85"/>
        <v>8</v>
      </c>
      <c r="AA953" s="39">
        <f t="shared" si="86"/>
        <v>65.897435897435898</v>
      </c>
      <c r="AB953" s="39">
        <f t="shared" si="87"/>
        <v>8236.5822136146162</v>
      </c>
      <c r="AC953">
        <f t="shared" si="90"/>
        <v>0.99998311360775771</v>
      </c>
      <c r="AD953">
        <f t="shared" si="88"/>
        <v>0.99996757707945771</v>
      </c>
      <c r="AE953">
        <f t="shared" si="89"/>
        <v>151</v>
      </c>
    </row>
    <row r="954" spans="1:31">
      <c r="A954" s="9">
        <v>953</v>
      </c>
      <c r="B954" s="30">
        <v>40586</v>
      </c>
      <c r="C954" s="9">
        <v>1</v>
      </c>
      <c r="D954" s="9">
        <v>0</v>
      </c>
      <c r="E954" s="9">
        <v>2</v>
      </c>
      <c r="F954" s="9">
        <v>7</v>
      </c>
      <c r="G954" s="9" t="b">
        <v>0</v>
      </c>
      <c r="H954" s="9">
        <v>6</v>
      </c>
      <c r="I954" s="9">
        <v>1</v>
      </c>
      <c r="J954" s="9">
        <v>0.12</v>
      </c>
      <c r="K954" s="9">
        <v>0.1515</v>
      </c>
      <c r="L954" s="9">
        <v>0.8</v>
      </c>
      <c r="M954" s="9">
        <v>0.1045</v>
      </c>
      <c r="N954" s="9">
        <v>2</v>
      </c>
      <c r="O954" s="9">
        <v>9</v>
      </c>
      <c r="P954" s="9">
        <v>11</v>
      </c>
      <c r="Q954" s="12" t="s">
        <v>78</v>
      </c>
      <c r="R954" s="13" t="s">
        <v>79</v>
      </c>
      <c r="S954" s="9" t="s">
        <v>80</v>
      </c>
      <c r="T954" s="13" t="s">
        <v>81</v>
      </c>
      <c r="U954" s="15" t="s">
        <v>89</v>
      </c>
      <c r="V954" s="12" t="s">
        <v>83</v>
      </c>
      <c r="W954" s="15" t="s">
        <v>84</v>
      </c>
      <c r="X954" s="9" t="s">
        <v>85</v>
      </c>
      <c r="Y954" s="12" t="s">
        <v>86</v>
      </c>
      <c r="Z954">
        <f t="shared" si="85"/>
        <v>8</v>
      </c>
      <c r="AA954" s="39">
        <f t="shared" si="86"/>
        <v>67.578947368421055</v>
      </c>
      <c r="AB954" s="39">
        <f t="shared" si="87"/>
        <v>8320.015635972275</v>
      </c>
      <c r="AC954">
        <f t="shared" si="90"/>
        <v>0.99998312586129634</v>
      </c>
      <c r="AD954">
        <f t="shared" si="88"/>
        <v>0.99996938392440549</v>
      </c>
      <c r="AE954">
        <f t="shared" si="89"/>
        <v>151</v>
      </c>
    </row>
    <row r="955" spans="1:31">
      <c r="A955" s="10">
        <v>954</v>
      </c>
      <c r="B955" s="31">
        <v>40586</v>
      </c>
      <c r="C955" s="10">
        <v>1</v>
      </c>
      <c r="D955" s="10">
        <v>0</v>
      </c>
      <c r="E955" s="10">
        <v>2</v>
      </c>
      <c r="F955" s="10">
        <v>8</v>
      </c>
      <c r="G955" s="10" t="b">
        <v>0</v>
      </c>
      <c r="H955" s="10">
        <v>6</v>
      </c>
      <c r="I955" s="10">
        <v>1</v>
      </c>
      <c r="J955" s="10">
        <v>0.14000000000000001</v>
      </c>
      <c r="K955" s="10">
        <v>0.1515</v>
      </c>
      <c r="L955" s="10">
        <v>0.86</v>
      </c>
      <c r="M955" s="10">
        <v>0.1343</v>
      </c>
      <c r="N955" s="10">
        <v>2</v>
      </c>
      <c r="O955" s="10">
        <v>28</v>
      </c>
      <c r="P955" s="10">
        <v>30</v>
      </c>
      <c r="Q955" s="12" t="s">
        <v>78</v>
      </c>
      <c r="R955" s="13" t="s">
        <v>79</v>
      </c>
      <c r="S955" s="10" t="s">
        <v>80</v>
      </c>
      <c r="T955" s="13" t="s">
        <v>81</v>
      </c>
      <c r="U955" s="15" t="s">
        <v>89</v>
      </c>
      <c r="V955" s="11" t="s">
        <v>87</v>
      </c>
      <c r="W955" s="15" t="s">
        <v>84</v>
      </c>
      <c r="X955" s="10" t="s">
        <v>85</v>
      </c>
      <c r="Y955" s="12" t="s">
        <v>86</v>
      </c>
      <c r="Z955">
        <f t="shared" si="85"/>
        <v>8</v>
      </c>
      <c r="AA955" s="39">
        <f t="shared" si="86"/>
        <v>69.108108108108112</v>
      </c>
      <c r="AB955" s="39">
        <f t="shared" si="87"/>
        <v>8406.065793441674</v>
      </c>
      <c r="AC955">
        <f t="shared" si="90"/>
        <v>0.99998311894341674</v>
      </c>
      <c r="AD955">
        <f t="shared" si="88"/>
        <v>0.99997059165832258</v>
      </c>
      <c r="AE955">
        <f t="shared" si="89"/>
        <v>151</v>
      </c>
    </row>
    <row r="956" spans="1:31">
      <c r="A956" s="9">
        <v>955</v>
      </c>
      <c r="B956" s="30">
        <v>40586</v>
      </c>
      <c r="C956" s="9">
        <v>1</v>
      </c>
      <c r="D956" s="9">
        <v>0</v>
      </c>
      <c r="E956" s="9">
        <v>2</v>
      </c>
      <c r="F956" s="9">
        <v>9</v>
      </c>
      <c r="G956" s="9" t="b">
        <v>0</v>
      </c>
      <c r="H956" s="9">
        <v>6</v>
      </c>
      <c r="I956" s="9">
        <v>1</v>
      </c>
      <c r="J956" s="9">
        <v>0.16</v>
      </c>
      <c r="K956" s="9">
        <v>0.18179999999999999</v>
      </c>
      <c r="L956" s="9">
        <v>0.64</v>
      </c>
      <c r="M956" s="9">
        <v>0.1343</v>
      </c>
      <c r="N956" s="9">
        <v>5</v>
      </c>
      <c r="O956" s="9">
        <v>38</v>
      </c>
      <c r="P956" s="9">
        <v>43</v>
      </c>
      <c r="Q956" s="12" t="s">
        <v>78</v>
      </c>
      <c r="R956" s="13" t="s">
        <v>79</v>
      </c>
      <c r="S956" s="9" t="s">
        <v>80</v>
      </c>
      <c r="T956" s="13" t="s">
        <v>81</v>
      </c>
      <c r="U956" s="15" t="s">
        <v>89</v>
      </c>
      <c r="V956" s="11" t="s">
        <v>87</v>
      </c>
      <c r="W956" s="15" t="s">
        <v>84</v>
      </c>
      <c r="X956" s="9" t="s">
        <v>85</v>
      </c>
      <c r="Y956" s="12" t="s">
        <v>86</v>
      </c>
      <c r="Z956">
        <f t="shared" si="85"/>
        <v>8</v>
      </c>
      <c r="AA956" s="39">
        <f t="shared" si="86"/>
        <v>70.194444444444443</v>
      </c>
      <c r="AB956" s="39">
        <f t="shared" si="87"/>
        <v>8494.9046773542905</v>
      </c>
      <c r="AC956">
        <f t="shared" si="90"/>
        <v>0.99998312817050239</v>
      </c>
      <c r="AD956">
        <f t="shared" si="88"/>
        <v>0.9999715152307711</v>
      </c>
      <c r="AE956">
        <f t="shared" si="89"/>
        <v>151</v>
      </c>
    </row>
    <row r="957" spans="1:31">
      <c r="A957" s="10">
        <v>956</v>
      </c>
      <c r="B957" s="31">
        <v>40586</v>
      </c>
      <c r="C957" s="10">
        <v>1</v>
      </c>
      <c r="D957" s="10">
        <v>0</v>
      </c>
      <c r="E957" s="10">
        <v>2</v>
      </c>
      <c r="F957" s="10">
        <v>10</v>
      </c>
      <c r="G957" s="10" t="b">
        <v>0</v>
      </c>
      <c r="H957" s="10">
        <v>6</v>
      </c>
      <c r="I957" s="10">
        <v>1</v>
      </c>
      <c r="J957" s="10">
        <v>0.22</v>
      </c>
      <c r="K957" s="10">
        <v>0.21210000000000001</v>
      </c>
      <c r="L957" s="10">
        <v>0.41</v>
      </c>
      <c r="M957" s="10">
        <v>0.25369999999999998</v>
      </c>
      <c r="N957" s="10">
        <v>13</v>
      </c>
      <c r="O957" s="10">
        <v>71</v>
      </c>
      <c r="P957" s="10">
        <v>84</v>
      </c>
      <c r="Q957" s="12" t="s">
        <v>78</v>
      </c>
      <c r="R957" s="13" t="s">
        <v>79</v>
      </c>
      <c r="S957" s="10" t="s">
        <v>80</v>
      </c>
      <c r="T957" s="13" t="s">
        <v>81</v>
      </c>
      <c r="U957" s="13" t="s">
        <v>91</v>
      </c>
      <c r="V957" s="13" t="s">
        <v>93</v>
      </c>
      <c r="W957" s="15" t="s">
        <v>84</v>
      </c>
      <c r="X957" s="10" t="s">
        <v>85</v>
      </c>
      <c r="Y957" s="12" t="s">
        <v>86</v>
      </c>
      <c r="Z957">
        <f t="shared" si="85"/>
        <v>8</v>
      </c>
      <c r="AA957" s="39">
        <f t="shared" si="86"/>
        <v>70.971428571428575</v>
      </c>
      <c r="AB957" s="39">
        <f t="shared" si="87"/>
        <v>8586.6646233907013</v>
      </c>
      <c r="AC957">
        <f t="shared" si="90"/>
        <v>0.99998317079255394</v>
      </c>
      <c r="AD957">
        <f t="shared" si="88"/>
        <v>0.99997180958944309</v>
      </c>
      <c r="AE957">
        <f t="shared" si="89"/>
        <v>151</v>
      </c>
    </row>
    <row r="958" spans="1:31">
      <c r="A958" s="9">
        <v>957</v>
      </c>
      <c r="B958" s="30">
        <v>40586</v>
      </c>
      <c r="C958" s="9">
        <v>1</v>
      </c>
      <c r="D958" s="9">
        <v>0</v>
      </c>
      <c r="E958" s="9">
        <v>2</v>
      </c>
      <c r="F958" s="9">
        <v>11</v>
      </c>
      <c r="G958" s="9" t="b">
        <v>0</v>
      </c>
      <c r="H958" s="9">
        <v>6</v>
      </c>
      <c r="I958" s="9">
        <v>1</v>
      </c>
      <c r="J958" s="9">
        <v>0.3</v>
      </c>
      <c r="K958" s="9">
        <v>0.2727</v>
      </c>
      <c r="L958" s="9">
        <v>0.28000000000000003</v>
      </c>
      <c r="M958" s="9">
        <v>0.32840000000000003</v>
      </c>
      <c r="N958" s="9">
        <v>30</v>
      </c>
      <c r="O958" s="9">
        <v>84</v>
      </c>
      <c r="P958" s="9">
        <v>114</v>
      </c>
      <c r="Q958" s="12" t="s">
        <v>78</v>
      </c>
      <c r="R958" s="13" t="s">
        <v>79</v>
      </c>
      <c r="S958" s="9" t="s">
        <v>80</v>
      </c>
      <c r="T958" s="13" t="s">
        <v>81</v>
      </c>
      <c r="U958" s="13" t="s">
        <v>91</v>
      </c>
      <c r="V958" s="13" t="s">
        <v>93</v>
      </c>
      <c r="W958" s="13" t="s">
        <v>90</v>
      </c>
      <c r="X958" s="9" t="s">
        <v>85</v>
      </c>
      <c r="Y958" s="12" t="s">
        <v>86</v>
      </c>
      <c r="Z958">
        <f t="shared" si="85"/>
        <v>8</v>
      </c>
      <c r="AA958" s="39">
        <f t="shared" si="86"/>
        <v>70.588235294117652</v>
      </c>
      <c r="AB958" s="39">
        <f t="shared" si="87"/>
        <v>8681.6030654400802</v>
      </c>
      <c r="AC958">
        <f t="shared" si="90"/>
        <v>0.99998344237106196</v>
      </c>
      <c r="AD958">
        <f t="shared" si="88"/>
        <v>0.99997184754093826</v>
      </c>
      <c r="AE958">
        <f t="shared" si="89"/>
        <v>151</v>
      </c>
    </row>
    <row r="959" spans="1:31">
      <c r="A959" s="10">
        <v>958</v>
      </c>
      <c r="B959" s="31">
        <v>40586</v>
      </c>
      <c r="C959" s="10">
        <v>1</v>
      </c>
      <c r="D959" s="10">
        <v>0</v>
      </c>
      <c r="E959" s="10">
        <v>2</v>
      </c>
      <c r="F959" s="10">
        <v>12</v>
      </c>
      <c r="G959" s="10" t="b">
        <v>0</v>
      </c>
      <c r="H959" s="10">
        <v>6</v>
      </c>
      <c r="I959" s="10">
        <v>1</v>
      </c>
      <c r="J959" s="10">
        <v>0.3</v>
      </c>
      <c r="K959" s="10">
        <v>0.2727</v>
      </c>
      <c r="L959" s="10">
        <v>0.39</v>
      </c>
      <c r="M959" s="10">
        <v>0.4627</v>
      </c>
      <c r="N959" s="10">
        <v>27</v>
      </c>
      <c r="O959" s="10">
        <v>93</v>
      </c>
      <c r="P959" s="10">
        <v>120</v>
      </c>
      <c r="Q959" s="12" t="s">
        <v>78</v>
      </c>
      <c r="R959" s="13" t="s">
        <v>79</v>
      </c>
      <c r="S959" s="10" t="s">
        <v>80</v>
      </c>
      <c r="T959" s="13" t="s">
        <v>81</v>
      </c>
      <c r="U959" s="11" t="s">
        <v>92</v>
      </c>
      <c r="V959" s="13" t="s">
        <v>93</v>
      </c>
      <c r="W959" s="13" t="s">
        <v>90</v>
      </c>
      <c r="X959" s="10" t="s">
        <v>85</v>
      </c>
      <c r="Y959" s="12" t="s">
        <v>86</v>
      </c>
      <c r="Z959">
        <f t="shared" si="85"/>
        <v>8</v>
      </c>
      <c r="AA959" s="39">
        <f t="shared" si="86"/>
        <v>69.272727272727266</v>
      </c>
      <c r="AB959" s="39">
        <f t="shared" si="87"/>
        <v>8779.864496394739</v>
      </c>
      <c r="AC959">
        <f t="shared" si="90"/>
        <v>0.99998383423890647</v>
      </c>
      <c r="AD959">
        <f t="shared" si="88"/>
        <v>0.99997242166807365</v>
      </c>
      <c r="AE959">
        <f t="shared" si="89"/>
        <v>151</v>
      </c>
    </row>
    <row r="960" spans="1:31">
      <c r="A960" s="9">
        <v>959</v>
      </c>
      <c r="B960" s="30">
        <v>40586</v>
      </c>
      <c r="C960" s="9">
        <v>1</v>
      </c>
      <c r="D960" s="9">
        <v>0</v>
      </c>
      <c r="E960" s="9">
        <v>2</v>
      </c>
      <c r="F960" s="9">
        <v>13</v>
      </c>
      <c r="G960" s="9" t="b">
        <v>0</v>
      </c>
      <c r="H960" s="9">
        <v>6</v>
      </c>
      <c r="I960" s="9">
        <v>1</v>
      </c>
      <c r="J960" s="9">
        <v>0.3</v>
      </c>
      <c r="K960" s="9">
        <v>0.2727</v>
      </c>
      <c r="L960" s="9">
        <v>0.39</v>
      </c>
      <c r="M960" s="9">
        <v>0.41789999999999999</v>
      </c>
      <c r="N960" s="9">
        <v>32</v>
      </c>
      <c r="O960" s="9">
        <v>103</v>
      </c>
      <c r="P960" s="9">
        <v>135</v>
      </c>
      <c r="Q960" s="12" t="s">
        <v>78</v>
      </c>
      <c r="R960" s="13" t="s">
        <v>79</v>
      </c>
      <c r="S960" s="9" t="s">
        <v>80</v>
      </c>
      <c r="T960" s="13" t="s">
        <v>81</v>
      </c>
      <c r="U960" s="11" t="s">
        <v>92</v>
      </c>
      <c r="V960" s="13" t="s">
        <v>93</v>
      </c>
      <c r="W960" s="13" t="s">
        <v>90</v>
      </c>
      <c r="X960" s="9" t="s">
        <v>85</v>
      </c>
      <c r="Y960" s="12" t="s">
        <v>86</v>
      </c>
      <c r="Z960">
        <f t="shared" si="85"/>
        <v>8</v>
      </c>
      <c r="AA960" s="39">
        <f t="shared" si="86"/>
        <v>67.6875</v>
      </c>
      <c r="AB960" s="39">
        <f t="shared" si="87"/>
        <v>8881.560866931055</v>
      </c>
      <c r="AC960">
        <f t="shared" si="90"/>
        <v>0.9999843473810941</v>
      </c>
      <c r="AD960">
        <f t="shared" si="88"/>
        <v>0.99997293007236954</v>
      </c>
      <c r="AE960">
        <f t="shared" si="89"/>
        <v>151</v>
      </c>
    </row>
    <row r="961" spans="1:31">
      <c r="A961" s="10">
        <v>960</v>
      </c>
      <c r="B961" s="31">
        <v>40586</v>
      </c>
      <c r="C961" s="10">
        <v>1</v>
      </c>
      <c r="D961" s="10">
        <v>0</v>
      </c>
      <c r="E961" s="10">
        <v>2</v>
      </c>
      <c r="F961" s="10">
        <v>14</v>
      </c>
      <c r="G961" s="10" t="b">
        <v>0</v>
      </c>
      <c r="H961" s="10">
        <v>6</v>
      </c>
      <c r="I961" s="10">
        <v>1</v>
      </c>
      <c r="J961" s="10">
        <v>0.34</v>
      </c>
      <c r="K961" s="10">
        <v>0.31819999999999998</v>
      </c>
      <c r="L961" s="10">
        <v>0.31</v>
      </c>
      <c r="M961" s="10">
        <v>0.28360000000000002</v>
      </c>
      <c r="N961" s="10">
        <v>30</v>
      </c>
      <c r="O961" s="10">
        <v>90</v>
      </c>
      <c r="P961" s="10">
        <v>120</v>
      </c>
      <c r="Q961" s="12" t="s">
        <v>78</v>
      </c>
      <c r="R961" s="13" t="s">
        <v>79</v>
      </c>
      <c r="S961" s="10" t="s">
        <v>80</v>
      </c>
      <c r="T961" s="13" t="s">
        <v>81</v>
      </c>
      <c r="U961" s="13" t="s">
        <v>94</v>
      </c>
      <c r="V961" s="13" t="s">
        <v>93</v>
      </c>
      <c r="W961" s="13" t="s">
        <v>90</v>
      </c>
      <c r="X961" s="10" t="s">
        <v>85</v>
      </c>
      <c r="Y961" s="12" t="s">
        <v>86</v>
      </c>
      <c r="Z961">
        <f t="shared" si="85"/>
        <v>8</v>
      </c>
      <c r="AA961" s="39">
        <f t="shared" si="86"/>
        <v>65.516129032258064</v>
      </c>
      <c r="AB961" s="39">
        <f t="shared" si="87"/>
        <v>8986.9289931345447</v>
      </c>
      <c r="AC961">
        <f t="shared" si="90"/>
        <v>0.99998519702674526</v>
      </c>
      <c r="AD961">
        <f t="shared" si="88"/>
        <v>0.99997377513952235</v>
      </c>
      <c r="AE961">
        <f t="shared" si="89"/>
        <v>151</v>
      </c>
    </row>
    <row r="962" spans="1:31">
      <c r="A962" s="9">
        <v>961</v>
      </c>
      <c r="B962" s="30">
        <v>40586</v>
      </c>
      <c r="C962" s="9">
        <v>1</v>
      </c>
      <c r="D962" s="9">
        <v>0</v>
      </c>
      <c r="E962" s="9">
        <v>2</v>
      </c>
      <c r="F962" s="9">
        <v>15</v>
      </c>
      <c r="G962" s="9" t="b">
        <v>0</v>
      </c>
      <c r="H962" s="9">
        <v>6</v>
      </c>
      <c r="I962" s="9">
        <v>1</v>
      </c>
      <c r="J962" s="9">
        <v>0.34</v>
      </c>
      <c r="K962" s="9">
        <v>0.30299999999999999</v>
      </c>
      <c r="L962" s="9">
        <v>0.28999999999999998</v>
      </c>
      <c r="M962" s="9">
        <v>0.41789999999999999</v>
      </c>
      <c r="N962" s="9">
        <v>47</v>
      </c>
      <c r="O962" s="9">
        <v>127</v>
      </c>
      <c r="P962" s="9">
        <v>174</v>
      </c>
      <c r="Q962" s="12" t="s">
        <v>78</v>
      </c>
      <c r="R962" s="13" t="s">
        <v>79</v>
      </c>
      <c r="S962" s="9" t="s">
        <v>80</v>
      </c>
      <c r="T962" s="13" t="s">
        <v>81</v>
      </c>
      <c r="U962" s="13" t="s">
        <v>94</v>
      </c>
      <c r="V962" s="13" t="s">
        <v>93</v>
      </c>
      <c r="W962" s="13" t="s">
        <v>90</v>
      </c>
      <c r="X962" s="9" t="s">
        <v>85</v>
      </c>
      <c r="Y962" s="12" t="s">
        <v>86</v>
      </c>
      <c r="Z962">
        <f t="shared" ref="Z962:Z1001" si="91">COUNTIF(Q962:Q1961,"Weekday")</f>
        <v>8</v>
      </c>
      <c r="AA962" s="39">
        <f t="shared" ref="AA962:AA989" si="92">AVERAGEIF(T962:T1961,"Clear",P962:P1961)</f>
        <v>63.7</v>
      </c>
      <c r="AB962" s="39">
        <f t="shared" ref="AB962:AB989" si="93">STDEV(P962:P1961)</f>
        <v>9096.0829647282517</v>
      </c>
      <c r="AC962">
        <f t="shared" si="90"/>
        <v>0.99998557522802345</v>
      </c>
      <c r="AD962">
        <f t="shared" ref="AD962:AD989" si="94">CORREL(L962:L1961,P962:P1961)</f>
        <v>0.99997450530633469</v>
      </c>
      <c r="AE962">
        <f t="shared" ref="AE962:AE989" si="95">SUMIF(Q962:Q1961,"Weekday",P962:P1961)</f>
        <v>151</v>
      </c>
    </row>
    <row r="963" spans="1:31">
      <c r="A963" s="10">
        <v>962</v>
      </c>
      <c r="B963" s="31">
        <v>40586</v>
      </c>
      <c r="C963" s="10">
        <v>1</v>
      </c>
      <c r="D963" s="10">
        <v>0</v>
      </c>
      <c r="E963" s="10">
        <v>2</v>
      </c>
      <c r="F963" s="10">
        <v>16</v>
      </c>
      <c r="G963" s="10" t="b">
        <v>0</v>
      </c>
      <c r="H963" s="10">
        <v>6</v>
      </c>
      <c r="I963" s="10">
        <v>1</v>
      </c>
      <c r="J963" s="10">
        <v>0.34</v>
      </c>
      <c r="K963" s="10">
        <v>0.30299999999999999</v>
      </c>
      <c r="L963" s="10">
        <v>0.28999999999999998</v>
      </c>
      <c r="M963" s="10">
        <v>0.41789999999999999</v>
      </c>
      <c r="N963" s="10">
        <v>42</v>
      </c>
      <c r="O963" s="10">
        <v>103</v>
      </c>
      <c r="P963" s="10">
        <v>145</v>
      </c>
      <c r="Q963" s="12" t="s">
        <v>78</v>
      </c>
      <c r="R963" s="13" t="s">
        <v>79</v>
      </c>
      <c r="S963" s="10" t="s">
        <v>80</v>
      </c>
      <c r="T963" s="13" t="s">
        <v>81</v>
      </c>
      <c r="U963" s="13" t="s">
        <v>94</v>
      </c>
      <c r="V963" s="13" t="s">
        <v>93</v>
      </c>
      <c r="W963" s="13" t="s">
        <v>90</v>
      </c>
      <c r="X963" s="10" t="s">
        <v>85</v>
      </c>
      <c r="Y963" s="12" t="s">
        <v>86</v>
      </c>
      <c r="Z963">
        <f t="shared" si="91"/>
        <v>8</v>
      </c>
      <c r="AA963" s="39">
        <f t="shared" si="92"/>
        <v>59.896551724137929</v>
      </c>
      <c r="AB963" s="39">
        <f t="shared" si="93"/>
        <v>9209.5194019418614</v>
      </c>
      <c r="AC963">
        <f t="shared" si="90"/>
        <v>0.99998728317125862</v>
      </c>
      <c r="AD963">
        <f t="shared" si="94"/>
        <v>0.99997699529688922</v>
      </c>
      <c r="AE963">
        <f t="shared" si="95"/>
        <v>151</v>
      </c>
    </row>
    <row r="964" spans="1:31">
      <c r="A964" s="9">
        <v>963</v>
      </c>
      <c r="B964" s="30">
        <v>40586</v>
      </c>
      <c r="C964" s="9">
        <v>1</v>
      </c>
      <c r="D964" s="9">
        <v>0</v>
      </c>
      <c r="E964" s="9">
        <v>2</v>
      </c>
      <c r="F964" s="9">
        <v>17</v>
      </c>
      <c r="G964" s="9" t="b">
        <v>0</v>
      </c>
      <c r="H964" s="9">
        <v>6</v>
      </c>
      <c r="I964" s="9">
        <v>1</v>
      </c>
      <c r="J964" s="9">
        <v>0.32</v>
      </c>
      <c r="K964" s="9">
        <v>0.28789999999999999</v>
      </c>
      <c r="L964" s="9">
        <v>0.31</v>
      </c>
      <c r="M964" s="9">
        <v>0.52239999999999998</v>
      </c>
      <c r="N964" s="9">
        <v>24</v>
      </c>
      <c r="O964" s="9">
        <v>113</v>
      </c>
      <c r="P964" s="9">
        <v>137</v>
      </c>
      <c r="Q964" s="12" t="s">
        <v>78</v>
      </c>
      <c r="R964" s="13" t="s">
        <v>79</v>
      </c>
      <c r="S964" s="9" t="s">
        <v>80</v>
      </c>
      <c r="T964" s="13" t="s">
        <v>81</v>
      </c>
      <c r="U964" s="15" t="s">
        <v>95</v>
      </c>
      <c r="V964" s="13" t="s">
        <v>93</v>
      </c>
      <c r="W964" s="13" t="s">
        <v>90</v>
      </c>
      <c r="X964" s="9" t="s">
        <v>85</v>
      </c>
      <c r="Y964" s="12" t="s">
        <v>86</v>
      </c>
      <c r="Z964">
        <f t="shared" si="91"/>
        <v>8</v>
      </c>
      <c r="AA964" s="39">
        <f t="shared" si="92"/>
        <v>56.857142857142854</v>
      </c>
      <c r="AB964" s="39">
        <f t="shared" si="93"/>
        <v>9327.1952426475418</v>
      </c>
      <c r="AC964">
        <f t="shared" si="90"/>
        <v>0.99998824186572599</v>
      </c>
      <c r="AD964">
        <f t="shared" si="94"/>
        <v>0.99997857588109373</v>
      </c>
      <c r="AE964">
        <f t="shared" si="95"/>
        <v>151</v>
      </c>
    </row>
    <row r="965" spans="1:31">
      <c r="A965" s="10">
        <v>964</v>
      </c>
      <c r="B965" s="31">
        <v>40586</v>
      </c>
      <c r="C965" s="10">
        <v>1</v>
      </c>
      <c r="D965" s="10">
        <v>0</v>
      </c>
      <c r="E965" s="10">
        <v>2</v>
      </c>
      <c r="F965" s="10">
        <v>18</v>
      </c>
      <c r="G965" s="10" t="b">
        <v>0</v>
      </c>
      <c r="H965" s="10">
        <v>6</v>
      </c>
      <c r="I965" s="10">
        <v>1</v>
      </c>
      <c r="J965" s="10">
        <v>0.28000000000000003</v>
      </c>
      <c r="K965" s="10">
        <v>0.2576</v>
      </c>
      <c r="L965" s="10">
        <v>0.38</v>
      </c>
      <c r="M965" s="10">
        <v>0.32840000000000003</v>
      </c>
      <c r="N965" s="10">
        <v>4</v>
      </c>
      <c r="O965" s="10">
        <v>60</v>
      </c>
      <c r="P965" s="10">
        <v>64</v>
      </c>
      <c r="Q965" s="12" t="s">
        <v>78</v>
      </c>
      <c r="R965" s="13" t="s">
        <v>79</v>
      </c>
      <c r="S965" s="10" t="s">
        <v>80</v>
      </c>
      <c r="T965" s="13" t="s">
        <v>81</v>
      </c>
      <c r="U965" s="15" t="s">
        <v>95</v>
      </c>
      <c r="V965" s="11" t="s">
        <v>87</v>
      </c>
      <c r="W965" s="13" t="s">
        <v>90</v>
      </c>
      <c r="X965" s="10" t="s">
        <v>85</v>
      </c>
      <c r="Y965" s="12" t="s">
        <v>86</v>
      </c>
      <c r="Z965">
        <f t="shared" si="91"/>
        <v>8</v>
      </c>
      <c r="AA965" s="39">
        <f t="shared" si="92"/>
        <v>53.888888888888886</v>
      </c>
      <c r="AB965" s="39">
        <f t="shared" si="93"/>
        <v>9449.4677296342852</v>
      </c>
      <c r="AC965">
        <f t="shared" si="90"/>
        <v>0.99998919562784006</v>
      </c>
      <c r="AD965">
        <f t="shared" si="94"/>
        <v>0.99997993600688584</v>
      </c>
      <c r="AE965">
        <f t="shared" si="95"/>
        <v>151</v>
      </c>
    </row>
    <row r="966" spans="1:31">
      <c r="A966" s="9">
        <v>965</v>
      </c>
      <c r="B966" s="30">
        <v>40586</v>
      </c>
      <c r="C966" s="9">
        <v>1</v>
      </c>
      <c r="D966" s="9">
        <v>0</v>
      </c>
      <c r="E966" s="9">
        <v>2</v>
      </c>
      <c r="F966" s="9">
        <v>19</v>
      </c>
      <c r="G966" s="9" t="b">
        <v>0</v>
      </c>
      <c r="H966" s="9">
        <v>6</v>
      </c>
      <c r="I966" s="9">
        <v>1</v>
      </c>
      <c r="J966" s="9">
        <v>0.28000000000000003</v>
      </c>
      <c r="K966" s="9">
        <v>0.2727</v>
      </c>
      <c r="L966" s="9">
        <v>0.38</v>
      </c>
      <c r="M966" s="9">
        <v>0.16420000000000001</v>
      </c>
      <c r="N966" s="9">
        <v>2</v>
      </c>
      <c r="O966" s="9">
        <v>39</v>
      </c>
      <c r="P966" s="9">
        <v>41</v>
      </c>
      <c r="Q966" s="12" t="s">
        <v>78</v>
      </c>
      <c r="R966" s="13" t="s">
        <v>79</v>
      </c>
      <c r="S966" s="9" t="s">
        <v>80</v>
      </c>
      <c r="T966" s="13" t="s">
        <v>81</v>
      </c>
      <c r="U966" s="15" t="s">
        <v>95</v>
      </c>
      <c r="V966" s="11" t="s">
        <v>87</v>
      </c>
      <c r="W966" s="13" t="s">
        <v>90</v>
      </c>
      <c r="X966" s="9" t="s">
        <v>85</v>
      </c>
      <c r="Y966" s="12" t="s">
        <v>86</v>
      </c>
      <c r="Z966">
        <f t="shared" si="91"/>
        <v>8</v>
      </c>
      <c r="AA966" s="39">
        <f t="shared" si="92"/>
        <v>53.5</v>
      </c>
      <c r="AB966" s="39">
        <f t="shared" si="93"/>
        <v>9576.3556759882849</v>
      </c>
      <c r="AC966">
        <f t="shared" si="90"/>
        <v>0.99998924456350435</v>
      </c>
      <c r="AD966">
        <f t="shared" si="94"/>
        <v>0.99997996408627154</v>
      </c>
      <c r="AE966">
        <f t="shared" si="95"/>
        <v>151</v>
      </c>
    </row>
    <row r="967" spans="1:31">
      <c r="A967" s="10">
        <v>966</v>
      </c>
      <c r="B967" s="31">
        <v>40586</v>
      </c>
      <c r="C967" s="10">
        <v>1</v>
      </c>
      <c r="D967" s="10">
        <v>0</v>
      </c>
      <c r="E967" s="10">
        <v>2</v>
      </c>
      <c r="F967" s="10">
        <v>20</v>
      </c>
      <c r="G967" s="10" t="b">
        <v>0</v>
      </c>
      <c r="H967" s="10">
        <v>6</v>
      </c>
      <c r="I967" s="10">
        <v>1</v>
      </c>
      <c r="J967" s="10">
        <v>0.26</v>
      </c>
      <c r="K967" s="10">
        <v>0.2576</v>
      </c>
      <c r="L967" s="10">
        <v>0.41</v>
      </c>
      <c r="M967" s="10">
        <v>0.22389999999999999</v>
      </c>
      <c r="N967" s="10">
        <v>1</v>
      </c>
      <c r="O967" s="10">
        <v>39</v>
      </c>
      <c r="P967" s="10">
        <v>40</v>
      </c>
      <c r="Q967" s="12" t="s">
        <v>78</v>
      </c>
      <c r="R967" s="13" t="s">
        <v>79</v>
      </c>
      <c r="S967" s="10" t="s">
        <v>80</v>
      </c>
      <c r="T967" s="13" t="s">
        <v>81</v>
      </c>
      <c r="U967" s="16" t="s">
        <v>97</v>
      </c>
      <c r="V967" s="11" t="s">
        <v>87</v>
      </c>
      <c r="W967" s="13" t="s">
        <v>90</v>
      </c>
      <c r="X967" s="10" t="s">
        <v>85</v>
      </c>
      <c r="Y967" s="12" t="s">
        <v>86</v>
      </c>
      <c r="Z967">
        <f t="shared" si="91"/>
        <v>8</v>
      </c>
      <c r="AA967" s="39">
        <f t="shared" si="92"/>
        <v>54</v>
      </c>
      <c r="AB967" s="39">
        <f t="shared" si="93"/>
        <v>9708.386861573259</v>
      </c>
      <c r="AC967">
        <f t="shared" si="90"/>
        <v>0.99998923789813965</v>
      </c>
      <c r="AD967">
        <f t="shared" si="94"/>
        <v>0.99997995397669559</v>
      </c>
      <c r="AE967">
        <f t="shared" si="95"/>
        <v>151</v>
      </c>
    </row>
    <row r="968" spans="1:31">
      <c r="A968" s="9">
        <v>967</v>
      </c>
      <c r="B968" s="30">
        <v>40586</v>
      </c>
      <c r="C968" s="9">
        <v>1</v>
      </c>
      <c r="D968" s="9">
        <v>0</v>
      </c>
      <c r="E968" s="9">
        <v>2</v>
      </c>
      <c r="F968" s="9">
        <v>21</v>
      </c>
      <c r="G968" s="9" t="b">
        <v>0</v>
      </c>
      <c r="H968" s="9">
        <v>6</v>
      </c>
      <c r="I968" s="9">
        <v>1</v>
      </c>
      <c r="J968" s="9">
        <v>0.26</v>
      </c>
      <c r="K968" s="9">
        <v>0.30299999999999999</v>
      </c>
      <c r="L968" s="9">
        <v>0.41</v>
      </c>
      <c r="M968" s="9">
        <v>0</v>
      </c>
      <c r="N968" s="9">
        <v>9</v>
      </c>
      <c r="O968" s="9">
        <v>42</v>
      </c>
      <c r="P968" s="9">
        <v>51</v>
      </c>
      <c r="Q968" s="12" t="s">
        <v>78</v>
      </c>
      <c r="R968" s="13" t="s">
        <v>79</v>
      </c>
      <c r="S968" s="9" t="s">
        <v>80</v>
      </c>
      <c r="T968" s="13" t="s">
        <v>81</v>
      </c>
      <c r="U968" s="16" t="s">
        <v>97</v>
      </c>
      <c r="V968" s="11" t="s">
        <v>87</v>
      </c>
      <c r="W968" s="13" t="s">
        <v>90</v>
      </c>
      <c r="X968" s="9" t="s">
        <v>85</v>
      </c>
      <c r="Y968" s="12" t="s">
        <v>86</v>
      </c>
      <c r="Z968">
        <f t="shared" si="91"/>
        <v>8</v>
      </c>
      <c r="AA968" s="39">
        <f t="shared" si="92"/>
        <v>54.583333333333336</v>
      </c>
      <c r="AB968" s="39">
        <f t="shared" si="93"/>
        <v>9846.0289899323488</v>
      </c>
      <c r="AC968">
        <f t="shared" si="90"/>
        <v>0.99998922916909716</v>
      </c>
      <c r="AD968">
        <f t="shared" si="94"/>
        <v>0.99997995348339785</v>
      </c>
      <c r="AE968">
        <f t="shared" si="95"/>
        <v>151</v>
      </c>
    </row>
    <row r="969" spans="1:31">
      <c r="A969" s="10">
        <v>968</v>
      </c>
      <c r="B969" s="31">
        <v>40586</v>
      </c>
      <c r="C969" s="10">
        <v>1</v>
      </c>
      <c r="D969" s="10">
        <v>0</v>
      </c>
      <c r="E969" s="10">
        <v>2</v>
      </c>
      <c r="F969" s="10">
        <v>22</v>
      </c>
      <c r="G969" s="10" t="b">
        <v>0</v>
      </c>
      <c r="H969" s="10">
        <v>6</v>
      </c>
      <c r="I969" s="10">
        <v>1</v>
      </c>
      <c r="J969" s="10">
        <v>0.24</v>
      </c>
      <c r="K969" s="10">
        <v>0.2576</v>
      </c>
      <c r="L969" s="10">
        <v>0.44</v>
      </c>
      <c r="M969" s="10">
        <v>8.9599999999999999E-2</v>
      </c>
      <c r="N969" s="10">
        <v>6</v>
      </c>
      <c r="O969" s="10">
        <v>39</v>
      </c>
      <c r="P969" s="10">
        <v>45</v>
      </c>
      <c r="Q969" s="12" t="s">
        <v>78</v>
      </c>
      <c r="R969" s="13" t="s">
        <v>79</v>
      </c>
      <c r="S969" s="10" t="s">
        <v>80</v>
      </c>
      <c r="T969" s="13" t="s">
        <v>81</v>
      </c>
      <c r="U969" s="16" t="s">
        <v>97</v>
      </c>
      <c r="V969" s="11" t="s">
        <v>87</v>
      </c>
      <c r="W969" s="15" t="s">
        <v>84</v>
      </c>
      <c r="X969" s="10" t="s">
        <v>85</v>
      </c>
      <c r="Y969" s="12" t="s">
        <v>86</v>
      </c>
      <c r="Z969">
        <f t="shared" si="91"/>
        <v>8</v>
      </c>
      <c r="AA969" s="39">
        <f t="shared" si="92"/>
        <v>54.739130434782609</v>
      </c>
      <c r="AB969" s="39">
        <f t="shared" si="93"/>
        <v>9989.7538608583727</v>
      </c>
      <c r="AC969">
        <f t="shared" si="90"/>
        <v>0.99998924318653348</v>
      </c>
      <c r="AD969">
        <f t="shared" si="94"/>
        <v>0.99997993608765445</v>
      </c>
      <c r="AE969">
        <f t="shared" si="95"/>
        <v>151</v>
      </c>
    </row>
    <row r="970" spans="1:31">
      <c r="A970" s="9">
        <v>969</v>
      </c>
      <c r="B970" s="30">
        <v>40586</v>
      </c>
      <c r="C970" s="9">
        <v>1</v>
      </c>
      <c r="D970" s="9">
        <v>0</v>
      </c>
      <c r="E970" s="9">
        <v>2</v>
      </c>
      <c r="F970" s="9">
        <v>23</v>
      </c>
      <c r="G970" s="9" t="b">
        <v>0</v>
      </c>
      <c r="H970" s="9">
        <v>6</v>
      </c>
      <c r="I970" s="9">
        <v>1</v>
      </c>
      <c r="J970" s="9">
        <v>0.22</v>
      </c>
      <c r="K970" s="9">
        <v>0.2273</v>
      </c>
      <c r="L970" s="9">
        <v>0.51</v>
      </c>
      <c r="M970" s="9">
        <v>0.1343</v>
      </c>
      <c r="N970" s="9">
        <v>1</v>
      </c>
      <c r="O970" s="9">
        <v>31</v>
      </c>
      <c r="P970" s="9">
        <v>32</v>
      </c>
      <c r="Q970" s="12" t="s">
        <v>78</v>
      </c>
      <c r="R970" s="13" t="s">
        <v>79</v>
      </c>
      <c r="S970" s="9" t="s">
        <v>80</v>
      </c>
      <c r="T970" s="13" t="s">
        <v>81</v>
      </c>
      <c r="U970" s="16" t="s">
        <v>97</v>
      </c>
      <c r="V970" s="11" t="s">
        <v>87</v>
      </c>
      <c r="W970" s="15" t="s">
        <v>84</v>
      </c>
      <c r="X970" s="9" t="s">
        <v>85</v>
      </c>
      <c r="Y970" s="12" t="s">
        <v>86</v>
      </c>
      <c r="Z970">
        <f t="shared" si="91"/>
        <v>8</v>
      </c>
      <c r="AA970" s="39">
        <f t="shared" si="92"/>
        <v>55.18181818181818</v>
      </c>
      <c r="AB970" s="39">
        <f t="shared" si="93"/>
        <v>10139.929397933485</v>
      </c>
      <c r="AC970">
        <f t="shared" si="90"/>
        <v>0.99998925675764172</v>
      </c>
      <c r="AD970">
        <f t="shared" si="94"/>
        <v>0.99997992865874419</v>
      </c>
      <c r="AE970">
        <f t="shared" si="95"/>
        <v>151</v>
      </c>
    </row>
    <row r="971" spans="1:31">
      <c r="A971" s="10">
        <v>970</v>
      </c>
      <c r="B971" s="31">
        <v>40587</v>
      </c>
      <c r="C971" s="10">
        <v>1</v>
      </c>
      <c r="D971" s="10">
        <v>0</v>
      </c>
      <c r="E971" s="10">
        <v>2</v>
      </c>
      <c r="F971" s="10">
        <v>0</v>
      </c>
      <c r="G971" s="10" t="b">
        <v>0</v>
      </c>
      <c r="H971" s="10">
        <v>0</v>
      </c>
      <c r="I971" s="10">
        <v>1</v>
      </c>
      <c r="J971" s="10">
        <v>0.2</v>
      </c>
      <c r="K971" s="10">
        <v>0.2273</v>
      </c>
      <c r="L971" s="10">
        <v>0.64</v>
      </c>
      <c r="M971" s="10">
        <v>0.1045</v>
      </c>
      <c r="N971" s="10">
        <v>5</v>
      </c>
      <c r="O971" s="10">
        <v>34</v>
      </c>
      <c r="P971" s="10">
        <v>39</v>
      </c>
      <c r="Q971" s="12" t="s">
        <v>78</v>
      </c>
      <c r="R971" s="13" t="s">
        <v>79</v>
      </c>
      <c r="S971" s="10" t="s">
        <v>80</v>
      </c>
      <c r="T971" s="13" t="s">
        <v>81</v>
      </c>
      <c r="U971" s="14" t="s">
        <v>82</v>
      </c>
      <c r="V971" s="11" t="s">
        <v>87</v>
      </c>
      <c r="W971" s="15" t="s">
        <v>84</v>
      </c>
      <c r="X971" s="10" t="s">
        <v>85</v>
      </c>
      <c r="Y971" s="12" t="s">
        <v>86</v>
      </c>
      <c r="Z971">
        <f t="shared" si="91"/>
        <v>8</v>
      </c>
      <c r="AA971" s="39">
        <f t="shared" si="92"/>
        <v>56.285714285714285</v>
      </c>
      <c r="AB971" s="39">
        <f t="shared" si="93"/>
        <v>10297.012948486095</v>
      </c>
      <c r="AC971">
        <f t="shared" si="90"/>
        <v>0.99998925041198949</v>
      </c>
      <c r="AD971">
        <f t="shared" si="94"/>
        <v>0.99998003817261516</v>
      </c>
      <c r="AE971">
        <f t="shared" si="95"/>
        <v>151</v>
      </c>
    </row>
    <row r="972" spans="1:31">
      <c r="A972" s="9">
        <v>971</v>
      </c>
      <c r="B972" s="30">
        <v>40587</v>
      </c>
      <c r="C972" s="9">
        <v>1</v>
      </c>
      <c r="D972" s="9">
        <v>0</v>
      </c>
      <c r="E972" s="9">
        <v>2</v>
      </c>
      <c r="F972" s="9">
        <v>1</v>
      </c>
      <c r="G972" s="9" t="b">
        <v>0</v>
      </c>
      <c r="H972" s="9">
        <v>0</v>
      </c>
      <c r="I972" s="9">
        <v>1</v>
      </c>
      <c r="J972" s="9">
        <v>0.2</v>
      </c>
      <c r="K972" s="9">
        <v>0.2273</v>
      </c>
      <c r="L972" s="9">
        <v>0.59</v>
      </c>
      <c r="M972" s="9">
        <v>8.9599999999999999E-2</v>
      </c>
      <c r="N972" s="9">
        <v>1</v>
      </c>
      <c r="O972" s="9">
        <v>23</v>
      </c>
      <c r="P972" s="9">
        <v>24</v>
      </c>
      <c r="Q972" s="12" t="s">
        <v>78</v>
      </c>
      <c r="R972" s="13" t="s">
        <v>79</v>
      </c>
      <c r="S972" s="9" t="s">
        <v>80</v>
      </c>
      <c r="T972" s="13" t="s">
        <v>81</v>
      </c>
      <c r="U972" s="14" t="s">
        <v>82</v>
      </c>
      <c r="V972" s="12" t="s">
        <v>83</v>
      </c>
      <c r="W972" s="15" t="s">
        <v>84</v>
      </c>
      <c r="X972" s="9" t="s">
        <v>85</v>
      </c>
      <c r="Y972" s="12" t="s">
        <v>86</v>
      </c>
      <c r="Z972">
        <f t="shared" si="91"/>
        <v>8</v>
      </c>
      <c r="AA972" s="39">
        <f t="shared" si="92"/>
        <v>57.15</v>
      </c>
      <c r="AB972" s="39">
        <f t="shared" si="93"/>
        <v>10461.672742439063</v>
      </c>
      <c r="AC972">
        <f t="shared" si="90"/>
        <v>0.99998929086215016</v>
      </c>
      <c r="AD972">
        <f t="shared" si="94"/>
        <v>0.99998021721693786</v>
      </c>
      <c r="AE972">
        <f t="shared" si="95"/>
        <v>151</v>
      </c>
    </row>
    <row r="973" spans="1:31">
      <c r="A973" s="10">
        <v>972</v>
      </c>
      <c r="B973" s="31">
        <v>40587</v>
      </c>
      <c r="C973" s="10">
        <v>1</v>
      </c>
      <c r="D973" s="10">
        <v>0</v>
      </c>
      <c r="E973" s="10">
        <v>2</v>
      </c>
      <c r="F973" s="10">
        <v>2</v>
      </c>
      <c r="G973" s="10" t="b">
        <v>0</v>
      </c>
      <c r="H973" s="10">
        <v>0</v>
      </c>
      <c r="I973" s="10">
        <v>2</v>
      </c>
      <c r="J973" s="10">
        <v>0.2</v>
      </c>
      <c r="K973" s="10">
        <v>0.2273</v>
      </c>
      <c r="L973" s="10">
        <v>0.75</v>
      </c>
      <c r="M973" s="10">
        <v>8.9599999999999999E-2</v>
      </c>
      <c r="N973" s="10">
        <v>1</v>
      </c>
      <c r="O973" s="10">
        <v>19</v>
      </c>
      <c r="P973" s="10">
        <v>20</v>
      </c>
      <c r="Q973" s="12" t="s">
        <v>78</v>
      </c>
      <c r="R973" s="13" t="s">
        <v>79</v>
      </c>
      <c r="S973" s="10" t="s">
        <v>80</v>
      </c>
      <c r="T973" s="11" t="s">
        <v>88</v>
      </c>
      <c r="U973" s="14" t="s">
        <v>82</v>
      </c>
      <c r="V973" s="12" t="s">
        <v>83</v>
      </c>
      <c r="W973" s="15" t="s">
        <v>84</v>
      </c>
      <c r="X973" s="10" t="s">
        <v>85</v>
      </c>
      <c r="Y973" s="12" t="s">
        <v>86</v>
      </c>
      <c r="Z973">
        <f t="shared" si="91"/>
        <v>8</v>
      </c>
      <c r="AA973" s="39">
        <f t="shared" si="92"/>
        <v>58.89473684210526</v>
      </c>
      <c r="AB973" s="39">
        <f t="shared" si="93"/>
        <v>10634.397178198591</v>
      </c>
      <c r="AC973">
        <f t="shared" si="90"/>
        <v>0.99998928076044402</v>
      </c>
      <c r="AD973">
        <f t="shared" si="94"/>
        <v>0.99998054069932474</v>
      </c>
      <c r="AE973">
        <f t="shared" si="95"/>
        <v>151</v>
      </c>
    </row>
    <row r="974" spans="1:31">
      <c r="A974" s="9">
        <v>973</v>
      </c>
      <c r="B974" s="30">
        <v>40587</v>
      </c>
      <c r="C974" s="9">
        <v>1</v>
      </c>
      <c r="D974" s="9">
        <v>0</v>
      </c>
      <c r="E974" s="9">
        <v>2</v>
      </c>
      <c r="F974" s="9">
        <v>3</v>
      </c>
      <c r="G974" s="9" t="b">
        <v>0</v>
      </c>
      <c r="H974" s="9">
        <v>0</v>
      </c>
      <c r="I974" s="9">
        <v>2</v>
      </c>
      <c r="J974" s="9">
        <v>0.2</v>
      </c>
      <c r="K974" s="9">
        <v>0.2273</v>
      </c>
      <c r="L974" s="9">
        <v>0.69</v>
      </c>
      <c r="M974" s="9">
        <v>0.1045</v>
      </c>
      <c r="N974" s="9">
        <v>4</v>
      </c>
      <c r="O974" s="9">
        <v>8</v>
      </c>
      <c r="P974" s="9">
        <v>12</v>
      </c>
      <c r="Q974" s="12" t="s">
        <v>78</v>
      </c>
      <c r="R974" s="13" t="s">
        <v>79</v>
      </c>
      <c r="S974" s="9" t="s">
        <v>80</v>
      </c>
      <c r="T974" s="11" t="s">
        <v>88</v>
      </c>
      <c r="U974" s="14" t="s">
        <v>82</v>
      </c>
      <c r="V974" s="12" t="s">
        <v>83</v>
      </c>
      <c r="W974" s="15" t="s">
        <v>84</v>
      </c>
      <c r="X974" s="9" t="s">
        <v>85</v>
      </c>
      <c r="Y974" s="12" t="s">
        <v>86</v>
      </c>
      <c r="Z974">
        <f t="shared" si="91"/>
        <v>8</v>
      </c>
      <c r="AA974" s="39">
        <f t="shared" si="92"/>
        <v>58.89473684210526</v>
      </c>
      <c r="AB974" s="39">
        <f t="shared" si="93"/>
        <v>10815.941780584122</v>
      </c>
      <c r="AC974">
        <f t="shared" si="90"/>
        <v>0.99998926749897288</v>
      </c>
      <c r="AD974">
        <f t="shared" si="94"/>
        <v>0.99998125806165661</v>
      </c>
      <c r="AE974">
        <f t="shared" si="95"/>
        <v>151</v>
      </c>
    </row>
    <row r="975" spans="1:31">
      <c r="A975" s="10">
        <v>974</v>
      </c>
      <c r="B975" s="31">
        <v>40587</v>
      </c>
      <c r="C975" s="10">
        <v>1</v>
      </c>
      <c r="D975" s="10">
        <v>0</v>
      </c>
      <c r="E975" s="10">
        <v>2</v>
      </c>
      <c r="F975" s="10">
        <v>4</v>
      </c>
      <c r="G975" s="10" t="b">
        <v>0</v>
      </c>
      <c r="H975" s="10">
        <v>0</v>
      </c>
      <c r="I975" s="10">
        <v>2</v>
      </c>
      <c r="J975" s="10">
        <v>0.2</v>
      </c>
      <c r="K975" s="10">
        <v>0.21210000000000001</v>
      </c>
      <c r="L975" s="10">
        <v>0.69</v>
      </c>
      <c r="M975" s="10">
        <v>0.16420000000000001</v>
      </c>
      <c r="N975" s="10">
        <v>0</v>
      </c>
      <c r="O975" s="10">
        <v>2</v>
      </c>
      <c r="P975" s="10">
        <v>2</v>
      </c>
      <c r="Q975" s="12" t="s">
        <v>78</v>
      </c>
      <c r="R975" s="13" t="s">
        <v>79</v>
      </c>
      <c r="S975" s="10" t="s">
        <v>80</v>
      </c>
      <c r="T975" s="11" t="s">
        <v>88</v>
      </c>
      <c r="U975" s="14" t="s">
        <v>82</v>
      </c>
      <c r="V975" s="12" t="s">
        <v>83</v>
      </c>
      <c r="W975" s="15" t="s">
        <v>84</v>
      </c>
      <c r="X975" s="10" t="s">
        <v>85</v>
      </c>
      <c r="Y975" s="12" t="s">
        <v>86</v>
      </c>
      <c r="Z975">
        <f t="shared" si="91"/>
        <v>8</v>
      </c>
      <c r="AA975" s="39">
        <f t="shared" si="92"/>
        <v>58.89473684210526</v>
      </c>
      <c r="AB975" s="39">
        <f t="shared" si="93"/>
        <v>11007.055338322756</v>
      </c>
      <c r="AC975">
        <f t="shared" si="90"/>
        <v>0.99998926357868489</v>
      </c>
      <c r="AD975">
        <f t="shared" si="94"/>
        <v>0.99998207586636112</v>
      </c>
      <c r="AE975">
        <f t="shared" si="95"/>
        <v>151</v>
      </c>
    </row>
    <row r="976" spans="1:31">
      <c r="A976" s="9">
        <v>975</v>
      </c>
      <c r="B976" s="30">
        <v>40587</v>
      </c>
      <c r="C976" s="9">
        <v>1</v>
      </c>
      <c r="D976" s="9">
        <v>0</v>
      </c>
      <c r="E976" s="9">
        <v>2</v>
      </c>
      <c r="F976" s="9">
        <v>6</v>
      </c>
      <c r="G976" s="9" t="b">
        <v>0</v>
      </c>
      <c r="H976" s="9">
        <v>0</v>
      </c>
      <c r="I976" s="9">
        <v>2</v>
      </c>
      <c r="J976" s="9">
        <v>0.2</v>
      </c>
      <c r="K976" s="9">
        <v>0.21210000000000001</v>
      </c>
      <c r="L976" s="9">
        <v>0.69</v>
      </c>
      <c r="M976" s="9">
        <v>0.1343</v>
      </c>
      <c r="N976" s="9">
        <v>2</v>
      </c>
      <c r="O976" s="9">
        <v>3</v>
      </c>
      <c r="P976" s="9">
        <v>5</v>
      </c>
      <c r="Q976" s="12" t="s">
        <v>78</v>
      </c>
      <c r="R976" s="13" t="s">
        <v>79</v>
      </c>
      <c r="S976" s="9" t="s">
        <v>80</v>
      </c>
      <c r="T976" s="11" t="s">
        <v>88</v>
      </c>
      <c r="U976" s="15" t="s">
        <v>89</v>
      </c>
      <c r="V976" s="12" t="s">
        <v>83</v>
      </c>
      <c r="W976" s="15" t="s">
        <v>84</v>
      </c>
      <c r="X976" s="9" t="s">
        <v>85</v>
      </c>
      <c r="Y976" s="12" t="s">
        <v>86</v>
      </c>
      <c r="Z976">
        <f t="shared" si="91"/>
        <v>8</v>
      </c>
      <c r="AA976" s="39">
        <f t="shared" si="92"/>
        <v>58.89473684210526</v>
      </c>
      <c r="AB976" s="39">
        <f t="shared" si="93"/>
        <v>11208.594365975096</v>
      </c>
      <c r="AC976">
        <f t="shared" ref="AC976:AC1039" si="96">CORREL(J976:J1975,P976:P1975)</f>
        <v>0.99998930189575364</v>
      </c>
      <c r="AD976">
        <f t="shared" si="94"/>
        <v>0.99998321510263311</v>
      </c>
      <c r="AE976">
        <f t="shared" si="95"/>
        <v>151</v>
      </c>
    </row>
    <row r="977" spans="1:31">
      <c r="A977" s="10">
        <v>976</v>
      </c>
      <c r="B977" s="31">
        <v>40587</v>
      </c>
      <c r="C977" s="10">
        <v>1</v>
      </c>
      <c r="D977" s="10">
        <v>0</v>
      </c>
      <c r="E977" s="10">
        <v>2</v>
      </c>
      <c r="F977" s="10">
        <v>7</v>
      </c>
      <c r="G977" s="10" t="b">
        <v>0</v>
      </c>
      <c r="H977" s="10">
        <v>0</v>
      </c>
      <c r="I977" s="10">
        <v>2</v>
      </c>
      <c r="J977" s="10">
        <v>0.22</v>
      </c>
      <c r="K977" s="10">
        <v>0.2727</v>
      </c>
      <c r="L977" s="10">
        <v>0.55000000000000004</v>
      </c>
      <c r="M977" s="10">
        <v>0</v>
      </c>
      <c r="N977" s="10">
        <v>0</v>
      </c>
      <c r="O977" s="10">
        <v>3</v>
      </c>
      <c r="P977" s="10">
        <v>3</v>
      </c>
      <c r="Q977" s="12" t="s">
        <v>78</v>
      </c>
      <c r="R977" s="13" t="s">
        <v>79</v>
      </c>
      <c r="S977" s="10" t="s">
        <v>80</v>
      </c>
      <c r="T977" s="11" t="s">
        <v>88</v>
      </c>
      <c r="U977" s="15" t="s">
        <v>89</v>
      </c>
      <c r="V977" s="12" t="s">
        <v>83</v>
      </c>
      <c r="W977" s="15" t="s">
        <v>84</v>
      </c>
      <c r="X977" s="10" t="s">
        <v>85</v>
      </c>
      <c r="Y977" s="12" t="s">
        <v>86</v>
      </c>
      <c r="Z977">
        <f t="shared" si="91"/>
        <v>8</v>
      </c>
      <c r="AA977" s="39">
        <f t="shared" si="92"/>
        <v>58.89473684210526</v>
      </c>
      <c r="AB977" s="39">
        <f t="shared" si="93"/>
        <v>11421.648148076596</v>
      </c>
      <c r="AC977">
        <f t="shared" si="96"/>
        <v>0.99998932664038809</v>
      </c>
      <c r="AD977">
        <f t="shared" si="94"/>
        <v>0.99998436562371651</v>
      </c>
      <c r="AE977">
        <f t="shared" si="95"/>
        <v>151</v>
      </c>
    </row>
    <row r="978" spans="1:31">
      <c r="A978" s="9">
        <v>977</v>
      </c>
      <c r="B978" s="30">
        <v>40587</v>
      </c>
      <c r="C978" s="9">
        <v>1</v>
      </c>
      <c r="D978" s="9">
        <v>0</v>
      </c>
      <c r="E978" s="9">
        <v>2</v>
      </c>
      <c r="F978" s="9">
        <v>8</v>
      </c>
      <c r="G978" s="9" t="b">
        <v>0</v>
      </c>
      <c r="H978" s="9">
        <v>0</v>
      </c>
      <c r="I978" s="9">
        <v>2</v>
      </c>
      <c r="J978" s="9">
        <v>0.22</v>
      </c>
      <c r="K978" s="9">
        <v>0.2273</v>
      </c>
      <c r="L978" s="9">
        <v>0.64</v>
      </c>
      <c r="M978" s="9">
        <v>0.19400000000000001</v>
      </c>
      <c r="N978" s="9">
        <v>1</v>
      </c>
      <c r="O978" s="9">
        <v>11</v>
      </c>
      <c r="P978" s="9">
        <v>12</v>
      </c>
      <c r="Q978" s="12" t="s">
        <v>78</v>
      </c>
      <c r="R978" s="13" t="s">
        <v>79</v>
      </c>
      <c r="S978" s="9" t="s">
        <v>80</v>
      </c>
      <c r="T978" s="11" t="s">
        <v>88</v>
      </c>
      <c r="U978" s="15" t="s">
        <v>89</v>
      </c>
      <c r="V978" s="12" t="s">
        <v>83</v>
      </c>
      <c r="W978" s="15" t="s">
        <v>84</v>
      </c>
      <c r="X978" s="9" t="s">
        <v>85</v>
      </c>
      <c r="Y978" s="12" t="s">
        <v>86</v>
      </c>
      <c r="Z978">
        <f t="shared" si="91"/>
        <v>8</v>
      </c>
      <c r="AA978" s="39">
        <f t="shared" si="92"/>
        <v>58.89473684210526</v>
      </c>
      <c r="AB978" s="39">
        <f t="shared" si="93"/>
        <v>11647.313313521419</v>
      </c>
      <c r="AC978">
        <f t="shared" si="96"/>
        <v>0.9999894041074664</v>
      </c>
      <c r="AD978">
        <f t="shared" si="94"/>
        <v>0.99998529588733287</v>
      </c>
      <c r="AE978">
        <f t="shared" si="95"/>
        <v>151</v>
      </c>
    </row>
    <row r="979" spans="1:31">
      <c r="A979" s="10">
        <v>978</v>
      </c>
      <c r="B979" s="31">
        <v>40587</v>
      </c>
      <c r="C979" s="10">
        <v>1</v>
      </c>
      <c r="D979" s="10">
        <v>0</v>
      </c>
      <c r="E979" s="10">
        <v>2</v>
      </c>
      <c r="F979" s="10">
        <v>9</v>
      </c>
      <c r="G979" s="10" t="b">
        <v>0</v>
      </c>
      <c r="H979" s="10">
        <v>0</v>
      </c>
      <c r="I979" s="10">
        <v>2</v>
      </c>
      <c r="J979" s="10">
        <v>0.24</v>
      </c>
      <c r="K979" s="10">
        <v>0.2273</v>
      </c>
      <c r="L979" s="10">
        <v>0.6</v>
      </c>
      <c r="M979" s="10">
        <v>0.22389999999999999</v>
      </c>
      <c r="N979" s="10">
        <v>12</v>
      </c>
      <c r="O979" s="10">
        <v>35</v>
      </c>
      <c r="P979" s="10">
        <v>47</v>
      </c>
      <c r="Q979" s="12" t="s">
        <v>78</v>
      </c>
      <c r="R979" s="13" t="s">
        <v>79</v>
      </c>
      <c r="S979" s="10" t="s">
        <v>80</v>
      </c>
      <c r="T979" s="11" t="s">
        <v>88</v>
      </c>
      <c r="U979" s="15" t="s">
        <v>89</v>
      </c>
      <c r="V979" s="11" t="s">
        <v>87</v>
      </c>
      <c r="W979" s="15" t="s">
        <v>84</v>
      </c>
      <c r="X979" s="10" t="s">
        <v>85</v>
      </c>
      <c r="Y979" s="12" t="s">
        <v>86</v>
      </c>
      <c r="Z979">
        <f t="shared" si="91"/>
        <v>8</v>
      </c>
      <c r="AA979" s="39">
        <f t="shared" si="92"/>
        <v>58.89473684210526</v>
      </c>
      <c r="AB979" s="39">
        <f t="shared" si="93"/>
        <v>11886.985504722918</v>
      </c>
      <c r="AC979">
        <f t="shared" si="96"/>
        <v>0.9999894282649926</v>
      </c>
      <c r="AD979">
        <f t="shared" si="94"/>
        <v>0.99998631094466006</v>
      </c>
      <c r="AE979">
        <f t="shared" si="95"/>
        <v>151</v>
      </c>
    </row>
    <row r="980" spans="1:31">
      <c r="A980" s="9">
        <v>979</v>
      </c>
      <c r="B980" s="30">
        <v>40587</v>
      </c>
      <c r="C980" s="9">
        <v>1</v>
      </c>
      <c r="D980" s="9">
        <v>0</v>
      </c>
      <c r="E980" s="9">
        <v>2</v>
      </c>
      <c r="F980" s="9">
        <v>10</v>
      </c>
      <c r="G980" s="9" t="b">
        <v>0</v>
      </c>
      <c r="H980" s="9">
        <v>0</v>
      </c>
      <c r="I980" s="9">
        <v>1</v>
      </c>
      <c r="J980" s="9">
        <v>0.3</v>
      </c>
      <c r="K980" s="9">
        <v>0.2727</v>
      </c>
      <c r="L980" s="9">
        <v>0.45</v>
      </c>
      <c r="M980" s="9">
        <v>0.32840000000000003</v>
      </c>
      <c r="N980" s="9">
        <v>19</v>
      </c>
      <c r="O980" s="9">
        <v>86</v>
      </c>
      <c r="P980" s="9">
        <v>105</v>
      </c>
      <c r="Q980" s="12" t="s">
        <v>78</v>
      </c>
      <c r="R980" s="13" t="s">
        <v>79</v>
      </c>
      <c r="S980" s="9" t="s">
        <v>80</v>
      </c>
      <c r="T980" s="13" t="s">
        <v>81</v>
      </c>
      <c r="U980" s="13" t="s">
        <v>91</v>
      </c>
      <c r="V980" s="13" t="s">
        <v>93</v>
      </c>
      <c r="W980" s="13" t="s">
        <v>90</v>
      </c>
      <c r="X980" s="9" t="s">
        <v>85</v>
      </c>
      <c r="Y980" s="12" t="s">
        <v>86</v>
      </c>
      <c r="Z980">
        <f t="shared" si="91"/>
        <v>8</v>
      </c>
      <c r="AA980" s="39">
        <f t="shared" si="92"/>
        <v>58.89473684210526</v>
      </c>
      <c r="AB980" s="39">
        <f t="shared" si="93"/>
        <v>12142.424678747297</v>
      </c>
      <c r="AC980">
        <f t="shared" si="96"/>
        <v>0.99998943167984944</v>
      </c>
      <c r="AD980">
        <f t="shared" si="94"/>
        <v>0.99998661169125447</v>
      </c>
      <c r="AE980">
        <f t="shared" si="95"/>
        <v>151</v>
      </c>
    </row>
    <row r="981" spans="1:31">
      <c r="A981" s="10">
        <v>980</v>
      </c>
      <c r="B981" s="31">
        <v>40587</v>
      </c>
      <c r="C981" s="10">
        <v>1</v>
      </c>
      <c r="D981" s="10">
        <v>0</v>
      </c>
      <c r="E981" s="10">
        <v>2</v>
      </c>
      <c r="F981" s="10">
        <v>11</v>
      </c>
      <c r="G981" s="10" t="b">
        <v>0</v>
      </c>
      <c r="H981" s="10">
        <v>0</v>
      </c>
      <c r="I981" s="10">
        <v>1</v>
      </c>
      <c r="J981" s="10">
        <v>0.32</v>
      </c>
      <c r="K981" s="10">
        <v>0.28789999999999999</v>
      </c>
      <c r="L981" s="10">
        <v>0.39</v>
      </c>
      <c r="M981" s="10">
        <v>0.44779999999999998</v>
      </c>
      <c r="N981" s="10">
        <v>26</v>
      </c>
      <c r="O981" s="10">
        <v>86</v>
      </c>
      <c r="P981" s="10">
        <v>112</v>
      </c>
      <c r="Q981" s="12" t="s">
        <v>78</v>
      </c>
      <c r="R981" s="13" t="s">
        <v>79</v>
      </c>
      <c r="S981" s="10" t="s">
        <v>80</v>
      </c>
      <c r="T981" s="13" t="s">
        <v>81</v>
      </c>
      <c r="U981" s="13" t="s">
        <v>91</v>
      </c>
      <c r="V981" s="13" t="s">
        <v>93</v>
      </c>
      <c r="W981" s="13" t="s">
        <v>90</v>
      </c>
      <c r="X981" s="10" t="s">
        <v>85</v>
      </c>
      <c r="Y981" s="12" t="s">
        <v>86</v>
      </c>
      <c r="Z981">
        <f t="shared" si="91"/>
        <v>8</v>
      </c>
      <c r="AA981" s="39">
        <f t="shared" si="92"/>
        <v>56.333333333333336</v>
      </c>
      <c r="AB981" s="39">
        <f t="shared" si="93"/>
        <v>12415.65900089105</v>
      </c>
      <c r="AC981">
        <f t="shared" si="96"/>
        <v>0.99998987723903277</v>
      </c>
      <c r="AD981">
        <f t="shared" si="94"/>
        <v>0.99998669325101575</v>
      </c>
      <c r="AE981">
        <f t="shared" si="95"/>
        <v>151</v>
      </c>
    </row>
    <row r="982" spans="1:31">
      <c r="A982" s="9">
        <v>981</v>
      </c>
      <c r="B982" s="30">
        <v>40587</v>
      </c>
      <c r="C982" s="9">
        <v>1</v>
      </c>
      <c r="D982" s="9">
        <v>0</v>
      </c>
      <c r="E982" s="9">
        <v>2</v>
      </c>
      <c r="F982" s="9">
        <v>12</v>
      </c>
      <c r="G982" s="9" t="b">
        <v>0</v>
      </c>
      <c r="H982" s="9">
        <v>0</v>
      </c>
      <c r="I982" s="9">
        <v>1</v>
      </c>
      <c r="J982" s="9">
        <v>0.36</v>
      </c>
      <c r="K982" s="9">
        <v>0.31819999999999998</v>
      </c>
      <c r="L982" s="9">
        <v>0.32</v>
      </c>
      <c r="M982" s="9">
        <v>0.4627</v>
      </c>
      <c r="N982" s="9">
        <v>58</v>
      </c>
      <c r="O982" s="9">
        <v>94</v>
      </c>
      <c r="P982" s="9">
        <v>152</v>
      </c>
      <c r="Q982" s="12" t="s">
        <v>78</v>
      </c>
      <c r="R982" s="13" t="s">
        <v>79</v>
      </c>
      <c r="S982" s="9" t="s">
        <v>80</v>
      </c>
      <c r="T982" s="13" t="s">
        <v>81</v>
      </c>
      <c r="U982" s="11" t="s">
        <v>92</v>
      </c>
      <c r="V982" s="13" t="s">
        <v>93</v>
      </c>
      <c r="W982" s="13" t="s">
        <v>90</v>
      </c>
      <c r="X982" s="9" t="s">
        <v>85</v>
      </c>
      <c r="Y982" s="12" t="s">
        <v>86</v>
      </c>
      <c r="Z982">
        <f t="shared" si="91"/>
        <v>8</v>
      </c>
      <c r="AA982" s="39">
        <f t="shared" si="92"/>
        <v>53.058823529411768</v>
      </c>
      <c r="AB982" s="39">
        <f t="shared" si="93"/>
        <v>12708.286548173053</v>
      </c>
      <c r="AC982">
        <f t="shared" si="96"/>
        <v>0.99999039434806702</v>
      </c>
      <c r="AD982">
        <f t="shared" si="94"/>
        <v>0.99998692579711057</v>
      </c>
      <c r="AE982">
        <f t="shared" si="95"/>
        <v>151</v>
      </c>
    </row>
    <row r="983" spans="1:31">
      <c r="A983" s="10">
        <v>982</v>
      </c>
      <c r="B983" s="31">
        <v>40587</v>
      </c>
      <c r="C983" s="10">
        <v>1</v>
      </c>
      <c r="D983" s="10">
        <v>0</v>
      </c>
      <c r="E983" s="10">
        <v>2</v>
      </c>
      <c r="F983" s="10">
        <v>13</v>
      </c>
      <c r="G983" s="10" t="b">
        <v>0</v>
      </c>
      <c r="H983" s="10">
        <v>0</v>
      </c>
      <c r="I983" s="10">
        <v>1</v>
      </c>
      <c r="J983" s="10">
        <v>0.38</v>
      </c>
      <c r="K983" s="10">
        <v>0.39389999999999997</v>
      </c>
      <c r="L983" s="10">
        <v>0.28999999999999998</v>
      </c>
      <c r="M983" s="10">
        <v>0.35820000000000002</v>
      </c>
      <c r="N983" s="10">
        <v>62</v>
      </c>
      <c r="O983" s="10">
        <v>92</v>
      </c>
      <c r="P983" s="10">
        <v>154</v>
      </c>
      <c r="Q983" s="12" t="s">
        <v>78</v>
      </c>
      <c r="R983" s="13" t="s">
        <v>79</v>
      </c>
      <c r="S983" s="10" t="s">
        <v>80</v>
      </c>
      <c r="T983" s="13" t="s">
        <v>81</v>
      </c>
      <c r="U983" s="11" t="s">
        <v>92</v>
      </c>
      <c r="V983" s="13" t="s">
        <v>93</v>
      </c>
      <c r="W983" s="13" t="s">
        <v>90</v>
      </c>
      <c r="X983" s="10" t="s">
        <v>85</v>
      </c>
      <c r="Y983" s="12" t="s">
        <v>86</v>
      </c>
      <c r="Z983">
        <f t="shared" si="91"/>
        <v>8</v>
      </c>
      <c r="AA983" s="39">
        <f t="shared" si="92"/>
        <v>46.875</v>
      </c>
      <c r="AB983" s="39">
        <f t="shared" si="93"/>
        <v>13023.093142466902</v>
      </c>
      <c r="AC983">
        <f t="shared" si="96"/>
        <v>0.9999916699336906</v>
      </c>
      <c r="AD983">
        <f t="shared" si="94"/>
        <v>0.99998819299037622</v>
      </c>
      <c r="AE983">
        <f t="shared" si="95"/>
        <v>151</v>
      </c>
    </row>
    <row r="984" spans="1:31">
      <c r="A984" s="9">
        <v>983</v>
      </c>
      <c r="B984" s="30">
        <v>40587</v>
      </c>
      <c r="C984" s="9">
        <v>1</v>
      </c>
      <c r="D984" s="9">
        <v>0</v>
      </c>
      <c r="E984" s="9">
        <v>2</v>
      </c>
      <c r="F984" s="9">
        <v>14</v>
      </c>
      <c r="G984" s="9" t="b">
        <v>0</v>
      </c>
      <c r="H984" s="9">
        <v>0</v>
      </c>
      <c r="I984" s="9">
        <v>2</v>
      </c>
      <c r="J984" s="9">
        <v>0.4</v>
      </c>
      <c r="K984" s="9">
        <v>0.40910000000000002</v>
      </c>
      <c r="L984" s="9">
        <v>0.3</v>
      </c>
      <c r="M984" s="9">
        <v>0.41789999999999999</v>
      </c>
      <c r="N984" s="9">
        <v>51</v>
      </c>
      <c r="O984" s="9">
        <v>110</v>
      </c>
      <c r="P984" s="9">
        <v>161</v>
      </c>
      <c r="Q984" s="12" t="s">
        <v>78</v>
      </c>
      <c r="R984" s="13" t="s">
        <v>79</v>
      </c>
      <c r="S984" s="9" t="s">
        <v>80</v>
      </c>
      <c r="T984" s="11" t="s">
        <v>88</v>
      </c>
      <c r="U984" s="13" t="s">
        <v>94</v>
      </c>
      <c r="V984" s="13" t="s">
        <v>93</v>
      </c>
      <c r="W984" s="13" t="s">
        <v>90</v>
      </c>
      <c r="X984" s="9" t="s">
        <v>85</v>
      </c>
      <c r="Y984" s="12" t="s">
        <v>86</v>
      </c>
      <c r="Z984">
        <f t="shared" si="91"/>
        <v>8</v>
      </c>
      <c r="AA984" s="39">
        <f t="shared" si="92"/>
        <v>39.733333333333334</v>
      </c>
      <c r="AB984" s="39">
        <f t="shared" si="93"/>
        <v>13362.547147713038</v>
      </c>
      <c r="AC984">
        <f t="shared" si="96"/>
        <v>0.99999298361989852</v>
      </c>
      <c r="AD984">
        <f t="shared" si="94"/>
        <v>0.99998976647298354</v>
      </c>
      <c r="AE984">
        <f t="shared" si="95"/>
        <v>151</v>
      </c>
    </row>
    <row r="985" spans="1:31">
      <c r="A985" s="10">
        <v>984</v>
      </c>
      <c r="B985" s="31">
        <v>40587</v>
      </c>
      <c r="C985" s="10">
        <v>1</v>
      </c>
      <c r="D985" s="10">
        <v>0</v>
      </c>
      <c r="E985" s="10">
        <v>2</v>
      </c>
      <c r="F985" s="10">
        <v>15</v>
      </c>
      <c r="G985" s="10" t="b">
        <v>0</v>
      </c>
      <c r="H985" s="10">
        <v>0</v>
      </c>
      <c r="I985" s="10">
        <v>2</v>
      </c>
      <c r="J985" s="10">
        <v>0.4</v>
      </c>
      <c r="K985" s="10">
        <v>0.40910000000000002</v>
      </c>
      <c r="L985" s="10">
        <v>0.3</v>
      </c>
      <c r="M985" s="10">
        <v>0.29849999999999999</v>
      </c>
      <c r="N985" s="10">
        <v>40</v>
      </c>
      <c r="O985" s="10">
        <v>122</v>
      </c>
      <c r="P985" s="10">
        <v>162</v>
      </c>
      <c r="Q985" s="12" t="s">
        <v>78</v>
      </c>
      <c r="R985" s="13" t="s">
        <v>79</v>
      </c>
      <c r="S985" s="10" t="s">
        <v>80</v>
      </c>
      <c r="T985" s="11" t="s">
        <v>88</v>
      </c>
      <c r="U985" s="13" t="s">
        <v>94</v>
      </c>
      <c r="V985" s="13" t="s">
        <v>93</v>
      </c>
      <c r="W985" s="13" t="s">
        <v>90</v>
      </c>
      <c r="X985" s="10" t="s">
        <v>85</v>
      </c>
      <c r="Y985" s="12" t="s">
        <v>86</v>
      </c>
      <c r="Z985">
        <f t="shared" si="91"/>
        <v>8</v>
      </c>
      <c r="AA985" s="39">
        <f t="shared" si="92"/>
        <v>39.733333333333334</v>
      </c>
      <c r="AB985" s="39">
        <f t="shared" si="93"/>
        <v>13730.109789201593</v>
      </c>
      <c r="AC985">
        <f t="shared" si="96"/>
        <v>0.9999945023181035</v>
      </c>
      <c r="AD985">
        <f t="shared" si="94"/>
        <v>0.99999174787733747</v>
      </c>
      <c r="AE985">
        <f t="shared" si="95"/>
        <v>151</v>
      </c>
    </row>
    <row r="986" spans="1:31">
      <c r="A986" s="9">
        <v>985</v>
      </c>
      <c r="B986" s="30">
        <v>40587</v>
      </c>
      <c r="C986" s="9">
        <v>1</v>
      </c>
      <c r="D986" s="9">
        <v>0</v>
      </c>
      <c r="E986" s="9">
        <v>2</v>
      </c>
      <c r="F986" s="9">
        <v>16</v>
      </c>
      <c r="G986" s="9" t="b">
        <v>0</v>
      </c>
      <c r="H986" s="9">
        <v>0</v>
      </c>
      <c r="I986" s="9">
        <v>2</v>
      </c>
      <c r="J986" s="9">
        <v>0.42</v>
      </c>
      <c r="K986" s="9">
        <v>0.42420000000000002</v>
      </c>
      <c r="L986" s="9">
        <v>0.28000000000000003</v>
      </c>
      <c r="M986" s="9">
        <v>0.32840000000000003</v>
      </c>
      <c r="N986" s="9">
        <v>28</v>
      </c>
      <c r="O986" s="9">
        <v>106</v>
      </c>
      <c r="P986" s="9">
        <v>134</v>
      </c>
      <c r="Q986" s="12" t="s">
        <v>78</v>
      </c>
      <c r="R986" s="13" t="s">
        <v>79</v>
      </c>
      <c r="S986" s="9" t="s">
        <v>80</v>
      </c>
      <c r="T986" s="11" t="s">
        <v>88</v>
      </c>
      <c r="U986" s="13" t="s">
        <v>94</v>
      </c>
      <c r="V986" s="13" t="s">
        <v>93</v>
      </c>
      <c r="W986" s="13" t="s">
        <v>90</v>
      </c>
      <c r="X986" s="9" t="s">
        <v>85</v>
      </c>
      <c r="Y986" s="12" t="s">
        <v>86</v>
      </c>
      <c r="Z986">
        <f t="shared" si="91"/>
        <v>8</v>
      </c>
      <c r="AA986" s="39">
        <f t="shared" si="92"/>
        <v>39.733333333333334</v>
      </c>
      <c r="AB986" s="39">
        <f t="shared" si="93"/>
        <v>14129.798844369758</v>
      </c>
      <c r="AC986">
        <f t="shared" si="96"/>
        <v>0.9999962555857943</v>
      </c>
      <c r="AD986">
        <f t="shared" si="94"/>
        <v>0.99999402993625264</v>
      </c>
      <c r="AE986">
        <f t="shared" si="95"/>
        <v>151</v>
      </c>
    </row>
    <row r="987" spans="1:31">
      <c r="A987" s="10">
        <v>986</v>
      </c>
      <c r="B987" s="31">
        <v>40587</v>
      </c>
      <c r="C987" s="10">
        <v>1</v>
      </c>
      <c r="D987" s="10">
        <v>0</v>
      </c>
      <c r="E987" s="10">
        <v>2</v>
      </c>
      <c r="F987" s="10">
        <v>17</v>
      </c>
      <c r="G987" s="10" t="b">
        <v>0</v>
      </c>
      <c r="H987" s="10">
        <v>0</v>
      </c>
      <c r="I987" s="10">
        <v>1</v>
      </c>
      <c r="J987" s="10">
        <v>0.42</v>
      </c>
      <c r="K987" s="10">
        <v>0.42420000000000002</v>
      </c>
      <c r="L987" s="10">
        <v>0.28000000000000003</v>
      </c>
      <c r="M987" s="10">
        <v>0.32840000000000003</v>
      </c>
      <c r="N987" s="10">
        <v>30</v>
      </c>
      <c r="O987" s="10">
        <v>95</v>
      </c>
      <c r="P987" s="10">
        <v>125</v>
      </c>
      <c r="Q987" s="12" t="s">
        <v>78</v>
      </c>
      <c r="R987" s="13" t="s">
        <v>79</v>
      </c>
      <c r="S987" s="10" t="s">
        <v>80</v>
      </c>
      <c r="T987" s="13" t="s">
        <v>81</v>
      </c>
      <c r="U987" s="15" t="s">
        <v>95</v>
      </c>
      <c r="V987" s="13" t="s">
        <v>93</v>
      </c>
      <c r="W987" s="13" t="s">
        <v>90</v>
      </c>
      <c r="X987" s="10" t="s">
        <v>85</v>
      </c>
      <c r="Y987" s="12" t="s">
        <v>86</v>
      </c>
      <c r="Z987">
        <f t="shared" si="91"/>
        <v>8</v>
      </c>
      <c r="AA987" s="39">
        <f t="shared" si="92"/>
        <v>39.733333333333334</v>
      </c>
      <c r="AB987" s="39">
        <f t="shared" si="93"/>
        <v>14566.117393915694</v>
      </c>
      <c r="AC987">
        <f t="shared" si="96"/>
        <v>0.99999720895995503</v>
      </c>
      <c r="AD987">
        <f t="shared" si="94"/>
        <v>0.99999565659076006</v>
      </c>
      <c r="AE987">
        <f t="shared" si="95"/>
        <v>151</v>
      </c>
    </row>
    <row r="988" spans="1:31">
      <c r="A988" s="9">
        <v>987</v>
      </c>
      <c r="B988" s="30">
        <v>40587</v>
      </c>
      <c r="C988" s="9">
        <v>1</v>
      </c>
      <c r="D988" s="9">
        <v>0</v>
      </c>
      <c r="E988" s="9">
        <v>2</v>
      </c>
      <c r="F988" s="9">
        <v>18</v>
      </c>
      <c r="G988" s="9" t="b">
        <v>0</v>
      </c>
      <c r="H988" s="9">
        <v>0</v>
      </c>
      <c r="I988" s="9">
        <v>1</v>
      </c>
      <c r="J988" s="9">
        <v>0.4</v>
      </c>
      <c r="K988" s="9">
        <v>0.40910000000000002</v>
      </c>
      <c r="L988" s="9">
        <v>0.32</v>
      </c>
      <c r="M988" s="9">
        <v>0.29849999999999999</v>
      </c>
      <c r="N988" s="9">
        <v>17</v>
      </c>
      <c r="O988" s="9">
        <v>78</v>
      </c>
      <c r="P988" s="9">
        <v>95</v>
      </c>
      <c r="Q988" s="12" t="s">
        <v>78</v>
      </c>
      <c r="R988" s="13" t="s">
        <v>79</v>
      </c>
      <c r="S988" s="9" t="s">
        <v>80</v>
      </c>
      <c r="T988" s="13" t="s">
        <v>81</v>
      </c>
      <c r="U988" s="15" t="s">
        <v>95</v>
      </c>
      <c r="V988" s="13" t="s">
        <v>93</v>
      </c>
      <c r="W988" s="13" t="s">
        <v>90</v>
      </c>
      <c r="X988" s="9" t="s">
        <v>85</v>
      </c>
      <c r="Y988" s="12" t="s">
        <v>86</v>
      </c>
      <c r="Z988">
        <f t="shared" si="91"/>
        <v>8</v>
      </c>
      <c r="AA988" s="39">
        <f t="shared" si="92"/>
        <v>33.642857142857146</v>
      </c>
      <c r="AB988" s="39">
        <f t="shared" si="93"/>
        <v>15045.375647718218</v>
      </c>
      <c r="AC988">
        <f t="shared" si="96"/>
        <v>0.9999980743260205</v>
      </c>
      <c r="AD988">
        <f t="shared" si="94"/>
        <v>0.99999722237694011</v>
      </c>
      <c r="AE988">
        <f t="shared" si="95"/>
        <v>151</v>
      </c>
    </row>
    <row r="989" spans="1:31">
      <c r="A989" s="10">
        <v>988</v>
      </c>
      <c r="B989" s="31">
        <v>40587</v>
      </c>
      <c r="C989" s="10">
        <v>1</v>
      </c>
      <c r="D989" s="10">
        <v>0</v>
      </c>
      <c r="E989" s="10">
        <v>2</v>
      </c>
      <c r="F989" s="10">
        <v>19</v>
      </c>
      <c r="G989" s="10" t="b">
        <v>0</v>
      </c>
      <c r="H989" s="10">
        <v>0</v>
      </c>
      <c r="I989" s="10">
        <v>1</v>
      </c>
      <c r="J989" s="10">
        <v>0.4</v>
      </c>
      <c r="K989" s="10">
        <v>0.40910000000000002</v>
      </c>
      <c r="L989" s="10">
        <v>0.35</v>
      </c>
      <c r="M989" s="10">
        <v>0.28360000000000002</v>
      </c>
      <c r="N989" s="10">
        <v>11</v>
      </c>
      <c r="O989" s="10">
        <v>50</v>
      </c>
      <c r="P989" s="10">
        <v>61</v>
      </c>
      <c r="Q989" s="12" t="s">
        <v>78</v>
      </c>
      <c r="R989" s="13" t="s">
        <v>79</v>
      </c>
      <c r="S989" s="10" t="s">
        <v>80</v>
      </c>
      <c r="T989" s="13" t="s">
        <v>81</v>
      </c>
      <c r="U989" s="15" t="s">
        <v>95</v>
      </c>
      <c r="V989" s="11" t="s">
        <v>87</v>
      </c>
      <c r="W989" s="13" t="s">
        <v>90</v>
      </c>
      <c r="X989" s="10" t="s">
        <v>85</v>
      </c>
      <c r="Y989" s="12" t="s">
        <v>86</v>
      </c>
      <c r="Z989">
        <f t="shared" si="91"/>
        <v>8</v>
      </c>
      <c r="AA989" s="39">
        <f t="shared" si="92"/>
        <v>28.923076923076923</v>
      </c>
      <c r="AB989" s="39">
        <f t="shared" si="93"/>
        <v>15574.694923369894</v>
      </c>
      <c r="AC989">
        <f t="shared" si="96"/>
        <v>0.99999854173416969</v>
      </c>
      <c r="AD989">
        <f t="shared" si="94"/>
        <v>0.99999803864031356</v>
      </c>
      <c r="AE989">
        <f t="shared" si="95"/>
        <v>151</v>
      </c>
    </row>
    <row r="990" spans="1:31">
      <c r="A990" s="9">
        <v>989</v>
      </c>
      <c r="B990" s="30">
        <v>40587</v>
      </c>
      <c r="C990" s="9">
        <v>1</v>
      </c>
      <c r="D990" s="9">
        <v>0</v>
      </c>
      <c r="E990" s="9">
        <v>2</v>
      </c>
      <c r="F990" s="9">
        <v>20</v>
      </c>
      <c r="G990" s="9" t="b">
        <v>0</v>
      </c>
      <c r="H990" s="9">
        <v>0</v>
      </c>
      <c r="I990" s="9">
        <v>1</v>
      </c>
      <c r="J990" s="9">
        <v>0.4</v>
      </c>
      <c r="K990" s="9">
        <v>0.40910000000000002</v>
      </c>
      <c r="L990" s="9">
        <v>0.35</v>
      </c>
      <c r="M990" s="9">
        <v>0.32840000000000003</v>
      </c>
      <c r="N990" s="9">
        <v>15</v>
      </c>
      <c r="O990" s="9">
        <v>32</v>
      </c>
      <c r="P990" s="9">
        <v>47</v>
      </c>
      <c r="Q990" s="12" t="s">
        <v>78</v>
      </c>
      <c r="R990" s="13" t="s">
        <v>79</v>
      </c>
      <c r="S990" s="9" t="s">
        <v>80</v>
      </c>
      <c r="T990" s="13" t="s">
        <v>81</v>
      </c>
      <c r="U990" s="16" t="s">
        <v>97</v>
      </c>
      <c r="V990" s="11" t="s">
        <v>87</v>
      </c>
      <c r="W990" s="13" t="s">
        <v>90</v>
      </c>
      <c r="X990" s="9" t="s">
        <v>85</v>
      </c>
      <c r="Y990" s="12" t="s">
        <v>86</v>
      </c>
      <c r="Z990">
        <f t="shared" si="91"/>
        <v>8</v>
      </c>
      <c r="AA990" s="39">
        <f t="shared" ref="AA990:AA1001" si="97">AVERAGEIF(T990:T1989,"Clear",P990:P1989)</f>
        <v>26.25</v>
      </c>
      <c r="AB990" s="39">
        <f t="shared" ref="AB990:AB1001" si="98">STDEV(P990:P1989)</f>
        <v>16163.363417753093</v>
      </c>
      <c r="AC990">
        <f t="shared" si="96"/>
        <v>0.99999862392454708</v>
      </c>
      <c r="AD990">
        <f t="shared" ref="AD990:AD1001" si="99">CORREL(L990:L1989,P990:P1989)</f>
        <v>0.99999827772209038</v>
      </c>
      <c r="AE990">
        <f t="shared" ref="AE990:AE1001" si="100">SUMIF(Q990:Q1989,"Weekday",P990:P1989)</f>
        <v>151</v>
      </c>
    </row>
    <row r="991" spans="1:31">
      <c r="A991" s="10">
        <v>990</v>
      </c>
      <c r="B991" s="31">
        <v>40587</v>
      </c>
      <c r="C991" s="10">
        <v>1</v>
      </c>
      <c r="D991" s="10">
        <v>0</v>
      </c>
      <c r="E991" s="10">
        <v>2</v>
      </c>
      <c r="F991" s="10">
        <v>21</v>
      </c>
      <c r="G991" s="10" t="b">
        <v>0</v>
      </c>
      <c r="H991" s="10">
        <v>0</v>
      </c>
      <c r="I991" s="10">
        <v>1</v>
      </c>
      <c r="J991" s="10">
        <v>0.4</v>
      </c>
      <c r="K991" s="10">
        <v>0.40910000000000002</v>
      </c>
      <c r="L991" s="10">
        <v>0.35</v>
      </c>
      <c r="M991" s="10">
        <v>0.35820000000000002</v>
      </c>
      <c r="N991" s="10">
        <v>6</v>
      </c>
      <c r="O991" s="10">
        <v>45</v>
      </c>
      <c r="P991" s="10">
        <v>51</v>
      </c>
      <c r="Q991" s="12" t="s">
        <v>78</v>
      </c>
      <c r="R991" s="13" t="s">
        <v>79</v>
      </c>
      <c r="S991" s="10" t="s">
        <v>80</v>
      </c>
      <c r="T991" s="13" t="s">
        <v>81</v>
      </c>
      <c r="U991" s="16" t="s">
        <v>97</v>
      </c>
      <c r="V991" s="11" t="s">
        <v>87</v>
      </c>
      <c r="W991" s="13" t="s">
        <v>90</v>
      </c>
      <c r="X991" s="10" t="s">
        <v>85</v>
      </c>
      <c r="Y991" s="12" t="s">
        <v>86</v>
      </c>
      <c r="Z991">
        <f t="shared" si="91"/>
        <v>8</v>
      </c>
      <c r="AA991" s="39">
        <f t="shared" si="97"/>
        <v>24.363636363636363</v>
      </c>
      <c r="AB991" s="39">
        <f t="shared" si="98"/>
        <v>16823.905481081485</v>
      </c>
      <c r="AC991">
        <f t="shared" si="96"/>
        <v>0.99999863492261498</v>
      </c>
      <c r="AD991">
        <f t="shared" si="99"/>
        <v>0.9999983959449068</v>
      </c>
      <c r="AE991">
        <f t="shared" si="100"/>
        <v>151</v>
      </c>
    </row>
    <row r="992" spans="1:31">
      <c r="A992" s="9">
        <v>991</v>
      </c>
      <c r="B992" s="30">
        <v>40587</v>
      </c>
      <c r="C992" s="9">
        <v>1</v>
      </c>
      <c r="D992" s="9">
        <v>0</v>
      </c>
      <c r="E992" s="9">
        <v>2</v>
      </c>
      <c r="F992" s="9">
        <v>22</v>
      </c>
      <c r="G992" s="9" t="b">
        <v>0</v>
      </c>
      <c r="H992" s="9">
        <v>0</v>
      </c>
      <c r="I992" s="9">
        <v>1</v>
      </c>
      <c r="J992" s="9">
        <v>0.4</v>
      </c>
      <c r="K992" s="9">
        <v>0.40910000000000002</v>
      </c>
      <c r="L992" s="9">
        <v>0.35</v>
      </c>
      <c r="M992" s="9">
        <v>0.29849999999999999</v>
      </c>
      <c r="N992" s="9">
        <v>5</v>
      </c>
      <c r="O992" s="9">
        <v>31</v>
      </c>
      <c r="P992" s="9">
        <v>36</v>
      </c>
      <c r="Q992" s="12" t="s">
        <v>78</v>
      </c>
      <c r="R992" s="13" t="s">
        <v>79</v>
      </c>
      <c r="S992" s="9" t="s">
        <v>80</v>
      </c>
      <c r="T992" s="13" t="s">
        <v>81</v>
      </c>
      <c r="U992" s="16" t="s">
        <v>97</v>
      </c>
      <c r="V992" s="11" t="s">
        <v>87</v>
      </c>
      <c r="W992" s="13" t="s">
        <v>90</v>
      </c>
      <c r="X992" s="9" t="s">
        <v>85</v>
      </c>
      <c r="Y992" s="12" t="s">
        <v>86</v>
      </c>
      <c r="Z992">
        <f t="shared" si="91"/>
        <v>8</v>
      </c>
      <c r="AA992" s="39">
        <f t="shared" si="97"/>
        <v>21.7</v>
      </c>
      <c r="AB992" s="39">
        <f t="shared" si="98"/>
        <v>17572.79728133541</v>
      </c>
      <c r="AC992">
        <f t="shared" si="96"/>
        <v>0.99999866818755689</v>
      </c>
      <c r="AD992">
        <f t="shared" si="99"/>
        <v>0.99999858542387565</v>
      </c>
      <c r="AE992">
        <f t="shared" si="100"/>
        <v>151</v>
      </c>
    </row>
    <row r="993" spans="1:31">
      <c r="A993" s="10">
        <v>992</v>
      </c>
      <c r="B993" s="31">
        <v>40587</v>
      </c>
      <c r="C993" s="10">
        <v>1</v>
      </c>
      <c r="D993" s="10">
        <v>0</v>
      </c>
      <c r="E993" s="10">
        <v>2</v>
      </c>
      <c r="F993" s="10">
        <v>23</v>
      </c>
      <c r="G993" s="10" t="b">
        <v>0</v>
      </c>
      <c r="H993" s="10">
        <v>0</v>
      </c>
      <c r="I993" s="10">
        <v>1</v>
      </c>
      <c r="J993" s="10">
        <v>0.4</v>
      </c>
      <c r="K993" s="10">
        <v>0.40910000000000002</v>
      </c>
      <c r="L993" s="10">
        <v>0.35</v>
      </c>
      <c r="M993" s="10">
        <v>0.35820000000000002</v>
      </c>
      <c r="N993" s="10">
        <v>3</v>
      </c>
      <c r="O993" s="10">
        <v>27</v>
      </c>
      <c r="P993" s="10">
        <v>30</v>
      </c>
      <c r="Q993" s="12" t="s">
        <v>78</v>
      </c>
      <c r="R993" s="13" t="s">
        <v>79</v>
      </c>
      <c r="S993" s="10" t="s">
        <v>80</v>
      </c>
      <c r="T993" s="13" t="s">
        <v>81</v>
      </c>
      <c r="U993" s="16" t="s">
        <v>97</v>
      </c>
      <c r="V993" s="11" t="s">
        <v>87</v>
      </c>
      <c r="W993" s="13" t="s">
        <v>90</v>
      </c>
      <c r="X993" s="10" t="s">
        <v>85</v>
      </c>
      <c r="Y993" s="12" t="s">
        <v>86</v>
      </c>
      <c r="Z993">
        <f t="shared" si="91"/>
        <v>8</v>
      </c>
      <c r="AA993" s="39">
        <f t="shared" si="97"/>
        <v>20.111111111111111</v>
      </c>
      <c r="AB993" s="39">
        <f t="shared" si="98"/>
        <v>18431.007280908139</v>
      </c>
      <c r="AC993">
        <f t="shared" si="96"/>
        <v>0.99999865584602665</v>
      </c>
      <c r="AD993">
        <f t="shared" si="99"/>
        <v>0.99999866004105642</v>
      </c>
      <c r="AE993">
        <f t="shared" si="100"/>
        <v>151</v>
      </c>
    </row>
    <row r="994" spans="1:31">
      <c r="A994" s="9">
        <v>993</v>
      </c>
      <c r="B994" s="30">
        <v>40588</v>
      </c>
      <c r="C994" s="9">
        <v>1</v>
      </c>
      <c r="D994" s="9">
        <v>0</v>
      </c>
      <c r="E994" s="9">
        <v>2</v>
      </c>
      <c r="F994" s="9">
        <v>0</v>
      </c>
      <c r="G994" s="9" t="b">
        <v>0</v>
      </c>
      <c r="H994" s="9">
        <v>1</v>
      </c>
      <c r="I994" s="9">
        <v>1</v>
      </c>
      <c r="J994" s="9">
        <v>0.38</v>
      </c>
      <c r="K994" s="9">
        <v>0.39389999999999997</v>
      </c>
      <c r="L994" s="9">
        <v>0.37</v>
      </c>
      <c r="M994" s="9">
        <v>0.35820000000000002</v>
      </c>
      <c r="N994" s="9">
        <v>3</v>
      </c>
      <c r="O994" s="9">
        <v>8</v>
      </c>
      <c r="P994" s="9">
        <v>11</v>
      </c>
      <c r="Q994" s="13" t="s">
        <v>98</v>
      </c>
      <c r="R994" s="13" t="s">
        <v>79</v>
      </c>
      <c r="S994" s="9" t="s">
        <v>80</v>
      </c>
      <c r="T994" s="13" t="s">
        <v>81</v>
      </c>
      <c r="U994" s="14" t="s">
        <v>82</v>
      </c>
      <c r="V994" s="12" t="s">
        <v>83</v>
      </c>
      <c r="W994" s="13" t="s">
        <v>90</v>
      </c>
      <c r="X994" s="9" t="s">
        <v>85</v>
      </c>
      <c r="Y994" s="13" t="s">
        <v>99</v>
      </c>
      <c r="Z994">
        <f t="shared" si="91"/>
        <v>8</v>
      </c>
      <c r="AA994" s="39">
        <f t="shared" si="97"/>
        <v>18.875</v>
      </c>
      <c r="AB994" s="39">
        <f t="shared" si="98"/>
        <v>19428.39951591484</v>
      </c>
      <c r="AC994">
        <f t="shared" si="96"/>
        <v>0.99999864118551862</v>
      </c>
      <c r="AD994">
        <f t="shared" si="99"/>
        <v>0.99999870756467091</v>
      </c>
      <c r="AE994">
        <f t="shared" si="100"/>
        <v>151</v>
      </c>
    </row>
    <row r="995" spans="1:31">
      <c r="A995" s="10">
        <v>994</v>
      </c>
      <c r="B995" s="31">
        <v>40588</v>
      </c>
      <c r="C995" s="10">
        <v>1</v>
      </c>
      <c r="D995" s="10">
        <v>0</v>
      </c>
      <c r="E995" s="10">
        <v>2</v>
      </c>
      <c r="F995" s="10">
        <v>1</v>
      </c>
      <c r="G995" s="10" t="b">
        <v>0</v>
      </c>
      <c r="H995" s="10">
        <v>1</v>
      </c>
      <c r="I995" s="10">
        <v>1</v>
      </c>
      <c r="J995" s="10">
        <v>0.38</v>
      </c>
      <c r="K995" s="10">
        <v>0.39389999999999997</v>
      </c>
      <c r="L995" s="10">
        <v>0.37</v>
      </c>
      <c r="M995" s="10">
        <v>0.35820000000000002</v>
      </c>
      <c r="N995" s="10">
        <v>1</v>
      </c>
      <c r="O995" s="10">
        <v>6</v>
      </c>
      <c r="P995" s="10">
        <v>7</v>
      </c>
      <c r="Q995" s="13" t="s">
        <v>98</v>
      </c>
      <c r="R995" s="13" t="s">
        <v>79</v>
      </c>
      <c r="S995" s="10" t="s">
        <v>80</v>
      </c>
      <c r="T995" s="13" t="s">
        <v>81</v>
      </c>
      <c r="U995" s="14" t="s">
        <v>82</v>
      </c>
      <c r="V995" s="12" t="s">
        <v>83</v>
      </c>
      <c r="W995" s="13" t="s">
        <v>90</v>
      </c>
      <c r="X995" s="10" t="s">
        <v>85</v>
      </c>
      <c r="Y995" s="13" t="s">
        <v>99</v>
      </c>
      <c r="Z995">
        <f t="shared" si="91"/>
        <v>7</v>
      </c>
      <c r="AA995" s="39">
        <f t="shared" si="97"/>
        <v>20</v>
      </c>
      <c r="AB995" s="39">
        <f t="shared" si="98"/>
        <v>20606.531987974799</v>
      </c>
      <c r="AC995">
        <f t="shared" si="96"/>
        <v>0.99999867571936285</v>
      </c>
      <c r="AD995">
        <f t="shared" si="99"/>
        <v>0.99999868700167149</v>
      </c>
      <c r="AE995">
        <f t="shared" si="100"/>
        <v>140</v>
      </c>
    </row>
    <row r="996" spans="1:31">
      <c r="A996" s="9">
        <v>995</v>
      </c>
      <c r="B996" s="30">
        <v>40588</v>
      </c>
      <c r="C996" s="9">
        <v>1</v>
      </c>
      <c r="D996" s="9">
        <v>0</v>
      </c>
      <c r="E996" s="9">
        <v>2</v>
      </c>
      <c r="F996" s="9">
        <v>2</v>
      </c>
      <c r="G996" s="9" t="b">
        <v>0</v>
      </c>
      <c r="H996" s="9">
        <v>1</v>
      </c>
      <c r="I996" s="9">
        <v>1</v>
      </c>
      <c r="J996" s="9">
        <v>0.36</v>
      </c>
      <c r="K996" s="9">
        <v>0.33329999999999999</v>
      </c>
      <c r="L996" s="9">
        <v>0.4</v>
      </c>
      <c r="M996" s="9">
        <v>0.29849999999999999</v>
      </c>
      <c r="N996" s="9">
        <v>0</v>
      </c>
      <c r="O996" s="9">
        <v>2</v>
      </c>
      <c r="P996" s="9">
        <v>2</v>
      </c>
      <c r="Q996" s="13" t="s">
        <v>98</v>
      </c>
      <c r="R996" s="13" t="s">
        <v>79</v>
      </c>
      <c r="S996" s="9" t="s">
        <v>80</v>
      </c>
      <c r="T996" s="13" t="s">
        <v>81</v>
      </c>
      <c r="U996" s="14" t="s">
        <v>82</v>
      </c>
      <c r="V996" s="12" t="s">
        <v>83</v>
      </c>
      <c r="W996" s="13" t="s">
        <v>90</v>
      </c>
      <c r="X996" s="9" t="s">
        <v>85</v>
      </c>
      <c r="Y996" s="13" t="s">
        <v>99</v>
      </c>
      <c r="Z996">
        <f t="shared" si="91"/>
        <v>6</v>
      </c>
      <c r="AA996" s="39">
        <f t="shared" si="97"/>
        <v>22.166666666666668</v>
      </c>
      <c r="AB996" s="39">
        <f t="shared" si="98"/>
        <v>22028.490237482394</v>
      </c>
      <c r="AC996">
        <f t="shared" si="96"/>
        <v>0.99999875897161006</v>
      </c>
      <c r="AD996">
        <f t="shared" si="99"/>
        <v>0.99999866296704254</v>
      </c>
      <c r="AE996">
        <f t="shared" si="100"/>
        <v>133</v>
      </c>
    </row>
    <row r="997" spans="1:31">
      <c r="A997" s="10">
        <v>996</v>
      </c>
      <c r="B997" s="31">
        <v>40588</v>
      </c>
      <c r="C997" s="10">
        <v>1</v>
      </c>
      <c r="D997" s="10">
        <v>0</v>
      </c>
      <c r="E997" s="10">
        <v>2</v>
      </c>
      <c r="F997" s="10">
        <v>3</v>
      </c>
      <c r="G997" s="10" t="b">
        <v>0</v>
      </c>
      <c r="H997" s="10">
        <v>1</v>
      </c>
      <c r="I997" s="10">
        <v>1</v>
      </c>
      <c r="J997" s="10">
        <v>0.34</v>
      </c>
      <c r="K997" s="10">
        <v>0.31819999999999998</v>
      </c>
      <c r="L997" s="10">
        <v>0.46</v>
      </c>
      <c r="M997" s="10">
        <v>0.22389999999999999</v>
      </c>
      <c r="N997" s="10">
        <v>1</v>
      </c>
      <c r="O997" s="10">
        <v>1</v>
      </c>
      <c r="P997" s="10">
        <v>2</v>
      </c>
      <c r="Q997" s="13" t="s">
        <v>98</v>
      </c>
      <c r="R997" s="13" t="s">
        <v>79</v>
      </c>
      <c r="S997" s="10" t="s">
        <v>80</v>
      </c>
      <c r="T997" s="13" t="s">
        <v>81</v>
      </c>
      <c r="U997" s="14" t="s">
        <v>82</v>
      </c>
      <c r="V997" s="12" t="s">
        <v>83</v>
      </c>
      <c r="W997" s="13" t="s">
        <v>90</v>
      </c>
      <c r="X997" s="10" t="s">
        <v>85</v>
      </c>
      <c r="Y997" s="13" t="s">
        <v>99</v>
      </c>
      <c r="Z997">
        <f t="shared" si="91"/>
        <v>5</v>
      </c>
      <c r="AA997" s="39">
        <f t="shared" si="97"/>
        <v>26.2</v>
      </c>
      <c r="AB997" s="39">
        <f t="shared" si="98"/>
        <v>23791.841075601245</v>
      </c>
      <c r="AC997">
        <f t="shared" si="96"/>
        <v>0.99999887539036236</v>
      </c>
      <c r="AD997">
        <f t="shared" si="99"/>
        <v>0.99999865944044475</v>
      </c>
      <c r="AE997">
        <f t="shared" si="100"/>
        <v>131</v>
      </c>
    </row>
    <row r="998" spans="1:31">
      <c r="A998" s="9">
        <v>997</v>
      </c>
      <c r="B998" s="30">
        <v>40588</v>
      </c>
      <c r="C998" s="9">
        <v>1</v>
      </c>
      <c r="D998" s="9">
        <v>0</v>
      </c>
      <c r="E998" s="9">
        <v>2</v>
      </c>
      <c r="F998" s="9">
        <v>4</v>
      </c>
      <c r="G998" s="9" t="b">
        <v>0</v>
      </c>
      <c r="H998" s="9">
        <v>1</v>
      </c>
      <c r="I998" s="9">
        <v>1</v>
      </c>
      <c r="J998" s="9">
        <v>0.32</v>
      </c>
      <c r="K998" s="9">
        <v>0.30299999999999999</v>
      </c>
      <c r="L998" s="9">
        <v>0.53</v>
      </c>
      <c r="M998" s="9">
        <v>0.28360000000000002</v>
      </c>
      <c r="N998" s="9">
        <v>0</v>
      </c>
      <c r="O998" s="9">
        <v>2</v>
      </c>
      <c r="P998" s="9">
        <v>2</v>
      </c>
      <c r="Q998" s="13" t="s">
        <v>98</v>
      </c>
      <c r="R998" s="13" t="s">
        <v>79</v>
      </c>
      <c r="S998" s="9" t="s">
        <v>80</v>
      </c>
      <c r="T998" s="13" t="s">
        <v>81</v>
      </c>
      <c r="U998" s="14" t="s">
        <v>82</v>
      </c>
      <c r="V998" s="12" t="s">
        <v>83</v>
      </c>
      <c r="W998" s="13" t="s">
        <v>90</v>
      </c>
      <c r="X998" s="9" t="s">
        <v>85</v>
      </c>
      <c r="Y998" s="13" t="s">
        <v>99</v>
      </c>
      <c r="Z998">
        <f t="shared" si="91"/>
        <v>4</v>
      </c>
      <c r="AA998" s="39">
        <f t="shared" si="97"/>
        <v>32.25</v>
      </c>
      <c r="AB998" s="39">
        <f t="shared" si="98"/>
        <v>26059.948250140482</v>
      </c>
      <c r="AC998">
        <f t="shared" si="96"/>
        <v>0.99999898945670951</v>
      </c>
      <c r="AD998">
        <f t="shared" si="99"/>
        <v>0.99999870863820484</v>
      </c>
      <c r="AE998">
        <f t="shared" si="100"/>
        <v>129</v>
      </c>
    </row>
    <row r="999" spans="1:31">
      <c r="A999" s="10">
        <v>998</v>
      </c>
      <c r="B999" s="31">
        <v>40588</v>
      </c>
      <c r="C999" s="10">
        <v>1</v>
      </c>
      <c r="D999" s="10">
        <v>0</v>
      </c>
      <c r="E999" s="10">
        <v>2</v>
      </c>
      <c r="F999" s="10">
        <v>5</v>
      </c>
      <c r="G999" s="10" t="b">
        <v>0</v>
      </c>
      <c r="H999" s="10">
        <v>1</v>
      </c>
      <c r="I999" s="10">
        <v>1</v>
      </c>
      <c r="J999" s="10">
        <v>0.32</v>
      </c>
      <c r="K999" s="10">
        <v>0.30299999999999999</v>
      </c>
      <c r="L999" s="10">
        <v>0.53</v>
      </c>
      <c r="M999" s="10">
        <v>0.28360000000000002</v>
      </c>
      <c r="N999" s="10">
        <v>0</v>
      </c>
      <c r="O999" s="10">
        <v>3</v>
      </c>
      <c r="P999" s="10">
        <v>3</v>
      </c>
      <c r="Q999" s="13" t="s">
        <v>98</v>
      </c>
      <c r="R999" s="13" t="s">
        <v>79</v>
      </c>
      <c r="S999" s="10" t="s">
        <v>80</v>
      </c>
      <c r="T999" s="13" t="s">
        <v>81</v>
      </c>
      <c r="U999" s="15" t="s">
        <v>89</v>
      </c>
      <c r="V999" s="12" t="s">
        <v>83</v>
      </c>
      <c r="W999" s="13" t="s">
        <v>90</v>
      </c>
      <c r="X999" s="10" t="s">
        <v>85</v>
      </c>
      <c r="Y999" s="13" t="s">
        <v>99</v>
      </c>
      <c r="Z999">
        <f t="shared" si="91"/>
        <v>3</v>
      </c>
      <c r="AA999" s="39">
        <f t="shared" si="97"/>
        <v>42.333333333333336</v>
      </c>
      <c r="AB999" s="39">
        <f t="shared" si="98"/>
        <v>29130.861440232075</v>
      </c>
      <c r="AC999">
        <f t="shared" si="96"/>
        <v>0.99999911852113776</v>
      </c>
      <c r="AD999">
        <f t="shared" si="99"/>
        <v>0.99999892045461591</v>
      </c>
      <c r="AE999">
        <f t="shared" si="100"/>
        <v>127</v>
      </c>
    </row>
    <row r="1000" spans="1:31">
      <c r="A1000" s="9">
        <v>999</v>
      </c>
      <c r="B1000" s="30">
        <v>40588</v>
      </c>
      <c r="C1000" s="9">
        <v>1</v>
      </c>
      <c r="D1000" s="9">
        <v>0</v>
      </c>
      <c r="E1000" s="9">
        <v>2</v>
      </c>
      <c r="F1000" s="9">
        <v>6</v>
      </c>
      <c r="G1000" s="9" t="b">
        <v>0</v>
      </c>
      <c r="H1000" s="9">
        <v>1</v>
      </c>
      <c r="I1000" s="9">
        <v>1</v>
      </c>
      <c r="J1000" s="9">
        <v>0.34</v>
      </c>
      <c r="K1000" s="9">
        <v>0.30299999999999999</v>
      </c>
      <c r="L1000" s="9">
        <v>0.46</v>
      </c>
      <c r="M1000" s="9">
        <v>0.29849999999999999</v>
      </c>
      <c r="N1000" s="9">
        <v>1</v>
      </c>
      <c r="O1000" s="9">
        <v>25</v>
      </c>
      <c r="P1000" s="9">
        <v>26</v>
      </c>
      <c r="Q1000" s="13" t="s">
        <v>98</v>
      </c>
      <c r="R1000" s="13" t="s">
        <v>79</v>
      </c>
      <c r="S1000" s="9" t="s">
        <v>80</v>
      </c>
      <c r="T1000" s="13" t="s">
        <v>81</v>
      </c>
      <c r="U1000" s="15" t="s">
        <v>89</v>
      </c>
      <c r="V1000" s="12" t="s">
        <v>83</v>
      </c>
      <c r="W1000" s="13" t="s">
        <v>90</v>
      </c>
      <c r="X1000" s="9" t="s">
        <v>85</v>
      </c>
      <c r="Y1000" s="13" t="s">
        <v>99</v>
      </c>
      <c r="Z1000">
        <f t="shared" si="91"/>
        <v>2</v>
      </c>
      <c r="AA1000" s="39">
        <f t="shared" si="97"/>
        <v>62</v>
      </c>
      <c r="AB1000" s="39">
        <f t="shared" si="98"/>
        <v>33626.053648919318</v>
      </c>
      <c r="AC1000">
        <f t="shared" si="96"/>
        <v>0.9999994269093444</v>
      </c>
      <c r="AD1000">
        <f t="shared" si="99"/>
        <v>0.99999942690934418</v>
      </c>
      <c r="AE1000">
        <f t="shared" si="100"/>
        <v>124</v>
      </c>
    </row>
    <row r="1001" spans="1:31">
      <c r="A1001" s="10">
        <v>1000</v>
      </c>
      <c r="B1001" s="31">
        <v>40588</v>
      </c>
      <c r="C1001" s="10">
        <v>1</v>
      </c>
      <c r="D1001" s="10">
        <v>0</v>
      </c>
      <c r="E1001" s="10">
        <v>2</v>
      </c>
      <c r="F1001" s="10">
        <v>7</v>
      </c>
      <c r="G1001" s="10" t="b">
        <v>0</v>
      </c>
      <c r="H1001" s="10">
        <v>1</v>
      </c>
      <c r="I1001" s="10">
        <v>1</v>
      </c>
      <c r="J1001" s="10">
        <v>0.34</v>
      </c>
      <c r="K1001" s="10">
        <v>0.30299999999999999</v>
      </c>
      <c r="L1001" s="10">
        <v>0.46</v>
      </c>
      <c r="M1001" s="10">
        <v>0.29849999999999999</v>
      </c>
      <c r="N1001" s="10">
        <v>2</v>
      </c>
      <c r="O1001" s="10">
        <v>96</v>
      </c>
      <c r="P1001" s="10">
        <v>98</v>
      </c>
      <c r="Q1001" s="13" t="s">
        <v>98</v>
      </c>
      <c r="R1001" s="13" t="s">
        <v>79</v>
      </c>
      <c r="S1001" s="10" t="s">
        <v>80</v>
      </c>
      <c r="T1001" s="13" t="s">
        <v>81</v>
      </c>
      <c r="U1001" s="15" t="s">
        <v>89</v>
      </c>
      <c r="V1001" s="13" t="s">
        <v>93</v>
      </c>
      <c r="W1001" s="13" t="s">
        <v>90</v>
      </c>
      <c r="X1001" s="10" t="s">
        <v>85</v>
      </c>
      <c r="Y1001" s="13" t="s">
        <v>99</v>
      </c>
      <c r="Z1001">
        <f t="shared" si="91"/>
        <v>1</v>
      </c>
      <c r="AA1001" s="39">
        <f t="shared" si="97"/>
        <v>98</v>
      </c>
      <c r="AB1001" s="39">
        <f t="shared" si="98"/>
        <v>41157.857305744183</v>
      </c>
      <c r="AC1001">
        <f t="shared" si="96"/>
        <v>1</v>
      </c>
      <c r="AD1001">
        <f t="shared" si="99"/>
        <v>0.99999999999999978</v>
      </c>
      <c r="AE1001">
        <f t="shared" si="100"/>
        <v>98</v>
      </c>
    </row>
    <row r="1002" spans="1:31">
      <c r="A1002" s="25"/>
      <c r="B1002" s="32"/>
      <c r="C1002" s="25"/>
      <c r="D1002" s="25"/>
      <c r="E1002" s="25"/>
      <c r="F1002" s="25"/>
      <c r="G1002" s="25"/>
      <c r="H1002" s="25"/>
      <c r="I1002" s="25"/>
      <c r="J1002" s="25">
        <f>SUBTOTAL(109,Table1[TEMP])</f>
        <v>205.89999999999961</v>
      </c>
      <c r="K1002" s="25">
        <f>SUBTOTAL(109,Table1[ATEMP])</f>
        <v>213.04110000000048</v>
      </c>
      <c r="L1002" s="25">
        <f>SUBTOTAL(109,Table1[HUM])</f>
        <v>582.48000000000036</v>
      </c>
      <c r="M1002" s="25">
        <f>SUBTOTAL(109,Table1[WINDSPEED])</f>
        <v>194.93129999999903</v>
      </c>
      <c r="N1002" s="25">
        <f>SUBTOTAL(109,Table1[CASUAL])</f>
        <v>4921</v>
      </c>
      <c r="O1002" s="25">
        <f>SUBTOTAL(109,Table1[REGISTERED])</f>
        <v>53383</v>
      </c>
      <c r="P1002" s="25">
        <f>SUBTOTAL(109,Table1[CNT])</f>
        <v>58304</v>
      </c>
      <c r="Q1002" s="26"/>
      <c r="R1002" s="26"/>
      <c r="S1002" s="25"/>
      <c r="T1002" s="26"/>
      <c r="U1002" s="27"/>
      <c r="V1002" s="28"/>
      <c r="W1002" s="26"/>
      <c r="X1002" s="25"/>
      <c r="Y1002" s="26"/>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1"/>
  <sheetViews>
    <sheetView topLeftCell="A25" workbookViewId="0">
      <selection activeCell="A20" sqref="A20"/>
    </sheetView>
  </sheetViews>
  <sheetFormatPr defaultRowHeight="14.4"/>
  <cols>
    <col min="1" max="1" width="52.44140625" customWidth="1"/>
    <col min="2" max="2" width="20" customWidth="1"/>
    <col min="3" max="3" width="35" customWidth="1"/>
    <col min="4" max="4" width="20" customWidth="1"/>
  </cols>
  <sheetData>
    <row r="1" spans="1:4" ht="15.6">
      <c r="A1" s="18" t="s">
        <v>102</v>
      </c>
      <c r="B1" t="s">
        <v>155</v>
      </c>
      <c r="C1" t="s">
        <v>156</v>
      </c>
      <c r="D1" t="s">
        <v>157</v>
      </c>
    </row>
    <row r="2" spans="1:4">
      <c r="A2" s="19" t="s">
        <v>103</v>
      </c>
      <c r="B2" s="19" t="s">
        <v>104</v>
      </c>
      <c r="C2" s="19" t="s">
        <v>105</v>
      </c>
      <c r="D2" s="19" t="s">
        <v>106</v>
      </c>
    </row>
    <row r="3" spans="1:4">
      <c r="A3" s="10" t="s">
        <v>107</v>
      </c>
      <c r="B3" s="10" t="s">
        <v>98</v>
      </c>
      <c r="C3" s="10">
        <v>670</v>
      </c>
      <c r="D3" s="10" t="s">
        <v>108</v>
      </c>
    </row>
    <row r="4" spans="1:4">
      <c r="A4" s="20" t="s">
        <v>107</v>
      </c>
      <c r="B4" s="20" t="s">
        <v>78</v>
      </c>
      <c r="C4" s="20">
        <v>330</v>
      </c>
      <c r="D4" s="20" t="s">
        <v>109</v>
      </c>
    </row>
    <row r="5" spans="1:4">
      <c r="A5" s="10" t="s">
        <v>100</v>
      </c>
      <c r="B5" s="10" t="s">
        <v>100</v>
      </c>
      <c r="C5" s="10">
        <v>24</v>
      </c>
      <c r="D5" s="10" t="s">
        <v>110</v>
      </c>
    </row>
    <row r="6" spans="1:4">
      <c r="A6" s="20" t="s">
        <v>100</v>
      </c>
      <c r="B6" s="20" t="s">
        <v>79</v>
      </c>
      <c r="C6" s="20">
        <v>976</v>
      </c>
      <c r="D6" s="20" t="s">
        <v>111</v>
      </c>
    </row>
    <row r="7" spans="1:4">
      <c r="A7" s="10" t="s">
        <v>112</v>
      </c>
      <c r="B7" s="10" t="s">
        <v>83</v>
      </c>
      <c r="C7" s="10">
        <v>336</v>
      </c>
      <c r="D7" s="10" t="s">
        <v>113</v>
      </c>
    </row>
    <row r="8" spans="1:4">
      <c r="A8" s="20" t="s">
        <v>112</v>
      </c>
      <c r="B8" s="20" t="s">
        <v>87</v>
      </c>
      <c r="C8" s="20">
        <v>326</v>
      </c>
      <c r="D8" s="20" t="s">
        <v>114</v>
      </c>
    </row>
    <row r="9" spans="1:4">
      <c r="A9" s="10" t="s">
        <v>112</v>
      </c>
      <c r="B9" s="10" t="s">
        <v>93</v>
      </c>
      <c r="C9" s="10">
        <v>338</v>
      </c>
      <c r="D9" s="10" t="s">
        <v>115</v>
      </c>
    </row>
    <row r="10" spans="1:4">
      <c r="A10" s="20" t="s">
        <v>116</v>
      </c>
      <c r="B10" s="20" t="s">
        <v>81</v>
      </c>
      <c r="C10" s="20">
        <v>606</v>
      </c>
      <c r="D10" s="20" t="s">
        <v>117</v>
      </c>
    </row>
    <row r="11" spans="1:4">
      <c r="A11" s="10" t="s">
        <v>116</v>
      </c>
      <c r="B11" s="10" t="s">
        <v>88</v>
      </c>
      <c r="C11" s="10">
        <v>309</v>
      </c>
      <c r="D11" s="10" t="s">
        <v>118</v>
      </c>
    </row>
    <row r="12" spans="1:4">
      <c r="A12" s="20" t="s">
        <v>116</v>
      </c>
      <c r="B12" s="20" t="s">
        <v>96</v>
      </c>
      <c r="C12" s="20">
        <v>84</v>
      </c>
      <c r="D12" s="20" t="s">
        <v>119</v>
      </c>
    </row>
    <row r="13" spans="1:4">
      <c r="A13" s="10" t="s">
        <v>116</v>
      </c>
      <c r="B13" s="10" t="s">
        <v>101</v>
      </c>
      <c r="C13" s="10">
        <v>1</v>
      </c>
      <c r="D13" s="10" t="s">
        <v>120</v>
      </c>
    </row>
    <row r="15" spans="1:4" ht="15.6">
      <c r="A15" s="18" t="s">
        <v>121</v>
      </c>
      <c r="B15" t="s">
        <v>155</v>
      </c>
      <c r="C15" t="s">
        <v>156</v>
      </c>
      <c r="D15" t="s">
        <v>157</v>
      </c>
    </row>
    <row r="16" spans="1:4">
      <c r="A16" s="19" t="s">
        <v>103</v>
      </c>
      <c r="B16" s="19" t="s">
        <v>104</v>
      </c>
      <c r="C16" s="19" t="s">
        <v>122</v>
      </c>
      <c r="D16" s="19" t="s">
        <v>123</v>
      </c>
    </row>
    <row r="17" spans="1:4">
      <c r="A17" s="10" t="s">
        <v>107</v>
      </c>
      <c r="B17" s="10" t="s">
        <v>98</v>
      </c>
      <c r="C17" s="10">
        <v>42435</v>
      </c>
      <c r="D17" s="10">
        <v>63.34</v>
      </c>
    </row>
    <row r="18" spans="1:4">
      <c r="A18" s="20" t="s">
        <v>107</v>
      </c>
      <c r="B18" s="20" t="s">
        <v>78</v>
      </c>
      <c r="C18" s="20">
        <v>15869</v>
      </c>
      <c r="D18" s="20">
        <v>48.09</v>
      </c>
    </row>
    <row r="19" spans="1:4">
      <c r="A19" s="10" t="s">
        <v>100</v>
      </c>
      <c r="B19" s="10" t="s">
        <v>100</v>
      </c>
      <c r="C19" s="10">
        <v>1000</v>
      </c>
      <c r="D19" s="10">
        <v>41.67</v>
      </c>
    </row>
    <row r="20" spans="1:4">
      <c r="A20" s="20" t="s">
        <v>99</v>
      </c>
      <c r="B20" s="20" t="s">
        <v>99</v>
      </c>
      <c r="C20" s="20">
        <v>41435</v>
      </c>
      <c r="D20" s="20">
        <v>64.14</v>
      </c>
    </row>
    <row r="21" spans="1:4">
      <c r="A21" s="10" t="s">
        <v>116</v>
      </c>
      <c r="B21" s="10" t="s">
        <v>81</v>
      </c>
      <c r="C21" s="10">
        <v>37373</v>
      </c>
      <c r="D21" s="10">
        <v>61.67</v>
      </c>
    </row>
    <row r="22" spans="1:4">
      <c r="A22" s="20" t="s">
        <v>116</v>
      </c>
      <c r="B22" s="20" t="s">
        <v>88</v>
      </c>
      <c r="C22" s="20">
        <v>18106</v>
      </c>
      <c r="D22" s="20">
        <v>58.6</v>
      </c>
    </row>
    <row r="23" spans="1:4">
      <c r="A23" s="10" t="s">
        <v>116</v>
      </c>
      <c r="B23" s="10" t="s">
        <v>96</v>
      </c>
      <c r="C23" s="10">
        <v>2789</v>
      </c>
      <c r="D23" s="10">
        <v>33.200000000000003</v>
      </c>
    </row>
    <row r="24" spans="1:4">
      <c r="A24" s="20" t="s">
        <v>124</v>
      </c>
      <c r="B24" s="20" t="s">
        <v>89</v>
      </c>
      <c r="C24" s="20">
        <v>12385</v>
      </c>
      <c r="D24" s="20">
        <v>59.54</v>
      </c>
    </row>
    <row r="25" spans="1:4">
      <c r="A25" s="10" t="s">
        <v>124</v>
      </c>
      <c r="B25" s="10" t="s">
        <v>95</v>
      </c>
      <c r="C25" s="10">
        <v>15113</v>
      </c>
      <c r="D25" s="10">
        <v>116.25</v>
      </c>
    </row>
    <row r="26" spans="1:4">
      <c r="A26" s="20" t="s">
        <v>124</v>
      </c>
      <c r="B26" s="20" t="s">
        <v>97</v>
      </c>
      <c r="C26" s="20">
        <v>7243</v>
      </c>
      <c r="D26" s="20">
        <v>42.11</v>
      </c>
    </row>
    <row r="28" spans="1:4" ht="15.6">
      <c r="A28" s="18" t="s">
        <v>125</v>
      </c>
      <c r="B28" t="s">
        <v>155</v>
      </c>
      <c r="C28" t="s">
        <v>156</v>
      </c>
      <c r="D28" t="s">
        <v>157</v>
      </c>
    </row>
    <row r="29" spans="1:4">
      <c r="A29" s="19" t="s">
        <v>126</v>
      </c>
      <c r="B29" s="19" t="s">
        <v>127</v>
      </c>
      <c r="C29" s="19" t="s">
        <v>128</v>
      </c>
      <c r="D29" s="19"/>
    </row>
    <row r="30" spans="1:4">
      <c r="A30" s="20" t="s">
        <v>129</v>
      </c>
      <c r="B30" s="20">
        <v>50.99</v>
      </c>
      <c r="C30" s="20" t="s">
        <v>130</v>
      </c>
      <c r="D30" s="20"/>
    </row>
    <row r="31" spans="1:4">
      <c r="A31" s="10" t="s">
        <v>131</v>
      </c>
      <c r="B31" s="10">
        <v>54.51</v>
      </c>
      <c r="C31" s="10" t="s">
        <v>132</v>
      </c>
      <c r="D31" s="10"/>
    </row>
    <row r="32" spans="1:4">
      <c r="A32" s="20" t="s">
        <v>133</v>
      </c>
      <c r="B32" s="20">
        <v>41.18</v>
      </c>
      <c r="C32" s="20" t="s">
        <v>134</v>
      </c>
      <c r="D32" s="20"/>
    </row>
    <row r="33" spans="1:4">
      <c r="A33" s="10" t="s">
        <v>135</v>
      </c>
      <c r="B33" s="10">
        <v>52.06</v>
      </c>
      <c r="C33" s="10" t="s">
        <v>136</v>
      </c>
      <c r="D33" s="10"/>
    </row>
    <row r="34" spans="1:4">
      <c r="A34" s="20" t="s">
        <v>137</v>
      </c>
      <c r="B34" s="20">
        <v>31.52</v>
      </c>
      <c r="C34" s="20" t="s">
        <v>138</v>
      </c>
      <c r="D34" s="20"/>
    </row>
    <row r="36" spans="1:4" ht="15.6">
      <c r="A36" s="18" t="s">
        <v>139</v>
      </c>
      <c r="B36" t="s">
        <v>155</v>
      </c>
      <c r="C36" t="s">
        <v>156</v>
      </c>
      <c r="D36" t="s">
        <v>157</v>
      </c>
    </row>
    <row r="37" spans="1:4">
      <c r="A37" s="19" t="s">
        <v>140</v>
      </c>
      <c r="B37" s="19" t="s">
        <v>141</v>
      </c>
      <c r="C37" s="19" t="s">
        <v>142</v>
      </c>
      <c r="D37" s="19" t="s">
        <v>143</v>
      </c>
    </row>
    <row r="38" spans="1:4">
      <c r="A38" s="11" t="s">
        <v>48</v>
      </c>
      <c r="B38" s="11">
        <v>0.2293</v>
      </c>
      <c r="C38" s="11" t="s">
        <v>144</v>
      </c>
      <c r="D38" s="11" t="s">
        <v>145</v>
      </c>
    </row>
    <row r="39" spans="1:4">
      <c r="A39" s="11" t="s">
        <v>2</v>
      </c>
      <c r="B39" s="11">
        <v>0.183</v>
      </c>
      <c r="C39" s="11" t="s">
        <v>144</v>
      </c>
      <c r="D39" s="11" t="s">
        <v>145</v>
      </c>
    </row>
    <row r="40" spans="1:4">
      <c r="A40" s="11" t="s">
        <v>3</v>
      </c>
      <c r="B40" s="11">
        <v>-0.25440000000000002</v>
      </c>
      <c r="C40" s="11" t="s">
        <v>144</v>
      </c>
      <c r="D40" s="11" t="s">
        <v>146</v>
      </c>
    </row>
    <row r="41" spans="1:4">
      <c r="A41" s="11" t="s">
        <v>4</v>
      </c>
      <c r="B41" s="11">
        <v>0.104</v>
      </c>
      <c r="C41" s="11" t="s">
        <v>144</v>
      </c>
      <c r="D41" s="11" t="s">
        <v>145</v>
      </c>
    </row>
  </sheetData>
  <pageMargins left="0.75" right="0.75" top="1" bottom="1" header="0.5" footer="0.5"/>
  <tableParts count="4">
    <tablePart r:id="rId1"/>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8917-AE2D-4C2E-B9CC-9030913806D9}">
  <dimension ref="A3:F11"/>
  <sheetViews>
    <sheetView workbookViewId="0">
      <selection activeCell="D4" sqref="D4"/>
    </sheetView>
  </sheetViews>
  <sheetFormatPr defaultRowHeight="14.4"/>
  <cols>
    <col min="1" max="1" width="12.5546875" bestFit="1" customWidth="1"/>
    <col min="2" max="2" width="18.44140625" bestFit="1" customWidth="1"/>
    <col min="3" max="3" width="20.21875" bestFit="1" customWidth="1"/>
    <col min="4" max="4" width="17.88671875" bestFit="1" customWidth="1"/>
    <col min="5" max="5" width="17.5546875" bestFit="1" customWidth="1"/>
    <col min="6" max="6" width="19.109375" bestFit="1" customWidth="1"/>
  </cols>
  <sheetData>
    <row r="3" spans="1:6">
      <c r="A3" s="33" t="s">
        <v>164</v>
      </c>
      <c r="B3" t="s">
        <v>159</v>
      </c>
      <c r="C3" t="s">
        <v>160</v>
      </c>
      <c r="D3" t="s">
        <v>161</v>
      </c>
      <c r="E3" t="s">
        <v>162</v>
      </c>
      <c r="F3" t="s">
        <v>163</v>
      </c>
    </row>
    <row r="4" spans="1:6">
      <c r="A4" s="34" t="s">
        <v>94</v>
      </c>
      <c r="B4" s="53">
        <v>10480</v>
      </c>
      <c r="C4" s="53">
        <v>80.62</v>
      </c>
      <c r="D4" s="53">
        <v>182</v>
      </c>
      <c r="E4" s="53">
        <v>24</v>
      </c>
      <c r="F4" s="53">
        <v>130</v>
      </c>
    </row>
    <row r="5" spans="1:6">
      <c r="A5" s="34" t="s">
        <v>95</v>
      </c>
      <c r="B5" s="53">
        <v>15113</v>
      </c>
      <c r="C5" s="53">
        <v>116.25</v>
      </c>
      <c r="D5" s="53">
        <v>225</v>
      </c>
      <c r="E5" s="53">
        <v>21</v>
      </c>
      <c r="F5" s="53">
        <v>130</v>
      </c>
    </row>
    <row r="6" spans="1:6">
      <c r="A6" s="34" t="s">
        <v>82</v>
      </c>
      <c r="B6" s="53">
        <v>1677</v>
      </c>
      <c r="C6" s="53">
        <v>8.83</v>
      </c>
      <c r="D6" s="53">
        <v>44</v>
      </c>
      <c r="E6" s="53">
        <v>1</v>
      </c>
      <c r="F6" s="53">
        <v>190</v>
      </c>
    </row>
    <row r="7" spans="1:6">
      <c r="A7" s="34" t="s">
        <v>92</v>
      </c>
      <c r="B7" s="53">
        <v>6659</v>
      </c>
      <c r="C7" s="53">
        <v>77.430000000000007</v>
      </c>
      <c r="D7" s="53">
        <v>182</v>
      </c>
      <c r="E7" s="53">
        <v>3</v>
      </c>
      <c r="F7" s="53">
        <v>86</v>
      </c>
    </row>
    <row r="8" spans="1:6">
      <c r="A8" s="34" t="s">
        <v>91</v>
      </c>
      <c r="B8" s="53">
        <v>4747</v>
      </c>
      <c r="C8" s="53">
        <v>56.51</v>
      </c>
      <c r="D8" s="53">
        <v>117</v>
      </c>
      <c r="E8" s="53">
        <v>28</v>
      </c>
      <c r="F8" s="53">
        <v>84</v>
      </c>
    </row>
    <row r="9" spans="1:6">
      <c r="A9" s="34" t="s">
        <v>89</v>
      </c>
      <c r="B9" s="53">
        <v>12385</v>
      </c>
      <c r="C9" s="53">
        <v>59.54</v>
      </c>
      <c r="D9" s="53">
        <v>249</v>
      </c>
      <c r="E9" s="53">
        <v>1</v>
      </c>
      <c r="F9" s="53">
        <v>208</v>
      </c>
    </row>
    <row r="10" spans="1:6">
      <c r="A10" s="34" t="s">
        <v>97</v>
      </c>
      <c r="B10" s="53">
        <v>7243</v>
      </c>
      <c r="C10" s="53">
        <v>42.11</v>
      </c>
      <c r="D10" s="53">
        <v>126</v>
      </c>
      <c r="E10" s="53">
        <v>4</v>
      </c>
      <c r="F10" s="53">
        <v>172</v>
      </c>
    </row>
    <row r="11" spans="1:6">
      <c r="A11" s="34" t="s">
        <v>148</v>
      </c>
      <c r="B11" s="53">
        <v>58304</v>
      </c>
      <c r="C11" s="53">
        <v>441.29</v>
      </c>
      <c r="D11" s="53">
        <v>1125</v>
      </c>
      <c r="E11" s="53">
        <v>82</v>
      </c>
      <c r="F11" s="53">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E3DD-777C-4BBB-B160-CA268D7D528E}">
  <dimension ref="A3:F5"/>
  <sheetViews>
    <sheetView workbookViewId="0">
      <selection activeCell="A3" sqref="A3"/>
    </sheetView>
  </sheetViews>
  <sheetFormatPr defaultRowHeight="14.4"/>
  <cols>
    <col min="1" max="1" width="14.21875" bestFit="1" customWidth="1"/>
    <col min="2" max="2" width="18.44140625" bestFit="1" customWidth="1"/>
    <col min="3" max="3" width="20.21875" bestFit="1" customWidth="1"/>
    <col min="4" max="4" width="16.6640625" bestFit="1" customWidth="1"/>
    <col min="5" max="5" width="20.109375" bestFit="1" customWidth="1"/>
    <col min="6" max="6" width="19.109375" bestFit="1" customWidth="1"/>
  </cols>
  <sheetData>
    <row r="3" spans="1:6">
      <c r="A3" s="33" t="s">
        <v>164</v>
      </c>
      <c r="B3" t="s">
        <v>159</v>
      </c>
      <c r="C3" t="s">
        <v>160</v>
      </c>
      <c r="D3" t="s">
        <v>189</v>
      </c>
      <c r="E3" t="s">
        <v>190</v>
      </c>
      <c r="F3" t="s">
        <v>163</v>
      </c>
    </row>
    <row r="4" spans="1:6">
      <c r="A4" s="34" t="s">
        <v>96</v>
      </c>
      <c r="B4">
        <v>2789</v>
      </c>
      <c r="C4">
        <v>33.200000000000003</v>
      </c>
      <c r="D4">
        <v>2.04</v>
      </c>
      <c r="E4">
        <v>31.17</v>
      </c>
      <c r="F4">
        <v>84</v>
      </c>
    </row>
    <row r="5" spans="1:6">
      <c r="A5" s="34" t="s">
        <v>148</v>
      </c>
      <c r="B5">
        <v>2789</v>
      </c>
      <c r="C5">
        <v>33.200000000000003</v>
      </c>
      <c r="D5">
        <v>2.04</v>
      </c>
      <c r="E5">
        <v>31.17</v>
      </c>
      <c r="F5">
        <v>84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ED2BE-5299-44D5-AB0F-FA642C17ACF0}">
  <dimension ref="A3:F7"/>
  <sheetViews>
    <sheetView workbookViewId="0">
      <selection activeCell="E28" sqref="E28"/>
    </sheetView>
  </sheetViews>
  <sheetFormatPr defaultRowHeight="14.4"/>
  <cols>
    <col min="1" max="1" width="19.5546875" bestFit="1" customWidth="1"/>
    <col min="2" max="2" width="18.44140625" bestFit="1" customWidth="1"/>
    <col min="3" max="3" width="20.21875" bestFit="1" customWidth="1"/>
    <col min="4" max="4" width="16.6640625" bestFit="1" customWidth="1"/>
    <col min="5" max="5" width="19.109375" bestFit="1" customWidth="1"/>
    <col min="6" max="6" width="20.109375" bestFit="1" customWidth="1"/>
  </cols>
  <sheetData>
    <row r="3" spans="1:6">
      <c r="A3" s="33" t="s">
        <v>164</v>
      </c>
      <c r="B3" t="s">
        <v>159</v>
      </c>
      <c r="C3" t="s">
        <v>160</v>
      </c>
      <c r="D3" t="s">
        <v>189</v>
      </c>
      <c r="E3" t="s">
        <v>163</v>
      </c>
      <c r="F3" t="s">
        <v>190</v>
      </c>
    </row>
    <row r="4" spans="1:6">
      <c r="A4" s="34" t="s">
        <v>98</v>
      </c>
      <c r="B4">
        <v>42435</v>
      </c>
      <c r="C4">
        <v>105.81</v>
      </c>
      <c r="D4">
        <v>8.129999999999999</v>
      </c>
      <c r="E4">
        <v>670</v>
      </c>
      <c r="F4">
        <v>97.68</v>
      </c>
    </row>
    <row r="5" spans="1:6">
      <c r="A5" s="35" t="s">
        <v>86</v>
      </c>
      <c r="B5">
        <v>1000</v>
      </c>
      <c r="C5">
        <v>41.67</v>
      </c>
      <c r="D5">
        <v>4.88</v>
      </c>
      <c r="E5">
        <v>24</v>
      </c>
      <c r="F5">
        <v>36.79</v>
      </c>
    </row>
    <row r="6" spans="1:6">
      <c r="A6" s="35" t="s">
        <v>99</v>
      </c>
      <c r="B6">
        <v>41435</v>
      </c>
      <c r="C6">
        <v>64.14</v>
      </c>
      <c r="D6">
        <v>3.25</v>
      </c>
      <c r="E6">
        <v>646</v>
      </c>
      <c r="F6">
        <v>60.89</v>
      </c>
    </row>
    <row r="7" spans="1:6">
      <c r="A7" s="34" t="s">
        <v>148</v>
      </c>
      <c r="B7">
        <v>42435</v>
      </c>
      <c r="C7">
        <v>105.81</v>
      </c>
      <c r="D7">
        <v>8.129999999999999</v>
      </c>
      <c r="E7">
        <v>670</v>
      </c>
      <c r="F7">
        <v>97.68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247D5-3228-452C-BC7C-264A1D5042AB}">
  <dimension ref="A3:D6"/>
  <sheetViews>
    <sheetView workbookViewId="0">
      <selection activeCell="J19" sqref="J19"/>
    </sheetView>
  </sheetViews>
  <sheetFormatPr defaultRowHeight="14.4"/>
  <cols>
    <col min="1" max="1" width="12.5546875" bestFit="1" customWidth="1"/>
    <col min="2" max="2" width="18.44140625" bestFit="1" customWidth="1"/>
    <col min="3" max="3" width="20.21875" bestFit="1" customWidth="1"/>
    <col min="4" max="4" width="19.109375" bestFit="1" customWidth="1"/>
  </cols>
  <sheetData>
    <row r="3" spans="1:4">
      <c r="A3" s="33" t="s">
        <v>164</v>
      </c>
      <c r="B3" t="s">
        <v>159</v>
      </c>
      <c r="C3" t="s">
        <v>160</v>
      </c>
      <c r="D3" t="s">
        <v>163</v>
      </c>
    </row>
    <row r="4" spans="1:4">
      <c r="A4" s="34" t="s">
        <v>84</v>
      </c>
      <c r="B4">
        <v>41369</v>
      </c>
      <c r="C4">
        <v>53.11</v>
      </c>
      <c r="D4">
        <v>779</v>
      </c>
    </row>
    <row r="5" spans="1:4">
      <c r="A5" s="34" t="s">
        <v>90</v>
      </c>
      <c r="B5">
        <v>16935</v>
      </c>
      <c r="C5">
        <v>76.63</v>
      </c>
      <c r="D5">
        <v>221</v>
      </c>
    </row>
    <row r="6" spans="1:4">
      <c r="A6" s="34" t="s">
        <v>148</v>
      </c>
      <c r="B6">
        <v>58304</v>
      </c>
      <c r="C6">
        <v>129.74</v>
      </c>
      <c r="D6">
        <v>1000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0884-4032-43AE-9494-8F234F9B3C66}">
  <dimension ref="A3:H28"/>
  <sheetViews>
    <sheetView workbookViewId="0">
      <selection activeCell="G21" sqref="G21"/>
    </sheetView>
  </sheetViews>
  <sheetFormatPr defaultRowHeight="14.4"/>
  <cols>
    <col min="1" max="1" width="12.5546875" bestFit="1" customWidth="1"/>
    <col min="2" max="2" width="11.44140625" bestFit="1" customWidth="1"/>
    <col min="3" max="3" width="10.5546875" bestFit="1" customWidth="1"/>
    <col min="4" max="4" width="11.33203125" bestFit="1" customWidth="1"/>
    <col min="5" max="5" width="10.6640625" bestFit="1" customWidth="1"/>
    <col min="6" max="6" width="9.44140625" bestFit="1" customWidth="1"/>
    <col min="7" max="7" width="10.109375" bestFit="1" customWidth="1"/>
    <col min="8" max="8" width="10.6640625" bestFit="1" customWidth="1"/>
  </cols>
  <sheetData>
    <row r="3" spans="1:8">
      <c r="A3" s="33" t="s">
        <v>164</v>
      </c>
      <c r="B3" t="s">
        <v>191</v>
      </c>
      <c r="C3" t="s">
        <v>192</v>
      </c>
      <c r="D3" t="s">
        <v>193</v>
      </c>
      <c r="E3" t="s">
        <v>194</v>
      </c>
      <c r="F3" t="s">
        <v>195</v>
      </c>
      <c r="G3" t="s">
        <v>196</v>
      </c>
      <c r="H3" t="s">
        <v>197</v>
      </c>
    </row>
    <row r="4" spans="1:8">
      <c r="A4" s="34" t="s">
        <v>17</v>
      </c>
      <c r="B4">
        <v>9.6</v>
      </c>
      <c r="C4">
        <v>8.8000000000000007</v>
      </c>
      <c r="D4">
        <v>8.6999999999999993</v>
      </c>
      <c r="E4">
        <v>11.8</v>
      </c>
      <c r="F4">
        <v>14.7</v>
      </c>
      <c r="G4">
        <v>25.6</v>
      </c>
      <c r="H4">
        <v>30.6</v>
      </c>
    </row>
    <row r="5" spans="1:8">
      <c r="A5" s="34" t="s">
        <v>18</v>
      </c>
      <c r="B5">
        <v>5.6</v>
      </c>
      <c r="C5">
        <v>3.4</v>
      </c>
      <c r="D5">
        <v>5.7</v>
      </c>
      <c r="E5">
        <v>4.5999999999999996</v>
      </c>
      <c r="F5">
        <v>5.8</v>
      </c>
      <c r="G5">
        <v>21.4</v>
      </c>
      <c r="H5">
        <v>23.1</v>
      </c>
    </row>
    <row r="6" spans="1:8">
      <c r="A6" s="34" t="s">
        <v>19</v>
      </c>
      <c r="B6">
        <v>3.4</v>
      </c>
      <c r="C6">
        <v>2</v>
      </c>
      <c r="D6">
        <v>3.8</v>
      </c>
      <c r="E6">
        <v>2.2000000000000002</v>
      </c>
      <c r="F6">
        <v>1.7</v>
      </c>
      <c r="G6">
        <v>16.899999999999999</v>
      </c>
      <c r="H6">
        <v>15</v>
      </c>
    </row>
    <row r="7" spans="1:8">
      <c r="A7" s="34" t="s">
        <v>20</v>
      </c>
      <c r="B7">
        <v>1.5</v>
      </c>
      <c r="C7">
        <v>1.5</v>
      </c>
      <c r="D7">
        <v>1.5</v>
      </c>
      <c r="E7">
        <v>1.7</v>
      </c>
      <c r="F7">
        <v>1</v>
      </c>
      <c r="G7">
        <v>9.1</v>
      </c>
      <c r="H7">
        <v>9</v>
      </c>
    </row>
    <row r="8" spans="1:8">
      <c r="A8" s="34" t="s">
        <v>21</v>
      </c>
      <c r="B8">
        <v>2</v>
      </c>
      <c r="C8">
        <v>2</v>
      </c>
      <c r="D8">
        <v>1.7</v>
      </c>
      <c r="E8">
        <v>1.8</v>
      </c>
      <c r="F8">
        <v>1</v>
      </c>
      <c r="G8">
        <v>3.6</v>
      </c>
      <c r="H8">
        <v>1.7</v>
      </c>
    </row>
    <row r="9" spans="1:8">
      <c r="A9" s="34" t="s">
        <v>22</v>
      </c>
      <c r="B9">
        <v>4.7</v>
      </c>
      <c r="C9">
        <v>4.8</v>
      </c>
      <c r="D9">
        <v>4.3</v>
      </c>
      <c r="E9">
        <v>4.2</v>
      </c>
      <c r="F9">
        <v>5.5</v>
      </c>
      <c r="G9">
        <v>3.4</v>
      </c>
      <c r="H9">
        <v>2</v>
      </c>
    </row>
    <row r="10" spans="1:8">
      <c r="A10" s="34" t="s">
        <v>23</v>
      </c>
      <c r="B10">
        <v>24.9</v>
      </c>
      <c r="C10">
        <v>32</v>
      </c>
      <c r="D10">
        <v>25</v>
      </c>
      <c r="E10">
        <v>32.799999999999997</v>
      </c>
      <c r="F10">
        <v>24.3</v>
      </c>
      <c r="G10">
        <v>2.4</v>
      </c>
      <c r="H10">
        <v>1.8</v>
      </c>
    </row>
    <row r="11" spans="1:8">
      <c r="A11" s="34" t="s">
        <v>24</v>
      </c>
      <c r="B11">
        <v>71.900000000000006</v>
      </c>
      <c r="C11">
        <v>90.6</v>
      </c>
      <c r="D11">
        <v>68.3</v>
      </c>
      <c r="E11">
        <v>90.8</v>
      </c>
      <c r="F11">
        <v>73.8</v>
      </c>
      <c r="G11">
        <v>7.1</v>
      </c>
      <c r="H11">
        <v>3.7</v>
      </c>
    </row>
    <row r="12" spans="1:8">
      <c r="A12" s="34" t="s">
        <v>25</v>
      </c>
      <c r="B12">
        <v>161.19999999999999</v>
      </c>
      <c r="C12">
        <v>202.4</v>
      </c>
      <c r="D12">
        <v>157.69999999999999</v>
      </c>
      <c r="E12">
        <v>207.2</v>
      </c>
      <c r="F12">
        <v>196.3</v>
      </c>
      <c r="G12">
        <v>21</v>
      </c>
      <c r="H12">
        <v>14.6</v>
      </c>
    </row>
    <row r="13" spans="1:8">
      <c r="A13" s="34" t="s">
        <v>26</v>
      </c>
      <c r="B13">
        <v>93.5</v>
      </c>
      <c r="C13">
        <v>125</v>
      </c>
      <c r="D13">
        <v>101.5</v>
      </c>
      <c r="E13">
        <v>131.80000000000001</v>
      </c>
      <c r="F13">
        <v>130.80000000000001</v>
      </c>
      <c r="G13">
        <v>29.1</v>
      </c>
      <c r="H13">
        <v>32.700000000000003</v>
      </c>
    </row>
    <row r="14" spans="1:8">
      <c r="A14" s="34" t="s">
        <v>27</v>
      </c>
      <c r="B14">
        <v>49.3</v>
      </c>
      <c r="C14">
        <v>49.2</v>
      </c>
      <c r="D14">
        <v>48.5</v>
      </c>
      <c r="E14">
        <v>45.4</v>
      </c>
      <c r="F14">
        <v>52.3</v>
      </c>
      <c r="G14">
        <v>54.6</v>
      </c>
      <c r="H14">
        <v>71</v>
      </c>
    </row>
    <row r="15" spans="1:8">
      <c r="A15" s="34" t="s">
        <v>28</v>
      </c>
      <c r="B15">
        <v>47.7</v>
      </c>
      <c r="C15">
        <v>50.8</v>
      </c>
      <c r="D15">
        <v>44.5</v>
      </c>
      <c r="E15">
        <v>54.6</v>
      </c>
      <c r="F15">
        <v>56.2</v>
      </c>
      <c r="G15">
        <v>68.3</v>
      </c>
      <c r="H15">
        <v>85.6</v>
      </c>
    </row>
    <row r="16" spans="1:8">
      <c r="A16" s="34" t="s">
        <v>29</v>
      </c>
      <c r="B16">
        <v>65</v>
      </c>
      <c r="C16">
        <v>60.7</v>
      </c>
      <c r="D16">
        <v>62.8</v>
      </c>
      <c r="E16">
        <v>71.599999999999994</v>
      </c>
      <c r="F16">
        <v>64</v>
      </c>
      <c r="G16">
        <v>84.4</v>
      </c>
      <c r="H16">
        <v>117</v>
      </c>
    </row>
    <row r="17" spans="1:8">
      <c r="A17" s="34" t="s">
        <v>30</v>
      </c>
      <c r="B17">
        <v>64.3</v>
      </c>
      <c r="C17">
        <v>61</v>
      </c>
      <c r="D17">
        <v>64.8</v>
      </c>
      <c r="E17">
        <v>72.2</v>
      </c>
      <c r="F17">
        <v>74.3</v>
      </c>
      <c r="G17">
        <v>93.3</v>
      </c>
      <c r="H17">
        <v>110.7</v>
      </c>
    </row>
    <row r="18" spans="1:8">
      <c r="A18" s="34" t="s">
        <v>31</v>
      </c>
      <c r="B18">
        <v>66.8</v>
      </c>
      <c r="C18">
        <v>56.7</v>
      </c>
      <c r="D18">
        <v>56.3</v>
      </c>
      <c r="E18">
        <v>57.6</v>
      </c>
      <c r="F18">
        <v>64.8</v>
      </c>
      <c r="G18">
        <v>95.4</v>
      </c>
      <c r="H18">
        <v>110.9</v>
      </c>
    </row>
    <row r="19" spans="1:8">
      <c r="A19" s="34" t="s">
        <v>32</v>
      </c>
      <c r="B19">
        <v>60.2</v>
      </c>
      <c r="C19">
        <v>55.7</v>
      </c>
      <c r="D19">
        <v>62.7</v>
      </c>
      <c r="E19">
        <v>60.4</v>
      </c>
      <c r="F19">
        <v>68.3</v>
      </c>
      <c r="G19">
        <v>110</v>
      </c>
      <c r="H19">
        <v>114.1</v>
      </c>
    </row>
    <row r="20" spans="1:8">
      <c r="A20" s="34" t="s">
        <v>33</v>
      </c>
      <c r="B20">
        <v>83.7</v>
      </c>
      <c r="C20">
        <v>80.5</v>
      </c>
      <c r="D20">
        <v>79.8</v>
      </c>
      <c r="E20">
        <v>72.8</v>
      </c>
      <c r="F20">
        <v>96.3</v>
      </c>
      <c r="G20">
        <v>100.4</v>
      </c>
      <c r="H20">
        <v>106.6</v>
      </c>
    </row>
    <row r="21" spans="1:8">
      <c r="A21" s="34" t="s">
        <v>9</v>
      </c>
      <c r="B21">
        <v>161.19999999999999</v>
      </c>
      <c r="C21">
        <v>174.5</v>
      </c>
      <c r="D21">
        <v>151.30000000000001</v>
      </c>
      <c r="E21">
        <v>162.19999999999999</v>
      </c>
      <c r="F21">
        <v>178.7</v>
      </c>
      <c r="G21">
        <v>84.6</v>
      </c>
      <c r="H21">
        <v>87.1</v>
      </c>
    </row>
    <row r="22" spans="1:8">
      <c r="A22" s="34" t="s">
        <v>34</v>
      </c>
      <c r="B22">
        <v>148</v>
      </c>
      <c r="C22">
        <v>159.19999999999999</v>
      </c>
      <c r="D22">
        <v>163.80000000000001</v>
      </c>
      <c r="E22">
        <v>150.5</v>
      </c>
      <c r="F22">
        <v>136.69999999999999</v>
      </c>
      <c r="G22">
        <v>63.3</v>
      </c>
      <c r="H22">
        <v>65</v>
      </c>
    </row>
    <row r="23" spans="1:8">
      <c r="A23" s="34" t="s">
        <v>35</v>
      </c>
      <c r="B23">
        <v>101.7</v>
      </c>
      <c r="C23">
        <v>102.8</v>
      </c>
      <c r="D23">
        <v>101.2</v>
      </c>
      <c r="E23">
        <v>108.3</v>
      </c>
      <c r="F23">
        <v>96</v>
      </c>
      <c r="G23">
        <v>54.7</v>
      </c>
      <c r="H23">
        <v>45.6</v>
      </c>
    </row>
    <row r="24" spans="1:8">
      <c r="A24" s="34" t="s">
        <v>36</v>
      </c>
      <c r="B24">
        <v>67.7</v>
      </c>
      <c r="C24">
        <v>69.7</v>
      </c>
      <c r="D24">
        <v>76</v>
      </c>
      <c r="E24">
        <v>87.3</v>
      </c>
      <c r="F24">
        <v>61.3</v>
      </c>
      <c r="G24">
        <v>43.1</v>
      </c>
      <c r="H24">
        <v>36.9</v>
      </c>
    </row>
    <row r="25" spans="1:8">
      <c r="A25" s="34" t="s">
        <v>37</v>
      </c>
      <c r="B25">
        <v>51.7</v>
      </c>
      <c r="C25">
        <v>45.3</v>
      </c>
      <c r="D25">
        <v>61</v>
      </c>
      <c r="E25">
        <v>51.5</v>
      </c>
      <c r="F25">
        <v>46.7</v>
      </c>
      <c r="G25">
        <v>44.3</v>
      </c>
      <c r="H25">
        <v>30</v>
      </c>
    </row>
    <row r="26" spans="1:8">
      <c r="A26" s="34" t="s">
        <v>38</v>
      </c>
      <c r="B26">
        <v>27.2</v>
      </c>
      <c r="C26">
        <v>35.799999999999997</v>
      </c>
      <c r="D26">
        <v>44</v>
      </c>
      <c r="E26">
        <v>42.8</v>
      </c>
      <c r="F26">
        <v>36.799999999999997</v>
      </c>
      <c r="G26">
        <v>34.299999999999997</v>
      </c>
      <c r="H26">
        <v>27.4</v>
      </c>
    </row>
    <row r="27" spans="1:8">
      <c r="A27" s="34" t="s">
        <v>39</v>
      </c>
      <c r="B27">
        <v>16.7</v>
      </c>
      <c r="C27">
        <v>19.7</v>
      </c>
      <c r="D27">
        <v>27.2</v>
      </c>
      <c r="E27">
        <v>26.2</v>
      </c>
      <c r="F27">
        <v>29.3</v>
      </c>
      <c r="G27">
        <v>37.4</v>
      </c>
      <c r="H27">
        <v>19.100000000000001</v>
      </c>
    </row>
    <row r="28" spans="1:8">
      <c r="A28" s="34" t="s">
        <v>148</v>
      </c>
      <c r="B28">
        <v>1389.5000000000002</v>
      </c>
      <c r="C28">
        <v>1494.1000000000001</v>
      </c>
      <c r="D28">
        <v>1422.1</v>
      </c>
      <c r="E28">
        <v>1552.3</v>
      </c>
      <c r="F28">
        <v>1516.6</v>
      </c>
      <c r="G28">
        <v>1107.7</v>
      </c>
      <c r="H28">
        <v>1161.2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01AB-9EB1-4D0E-A4A9-84E621EB2D72}">
  <dimension ref="A3:D11"/>
  <sheetViews>
    <sheetView workbookViewId="0">
      <selection activeCell="B14" sqref="B14"/>
    </sheetView>
  </sheetViews>
  <sheetFormatPr defaultRowHeight="14.4"/>
  <cols>
    <col min="1" max="1" width="14.77734375" bestFit="1" customWidth="1"/>
    <col min="2" max="2" width="17.77734375" bestFit="1" customWidth="1"/>
    <col min="3" max="3" width="17.44140625" bestFit="1" customWidth="1"/>
    <col min="4" max="4" width="21.109375" bestFit="1" customWidth="1"/>
  </cols>
  <sheetData>
    <row r="3" spans="1:4">
      <c r="A3" s="33" t="s">
        <v>164</v>
      </c>
      <c r="B3" t="s">
        <v>198</v>
      </c>
      <c r="C3" t="s">
        <v>199</v>
      </c>
      <c r="D3" t="s">
        <v>200</v>
      </c>
    </row>
    <row r="4" spans="1:4">
      <c r="A4" s="34" t="s">
        <v>94</v>
      </c>
      <c r="B4">
        <v>1495</v>
      </c>
      <c r="C4">
        <v>10480</v>
      </c>
      <c r="D4">
        <v>8985</v>
      </c>
    </row>
    <row r="5" spans="1:4">
      <c r="A5" s="34" t="s">
        <v>95</v>
      </c>
      <c r="B5">
        <v>804</v>
      </c>
      <c r="C5">
        <v>15113</v>
      </c>
      <c r="D5">
        <v>14309</v>
      </c>
    </row>
    <row r="6" spans="1:4">
      <c r="A6" s="34" t="s">
        <v>82</v>
      </c>
      <c r="B6">
        <v>196</v>
      </c>
      <c r="C6">
        <v>1677</v>
      </c>
      <c r="D6">
        <v>1481</v>
      </c>
    </row>
    <row r="7" spans="1:4">
      <c r="A7" s="34" t="s">
        <v>92</v>
      </c>
      <c r="B7">
        <v>995</v>
      </c>
      <c r="C7">
        <v>6659</v>
      </c>
      <c r="D7">
        <v>5664</v>
      </c>
    </row>
    <row r="8" spans="1:4">
      <c r="A8" s="34" t="s">
        <v>91</v>
      </c>
      <c r="B8">
        <v>583</v>
      </c>
      <c r="C8">
        <v>4747</v>
      </c>
      <c r="D8">
        <v>4164</v>
      </c>
    </row>
    <row r="9" spans="1:4">
      <c r="A9" s="34" t="s">
        <v>89</v>
      </c>
      <c r="B9">
        <v>387</v>
      </c>
      <c r="C9">
        <v>12385</v>
      </c>
      <c r="D9">
        <v>11998</v>
      </c>
    </row>
    <row r="10" spans="1:4">
      <c r="A10" s="34" t="s">
        <v>97</v>
      </c>
      <c r="B10">
        <v>461</v>
      </c>
      <c r="C10">
        <v>7243</v>
      </c>
      <c r="D10">
        <v>6782</v>
      </c>
    </row>
    <row r="11" spans="1:4">
      <c r="A11" s="34" t="s">
        <v>148</v>
      </c>
      <c r="B11">
        <v>4921</v>
      </c>
      <c r="C11">
        <v>58304</v>
      </c>
      <c r="D11">
        <v>53383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D56E-A6EB-415E-B8AE-BA2A9BF81AC7}">
  <dimension ref="A1:X73"/>
  <sheetViews>
    <sheetView tabSelected="1" topLeftCell="A30" workbookViewId="0">
      <selection activeCell="Q42" sqref="Q42"/>
    </sheetView>
  </sheetViews>
  <sheetFormatPr defaultRowHeight="14.4"/>
  <sheetData>
    <row r="1" spans="1:24">
      <c r="A1" s="40"/>
      <c r="B1" s="40"/>
      <c r="C1" s="40"/>
      <c r="D1" s="40"/>
      <c r="E1" s="40"/>
      <c r="F1" s="40"/>
      <c r="G1" s="40"/>
      <c r="H1" s="40"/>
      <c r="I1" s="40"/>
      <c r="J1" s="40"/>
      <c r="K1" s="40"/>
      <c r="L1" s="40"/>
      <c r="M1" s="40"/>
      <c r="N1" s="40"/>
      <c r="O1" s="40"/>
      <c r="P1" s="40"/>
      <c r="Q1" s="40"/>
      <c r="R1" s="40"/>
      <c r="S1" s="40"/>
      <c r="T1" s="40"/>
      <c r="U1" s="40"/>
      <c r="V1" s="40"/>
      <c r="W1" s="40"/>
      <c r="X1" s="40"/>
    </row>
    <row r="2" spans="1:24" ht="46.2">
      <c r="A2" s="40"/>
      <c r="B2" s="41" t="s">
        <v>201</v>
      </c>
      <c r="C2" s="42"/>
      <c r="D2" s="42"/>
      <c r="E2" s="42"/>
      <c r="F2" s="43"/>
      <c r="G2" s="43"/>
      <c r="H2" s="43"/>
      <c r="I2" s="43"/>
      <c r="J2" s="43"/>
      <c r="K2" s="43"/>
      <c r="L2" s="44" t="s">
        <v>202</v>
      </c>
      <c r="M2" s="45"/>
      <c r="N2" s="45"/>
      <c r="O2" s="45"/>
      <c r="P2" s="40"/>
      <c r="Q2" s="40"/>
      <c r="R2" s="40"/>
      <c r="S2" s="40"/>
      <c r="T2" s="40"/>
      <c r="U2" s="40"/>
      <c r="V2" s="40"/>
      <c r="W2" s="40"/>
      <c r="X2" s="40"/>
    </row>
    <row r="3" spans="1:24">
      <c r="A3" s="40"/>
      <c r="B3" s="40"/>
      <c r="C3" s="40"/>
      <c r="D3" s="40"/>
      <c r="E3" s="40"/>
      <c r="F3" s="40"/>
      <c r="G3" s="40"/>
      <c r="H3" s="40"/>
      <c r="I3" s="40"/>
      <c r="J3" s="40"/>
      <c r="K3" s="40"/>
      <c r="L3" s="40"/>
      <c r="M3" s="40"/>
      <c r="N3" s="40"/>
      <c r="O3" s="40"/>
      <c r="P3" s="40"/>
      <c r="Q3" s="40"/>
      <c r="R3" s="40"/>
      <c r="S3" s="40"/>
      <c r="T3" s="40"/>
      <c r="U3" s="40"/>
      <c r="V3" s="40"/>
      <c r="W3" s="40"/>
      <c r="X3" s="40"/>
    </row>
    <row r="4" spans="1:24">
      <c r="A4" s="40"/>
      <c r="B4" s="40"/>
      <c r="C4" s="40"/>
      <c r="D4" s="40"/>
      <c r="E4" s="40"/>
      <c r="F4" s="40"/>
      <c r="G4" s="40"/>
      <c r="H4" s="40"/>
      <c r="I4" s="40"/>
      <c r="J4" s="40"/>
      <c r="K4" s="40"/>
      <c r="L4" s="40"/>
      <c r="M4" s="40"/>
      <c r="N4" s="40"/>
      <c r="O4" s="40"/>
      <c r="P4" s="40"/>
      <c r="Q4" s="40"/>
      <c r="R4" s="40"/>
      <c r="S4" s="40"/>
      <c r="T4" s="40"/>
      <c r="U4" s="40"/>
      <c r="V4" s="40"/>
      <c r="W4" s="40"/>
      <c r="X4" s="40"/>
    </row>
    <row r="5" spans="1:24">
      <c r="A5" s="40"/>
      <c r="B5" s="40"/>
      <c r="C5" s="40"/>
      <c r="D5" s="40"/>
      <c r="E5" s="40"/>
      <c r="F5" s="40"/>
      <c r="G5" s="40"/>
      <c r="H5" s="40"/>
      <c r="I5" s="40"/>
      <c r="J5" s="40"/>
      <c r="K5" s="40"/>
      <c r="L5" s="40"/>
      <c r="M5" s="40"/>
      <c r="N5" s="40"/>
      <c r="O5" s="40"/>
      <c r="P5" s="40"/>
      <c r="Q5" s="40"/>
      <c r="R5" s="40"/>
      <c r="S5" s="40"/>
      <c r="T5" s="40"/>
      <c r="U5" s="40"/>
      <c r="V5" s="40"/>
      <c r="W5" s="40"/>
      <c r="X5" s="40"/>
    </row>
    <row r="6" spans="1:24">
      <c r="A6" s="40"/>
      <c r="B6" s="40"/>
      <c r="C6" s="40"/>
      <c r="D6" s="40"/>
      <c r="E6" s="40"/>
      <c r="F6" s="40"/>
      <c r="G6" s="40"/>
      <c r="H6" s="40"/>
      <c r="I6" s="40"/>
      <c r="J6" s="40"/>
      <c r="K6" s="40"/>
      <c r="L6" s="40"/>
      <c r="M6" s="40"/>
      <c r="N6" s="40"/>
      <c r="O6" s="40"/>
      <c r="P6" s="40"/>
      <c r="Q6" s="40"/>
      <c r="R6" s="40"/>
      <c r="S6" s="40"/>
      <c r="T6" s="40"/>
      <c r="U6" s="40"/>
      <c r="V6" s="40"/>
      <c r="W6" s="40"/>
      <c r="X6" s="40"/>
    </row>
    <row r="7" spans="1:24">
      <c r="A7" s="40"/>
      <c r="B7" s="40"/>
      <c r="C7" s="40"/>
      <c r="D7" s="40"/>
      <c r="E7" s="40"/>
      <c r="F7" s="40"/>
      <c r="G7" s="40"/>
      <c r="H7" s="40"/>
      <c r="I7" s="40"/>
      <c r="J7" s="40"/>
      <c r="K7" s="40"/>
      <c r="L7" s="40"/>
      <c r="M7" s="40"/>
      <c r="N7" s="40"/>
      <c r="O7" s="40"/>
      <c r="P7" s="40"/>
      <c r="Q7" s="40"/>
      <c r="R7" s="40"/>
      <c r="S7" s="40"/>
      <c r="T7" s="40"/>
      <c r="U7" s="40"/>
      <c r="V7" s="40"/>
      <c r="W7" s="40"/>
      <c r="X7" s="40"/>
    </row>
    <row r="8" spans="1:24">
      <c r="A8" s="40"/>
      <c r="B8" s="40"/>
      <c r="C8" s="40"/>
      <c r="D8" s="40"/>
      <c r="E8" s="40"/>
      <c r="F8" s="40"/>
      <c r="G8" s="40"/>
      <c r="H8" s="40"/>
      <c r="I8" s="40"/>
      <c r="J8" s="40"/>
      <c r="K8" s="40"/>
      <c r="L8" s="40"/>
      <c r="M8" s="40"/>
      <c r="N8" s="40"/>
      <c r="O8" s="40"/>
      <c r="P8" s="40"/>
      <c r="Q8" s="40"/>
      <c r="R8" s="40"/>
      <c r="S8" s="40"/>
      <c r="T8" s="40"/>
      <c r="U8" s="40"/>
      <c r="V8" s="40"/>
      <c r="W8" s="40"/>
      <c r="X8" s="40"/>
    </row>
    <row r="9" spans="1:24">
      <c r="A9" s="40"/>
      <c r="B9" s="40"/>
      <c r="C9" s="40"/>
      <c r="D9" s="40"/>
      <c r="E9" s="40"/>
      <c r="F9" s="40"/>
      <c r="G9" s="40"/>
      <c r="H9" s="40"/>
      <c r="I9" s="40"/>
      <c r="J9" s="40"/>
      <c r="K9" s="40"/>
      <c r="L9" s="40"/>
      <c r="M9" s="40"/>
      <c r="N9" s="40"/>
      <c r="O9" s="40"/>
      <c r="P9" s="40"/>
      <c r="Q9" s="40"/>
      <c r="R9" s="40"/>
      <c r="S9" s="40"/>
      <c r="T9" s="40"/>
      <c r="U9" s="40"/>
      <c r="V9" s="40"/>
      <c r="W9" s="40"/>
      <c r="X9" s="40"/>
    </row>
    <row r="10" spans="1:24">
      <c r="A10" s="40"/>
      <c r="B10" s="40"/>
      <c r="C10" s="40"/>
      <c r="D10" s="40"/>
      <c r="E10" s="40"/>
      <c r="F10" s="40"/>
      <c r="G10" s="40"/>
      <c r="H10" s="40"/>
      <c r="I10" s="40"/>
      <c r="J10" s="40"/>
      <c r="K10" s="40"/>
      <c r="L10" s="40"/>
      <c r="M10" s="40"/>
      <c r="N10" s="40"/>
      <c r="O10" s="40"/>
      <c r="P10" s="40"/>
      <c r="Q10" s="40"/>
      <c r="R10" s="40"/>
      <c r="S10" s="40"/>
      <c r="T10" s="40"/>
      <c r="U10" s="40"/>
      <c r="V10" s="40"/>
      <c r="W10" s="40"/>
      <c r="X10" s="40"/>
    </row>
    <row r="11" spans="1:24">
      <c r="A11" s="40"/>
      <c r="B11" s="40"/>
      <c r="C11" s="40"/>
      <c r="D11" s="40"/>
      <c r="E11" s="40"/>
      <c r="F11" s="40"/>
      <c r="G11" s="40"/>
      <c r="H11" s="40"/>
      <c r="I11" s="40"/>
      <c r="J11" s="40"/>
      <c r="K11" s="40"/>
      <c r="L11" s="40"/>
      <c r="M11" s="40"/>
      <c r="N11" s="40"/>
      <c r="O11" s="40"/>
      <c r="P11" s="40"/>
      <c r="Q11" s="40"/>
      <c r="R11" s="40"/>
      <c r="S11" s="40"/>
      <c r="T11" s="40"/>
      <c r="U11" s="40"/>
      <c r="V11" s="40"/>
      <c r="W11" s="40"/>
      <c r="X11" s="40"/>
    </row>
    <row r="12" spans="1:24">
      <c r="A12" s="40"/>
      <c r="B12" s="40"/>
      <c r="C12" s="40"/>
      <c r="D12" s="40"/>
      <c r="E12" s="40"/>
      <c r="F12" s="40"/>
      <c r="G12" s="40"/>
      <c r="H12" s="40"/>
      <c r="I12" s="40"/>
      <c r="J12" s="40"/>
      <c r="K12" s="40"/>
      <c r="L12" s="40"/>
      <c r="M12" s="40"/>
      <c r="N12" s="40"/>
      <c r="O12" s="40"/>
      <c r="P12" s="40"/>
      <c r="Q12" s="40"/>
      <c r="R12" s="40"/>
      <c r="S12" s="40"/>
      <c r="T12" s="40"/>
      <c r="U12" s="40"/>
      <c r="V12" s="40"/>
      <c r="W12" s="40"/>
      <c r="X12" s="40"/>
    </row>
    <row r="13" spans="1:24">
      <c r="A13" s="40"/>
      <c r="B13" s="40"/>
      <c r="C13" s="40"/>
      <c r="D13" s="40"/>
      <c r="E13" s="40"/>
      <c r="F13" s="40"/>
      <c r="G13" s="40"/>
      <c r="H13" s="40"/>
      <c r="I13" s="40"/>
      <c r="J13" s="40"/>
      <c r="K13" s="40"/>
      <c r="L13" s="40"/>
      <c r="M13" s="40"/>
      <c r="N13" s="40"/>
      <c r="O13" s="40"/>
      <c r="P13" s="40"/>
      <c r="Q13" s="40"/>
      <c r="R13" s="40"/>
      <c r="S13" s="40"/>
      <c r="T13" s="40"/>
      <c r="U13" s="40"/>
      <c r="V13" s="40"/>
      <c r="W13" s="40"/>
      <c r="X13" s="40"/>
    </row>
    <row r="14" spans="1:24">
      <c r="A14" s="40"/>
      <c r="B14" s="40"/>
      <c r="C14" s="40"/>
      <c r="D14" s="40"/>
      <c r="E14" s="40"/>
      <c r="F14" s="40"/>
      <c r="G14" s="40"/>
      <c r="H14" s="40"/>
      <c r="I14" s="40"/>
      <c r="J14" s="40"/>
      <c r="K14" s="40"/>
      <c r="L14" s="40"/>
      <c r="M14" s="40"/>
      <c r="N14" s="40"/>
      <c r="O14" s="40"/>
      <c r="P14" s="40"/>
      <c r="Q14" s="40"/>
      <c r="R14" s="40"/>
      <c r="S14" s="40"/>
      <c r="T14" s="40"/>
      <c r="U14" s="40"/>
      <c r="V14" s="40"/>
      <c r="W14" s="40"/>
      <c r="X14" s="40"/>
    </row>
    <row r="15" spans="1:24">
      <c r="A15" s="40"/>
      <c r="B15" s="40"/>
      <c r="C15" s="40"/>
      <c r="D15" s="40"/>
      <c r="E15" s="40"/>
      <c r="F15" s="40"/>
      <c r="G15" s="40"/>
      <c r="H15" s="40"/>
      <c r="I15" s="40"/>
      <c r="J15" s="40"/>
      <c r="K15" s="40"/>
      <c r="L15" s="40"/>
      <c r="M15" s="40"/>
      <c r="N15" s="40"/>
      <c r="O15" s="40"/>
      <c r="P15" s="40"/>
      <c r="Q15" s="40"/>
      <c r="R15" s="40"/>
      <c r="S15" s="40"/>
      <c r="T15" s="40"/>
      <c r="U15" s="40"/>
      <c r="V15" s="40"/>
      <c r="W15" s="40"/>
      <c r="X15" s="40"/>
    </row>
    <row r="16" spans="1:24">
      <c r="A16" s="40"/>
      <c r="B16" s="40"/>
      <c r="C16" s="40"/>
      <c r="D16" s="40"/>
      <c r="E16" s="40"/>
      <c r="F16" s="40"/>
      <c r="G16" s="40"/>
      <c r="H16" s="40"/>
      <c r="I16" s="40"/>
      <c r="J16" s="40"/>
      <c r="K16" s="40"/>
      <c r="L16" s="40"/>
      <c r="M16" s="40"/>
      <c r="N16" s="40"/>
      <c r="O16" s="40"/>
      <c r="P16" s="40"/>
      <c r="Q16" s="40"/>
      <c r="R16" s="40"/>
      <c r="S16" s="40"/>
      <c r="T16" s="40"/>
      <c r="U16" s="40"/>
      <c r="V16" s="40"/>
      <c r="W16" s="40"/>
      <c r="X16" s="40"/>
    </row>
    <row r="17" spans="1:24">
      <c r="A17" s="40"/>
      <c r="B17" s="40"/>
      <c r="C17" s="40"/>
      <c r="D17" s="40"/>
      <c r="E17" s="40"/>
      <c r="F17" s="40"/>
      <c r="G17" s="40"/>
      <c r="H17" s="40"/>
      <c r="I17" s="40"/>
      <c r="J17" s="40"/>
      <c r="K17" s="40"/>
      <c r="L17" s="40"/>
      <c r="M17" s="40"/>
      <c r="N17" s="40"/>
      <c r="O17" s="40"/>
      <c r="P17" s="40"/>
      <c r="Q17" s="40"/>
      <c r="R17" s="40"/>
      <c r="S17" s="40"/>
      <c r="T17" s="40"/>
      <c r="U17" s="40"/>
      <c r="V17" s="40"/>
      <c r="W17" s="40"/>
      <c r="X17" s="40"/>
    </row>
    <row r="18" spans="1:24">
      <c r="A18" s="40"/>
      <c r="B18" s="40"/>
      <c r="C18" s="40"/>
      <c r="D18" s="40"/>
      <c r="E18" s="40"/>
      <c r="F18" s="40"/>
      <c r="G18" s="40"/>
      <c r="H18" s="40"/>
      <c r="I18" s="40"/>
      <c r="J18" s="40"/>
      <c r="K18" s="40"/>
      <c r="L18" s="40"/>
      <c r="M18" s="40"/>
      <c r="N18" s="40"/>
      <c r="O18" s="40"/>
      <c r="P18" s="40"/>
      <c r="Q18" s="40"/>
      <c r="R18" s="40"/>
      <c r="S18" s="40"/>
      <c r="T18" s="40"/>
      <c r="U18" s="40"/>
      <c r="V18" s="40"/>
      <c r="W18" s="40"/>
      <c r="X18" s="40"/>
    </row>
    <row r="19" spans="1:24">
      <c r="A19" s="40"/>
      <c r="B19" s="40"/>
      <c r="C19" s="40"/>
      <c r="D19" s="40"/>
      <c r="E19" s="40"/>
      <c r="F19" s="40"/>
      <c r="G19" s="40"/>
      <c r="H19" s="40"/>
      <c r="I19" s="40"/>
      <c r="J19" s="40"/>
      <c r="K19" s="40"/>
      <c r="L19" s="40"/>
      <c r="M19" s="40"/>
      <c r="N19" s="40"/>
      <c r="O19" s="40"/>
      <c r="P19" s="40"/>
      <c r="Q19" s="40"/>
      <c r="R19" s="40"/>
      <c r="S19" s="40"/>
      <c r="T19" s="40"/>
      <c r="U19" s="40"/>
      <c r="V19" s="40"/>
      <c r="W19" s="40"/>
      <c r="X19" s="40"/>
    </row>
    <row r="20" spans="1:24">
      <c r="A20" s="40"/>
      <c r="B20" s="40"/>
      <c r="C20" s="40"/>
      <c r="D20" s="40"/>
      <c r="E20" s="40"/>
      <c r="F20" s="40"/>
      <c r="G20" s="40"/>
      <c r="H20" s="40"/>
      <c r="I20" s="40"/>
      <c r="J20" s="40"/>
      <c r="K20" s="40"/>
      <c r="L20" s="40"/>
      <c r="M20" s="40"/>
      <c r="N20" s="40"/>
      <c r="O20" s="40"/>
      <c r="P20" s="40"/>
      <c r="Q20" s="40"/>
      <c r="R20" s="40"/>
      <c r="S20" s="40"/>
      <c r="T20" s="40"/>
      <c r="U20" s="40"/>
      <c r="V20" s="40"/>
      <c r="W20" s="40"/>
      <c r="X20" s="40"/>
    </row>
    <row r="21" spans="1:24">
      <c r="A21" s="40"/>
      <c r="B21" s="40"/>
      <c r="C21" s="40"/>
      <c r="D21" s="40"/>
      <c r="E21" s="40"/>
      <c r="F21" s="40"/>
      <c r="G21" s="40"/>
      <c r="H21" s="40"/>
      <c r="I21" s="40"/>
      <c r="J21" s="40"/>
      <c r="K21" s="40"/>
      <c r="L21" s="40"/>
      <c r="M21" s="40"/>
      <c r="N21" s="40"/>
      <c r="O21" s="40"/>
      <c r="P21" s="40"/>
      <c r="Q21" s="40"/>
      <c r="R21" s="40"/>
      <c r="S21" s="40"/>
      <c r="T21" s="40"/>
      <c r="U21" s="40"/>
      <c r="V21" s="40"/>
      <c r="W21" s="40"/>
      <c r="X21" s="40"/>
    </row>
    <row r="22" spans="1:24">
      <c r="A22" s="40"/>
      <c r="B22" s="40"/>
      <c r="C22" s="40"/>
      <c r="D22" s="40"/>
      <c r="E22" s="40"/>
      <c r="F22" s="40"/>
      <c r="G22" s="40"/>
      <c r="H22" s="40"/>
      <c r="I22" s="40"/>
      <c r="J22" s="40"/>
      <c r="K22" s="40"/>
      <c r="L22" s="40"/>
      <c r="M22" s="40"/>
      <c r="N22" s="40"/>
      <c r="O22" s="40"/>
      <c r="P22" s="40"/>
      <c r="Q22" s="40"/>
      <c r="R22" s="40"/>
      <c r="S22" s="40"/>
      <c r="T22" s="40"/>
      <c r="U22" s="40"/>
      <c r="V22" s="40"/>
      <c r="W22" s="40"/>
      <c r="X22" s="40"/>
    </row>
    <row r="23" spans="1:24">
      <c r="A23" s="40"/>
      <c r="B23" s="40"/>
      <c r="C23" s="40"/>
      <c r="D23" s="40"/>
      <c r="E23" s="40"/>
      <c r="F23" s="40"/>
      <c r="G23" s="40"/>
      <c r="H23" s="40"/>
      <c r="I23" s="40"/>
      <c r="J23" s="40"/>
      <c r="K23" s="40"/>
      <c r="L23" s="40"/>
      <c r="M23" s="40"/>
      <c r="N23" s="40"/>
      <c r="O23" s="40"/>
      <c r="P23" s="40"/>
      <c r="Q23" s="40"/>
      <c r="R23" s="40"/>
      <c r="S23" s="40"/>
      <c r="T23" s="40"/>
      <c r="U23" s="40"/>
      <c r="V23" s="40"/>
      <c r="W23" s="40"/>
      <c r="X23" s="40"/>
    </row>
    <row r="24" spans="1:24">
      <c r="A24" s="40"/>
      <c r="B24" s="40"/>
      <c r="C24" s="40"/>
      <c r="D24" s="40"/>
      <c r="E24" s="40"/>
      <c r="F24" s="40"/>
      <c r="G24" s="40"/>
      <c r="H24" s="40"/>
      <c r="I24" s="40"/>
      <c r="J24" s="40"/>
      <c r="K24" s="40"/>
      <c r="L24" s="40"/>
      <c r="M24" s="40"/>
      <c r="N24" s="40"/>
      <c r="O24" s="40"/>
      <c r="P24" s="40"/>
      <c r="Q24" s="40"/>
      <c r="R24" s="40"/>
      <c r="S24" s="40"/>
      <c r="T24" s="40"/>
      <c r="U24" s="40"/>
      <c r="V24" s="40"/>
      <c r="W24" s="40"/>
      <c r="X24" s="40"/>
    </row>
    <row r="25" spans="1:24">
      <c r="A25" s="40"/>
      <c r="B25" s="40"/>
      <c r="C25" s="40"/>
      <c r="D25" s="40"/>
      <c r="E25" s="40"/>
      <c r="F25" s="40"/>
      <c r="G25" s="40"/>
      <c r="H25" s="40"/>
      <c r="I25" s="40"/>
      <c r="J25" s="40"/>
      <c r="K25" s="40"/>
      <c r="L25" s="40"/>
      <c r="M25" s="40"/>
      <c r="N25" s="40"/>
      <c r="O25" s="40"/>
      <c r="P25" s="40"/>
      <c r="Q25" s="40"/>
      <c r="R25" s="40"/>
      <c r="S25" s="40"/>
      <c r="T25" s="40"/>
      <c r="U25" s="40"/>
      <c r="V25" s="40"/>
      <c r="W25" s="40"/>
      <c r="X25" s="40"/>
    </row>
    <row r="26" spans="1:24">
      <c r="A26" s="40"/>
      <c r="B26" s="40"/>
      <c r="C26" s="40"/>
      <c r="D26" s="40"/>
      <c r="E26" s="40"/>
      <c r="F26" s="40"/>
      <c r="G26" s="40"/>
      <c r="H26" s="40"/>
      <c r="I26" s="40"/>
      <c r="J26" s="40"/>
      <c r="K26" s="40"/>
      <c r="L26" s="40"/>
      <c r="M26" s="40"/>
      <c r="N26" s="40"/>
      <c r="O26" s="40"/>
      <c r="P26" s="40"/>
      <c r="Q26" s="40"/>
      <c r="R26" s="40"/>
      <c r="S26" s="40"/>
      <c r="T26" s="40"/>
      <c r="U26" s="40"/>
      <c r="V26" s="40"/>
      <c r="W26" s="40"/>
      <c r="X26" s="40"/>
    </row>
    <row r="27" spans="1:24">
      <c r="A27" s="40"/>
      <c r="B27" s="40"/>
      <c r="C27" s="40"/>
      <c r="D27" s="40"/>
      <c r="E27" s="40"/>
      <c r="F27" s="40"/>
      <c r="G27" s="40"/>
      <c r="H27" s="40"/>
      <c r="I27" s="40"/>
      <c r="J27" s="40"/>
      <c r="K27" s="40"/>
      <c r="L27" s="40"/>
      <c r="M27" s="40"/>
      <c r="N27" s="40"/>
      <c r="O27" s="40"/>
      <c r="P27" s="40"/>
      <c r="Q27" s="40"/>
      <c r="R27" s="40"/>
      <c r="S27" s="40"/>
      <c r="T27" s="40"/>
      <c r="U27" s="40"/>
      <c r="V27" s="40"/>
      <c r="W27" s="40"/>
      <c r="X27" s="40"/>
    </row>
    <row r="28" spans="1:24">
      <c r="A28" s="40"/>
      <c r="B28" s="40"/>
      <c r="C28" s="40"/>
      <c r="D28" s="40"/>
      <c r="E28" s="40"/>
      <c r="F28" s="40"/>
      <c r="G28" s="40"/>
      <c r="H28" s="40"/>
      <c r="I28" s="40"/>
      <c r="J28" s="40"/>
      <c r="K28" s="40"/>
      <c r="L28" s="40"/>
      <c r="M28" s="40"/>
      <c r="N28" s="40"/>
      <c r="O28" s="40"/>
      <c r="P28" s="40"/>
      <c r="Q28" s="40"/>
      <c r="R28" s="40"/>
      <c r="S28" s="40"/>
      <c r="T28" s="40"/>
      <c r="U28" s="40"/>
      <c r="V28" s="40"/>
      <c r="W28" s="40"/>
      <c r="X28" s="40"/>
    </row>
    <row r="29" spans="1:24">
      <c r="A29" s="40"/>
      <c r="B29" s="40"/>
      <c r="C29" s="40"/>
      <c r="D29" s="40"/>
      <c r="E29" s="40"/>
      <c r="F29" s="40"/>
      <c r="G29" s="40"/>
      <c r="H29" s="40"/>
      <c r="I29" s="40"/>
      <c r="J29" s="40"/>
      <c r="K29" s="40"/>
      <c r="L29" s="40"/>
      <c r="M29" s="40"/>
      <c r="N29" s="40"/>
      <c r="O29" s="40"/>
      <c r="P29" s="40"/>
      <c r="Q29" s="40"/>
      <c r="R29" s="40"/>
      <c r="S29" s="40"/>
      <c r="T29" s="40"/>
      <c r="U29" s="40"/>
      <c r="V29" s="40"/>
      <c r="W29" s="40"/>
      <c r="X29" s="40"/>
    </row>
    <row r="30" spans="1:24">
      <c r="A30" s="40"/>
      <c r="B30" s="40"/>
      <c r="C30" s="40"/>
      <c r="D30" s="40"/>
      <c r="E30" s="40"/>
      <c r="F30" s="40"/>
      <c r="G30" s="40"/>
      <c r="H30" s="40"/>
      <c r="I30" s="40"/>
      <c r="J30" s="40"/>
      <c r="K30" s="40"/>
      <c r="L30" s="40"/>
      <c r="M30" s="40"/>
      <c r="N30" s="40"/>
      <c r="O30" s="40"/>
      <c r="P30" s="40"/>
      <c r="Q30" s="40"/>
      <c r="R30" s="40"/>
      <c r="S30" s="40"/>
      <c r="T30" s="40"/>
      <c r="U30" s="40"/>
      <c r="V30" s="40"/>
      <c r="W30" s="40"/>
      <c r="X30" s="40"/>
    </row>
    <row r="31" spans="1:24">
      <c r="A31" s="40"/>
      <c r="B31" s="40"/>
      <c r="C31" s="40"/>
      <c r="D31" s="40"/>
      <c r="E31" s="40"/>
      <c r="F31" s="40"/>
      <c r="G31" s="40"/>
      <c r="H31" s="40"/>
      <c r="I31" s="40"/>
      <c r="J31" s="40"/>
      <c r="K31" s="40"/>
      <c r="L31" s="40"/>
      <c r="M31" s="40"/>
      <c r="N31" s="40"/>
      <c r="O31" s="40"/>
      <c r="P31" s="40"/>
      <c r="Q31" s="40"/>
      <c r="R31" s="40"/>
      <c r="S31" s="40"/>
      <c r="T31" s="40"/>
      <c r="U31" s="40"/>
      <c r="V31" s="40"/>
      <c r="W31" s="40"/>
      <c r="X31" s="40"/>
    </row>
    <row r="32" spans="1:24">
      <c r="A32" s="40"/>
      <c r="B32" s="40"/>
      <c r="C32" s="40"/>
      <c r="D32" s="40"/>
      <c r="E32" s="40"/>
      <c r="F32" s="40"/>
      <c r="G32" s="40"/>
      <c r="H32" s="40"/>
      <c r="I32" s="40"/>
      <c r="J32" s="40"/>
      <c r="K32" s="40"/>
      <c r="L32" s="40"/>
      <c r="M32" s="40"/>
      <c r="N32" s="40"/>
      <c r="O32" s="40"/>
      <c r="P32" s="40"/>
      <c r="Q32" s="40"/>
      <c r="R32" s="40"/>
      <c r="S32" s="40"/>
      <c r="T32" s="40"/>
      <c r="U32" s="40"/>
      <c r="V32" s="40"/>
      <c r="W32" s="40"/>
      <c r="X32" s="40"/>
    </row>
    <row r="33" spans="1:24">
      <c r="A33" s="40"/>
      <c r="B33" s="40"/>
      <c r="C33" s="40"/>
      <c r="D33" s="40"/>
      <c r="E33" s="40"/>
      <c r="F33" s="40"/>
      <c r="G33" s="40"/>
      <c r="H33" s="40"/>
      <c r="I33" s="40"/>
      <c r="J33" s="40"/>
      <c r="K33" s="40"/>
      <c r="L33" s="40"/>
      <c r="M33" s="40"/>
      <c r="N33" s="40"/>
      <c r="O33" s="40"/>
      <c r="P33" s="40"/>
      <c r="Q33" s="40"/>
      <c r="R33" s="40"/>
      <c r="S33" s="40"/>
      <c r="T33" s="40"/>
      <c r="U33" s="40"/>
      <c r="V33" s="40"/>
      <c r="W33" s="40"/>
      <c r="X33" s="40"/>
    </row>
    <row r="34" spans="1:24">
      <c r="A34" s="40"/>
      <c r="B34" s="40"/>
      <c r="C34" s="40"/>
      <c r="D34" s="40"/>
      <c r="E34" s="40"/>
      <c r="F34" s="40"/>
      <c r="G34" s="40"/>
      <c r="H34" s="40"/>
      <c r="I34" s="40"/>
      <c r="J34" s="40"/>
      <c r="K34" s="40"/>
      <c r="L34" s="40"/>
      <c r="M34" s="40"/>
      <c r="N34" s="40"/>
      <c r="O34" s="40"/>
      <c r="P34" s="40"/>
      <c r="Q34" s="40"/>
      <c r="R34" s="40"/>
      <c r="S34" s="40"/>
      <c r="T34" s="40"/>
      <c r="U34" s="40"/>
      <c r="V34" s="40"/>
      <c r="W34" s="40"/>
      <c r="X34" s="40"/>
    </row>
    <row r="35" spans="1:24">
      <c r="A35" s="40"/>
      <c r="B35" s="40"/>
      <c r="C35" s="40"/>
      <c r="D35" s="40"/>
      <c r="E35" s="40"/>
      <c r="F35" s="40"/>
      <c r="G35" s="40"/>
      <c r="H35" s="40"/>
      <c r="I35" s="40"/>
      <c r="J35" s="40"/>
      <c r="K35" s="40"/>
      <c r="L35" s="40"/>
      <c r="M35" s="40"/>
      <c r="N35" s="40"/>
      <c r="O35" s="40"/>
      <c r="P35" s="40"/>
      <c r="Q35" s="40"/>
      <c r="R35" s="40"/>
      <c r="S35" s="40"/>
      <c r="T35" s="40"/>
      <c r="U35" s="40"/>
      <c r="V35" s="40"/>
      <c r="W35" s="40"/>
      <c r="X35" s="40"/>
    </row>
    <row r="36" spans="1:24">
      <c r="A36" s="40"/>
      <c r="B36" s="40"/>
      <c r="C36" s="40"/>
      <c r="D36" s="40"/>
      <c r="E36" s="40"/>
      <c r="F36" s="40"/>
      <c r="G36" s="40"/>
      <c r="H36" s="40"/>
      <c r="I36" s="40"/>
      <c r="J36" s="40"/>
      <c r="K36" s="40"/>
      <c r="L36" s="40"/>
      <c r="M36" s="40"/>
      <c r="N36" s="40"/>
      <c r="O36" s="40"/>
      <c r="P36" s="40"/>
      <c r="Q36" s="40"/>
      <c r="R36" s="40"/>
      <c r="S36" s="40"/>
      <c r="T36" s="40"/>
      <c r="U36" s="40"/>
      <c r="V36" s="40"/>
      <c r="W36" s="40"/>
      <c r="X36" s="40"/>
    </row>
    <row r="37" spans="1:24">
      <c r="A37" s="40"/>
      <c r="B37" s="40"/>
      <c r="C37" s="40"/>
      <c r="D37" s="40"/>
      <c r="E37" s="40"/>
      <c r="F37" s="40"/>
      <c r="G37" s="40"/>
      <c r="H37" s="40"/>
      <c r="I37" s="40"/>
      <c r="J37" s="40"/>
      <c r="K37" s="40"/>
      <c r="L37" s="40"/>
      <c r="M37" s="40"/>
      <c r="N37" s="40"/>
      <c r="O37" s="40"/>
      <c r="P37" s="40"/>
      <c r="Q37" s="40"/>
      <c r="R37" s="40"/>
      <c r="S37" s="40"/>
      <c r="T37" s="40"/>
      <c r="U37" s="40"/>
      <c r="V37" s="40"/>
      <c r="W37" s="40"/>
      <c r="X37" s="40"/>
    </row>
    <row r="38" spans="1:24">
      <c r="A38" s="40"/>
      <c r="B38" s="40"/>
      <c r="C38" s="40"/>
      <c r="D38" s="40"/>
      <c r="E38" s="40"/>
      <c r="F38" s="40"/>
      <c r="G38" s="40"/>
      <c r="H38" s="40"/>
      <c r="I38" s="40"/>
      <c r="J38" s="40"/>
      <c r="K38" s="40"/>
      <c r="L38" s="40"/>
      <c r="M38" s="40"/>
      <c r="N38" s="40"/>
      <c r="O38" s="40"/>
      <c r="P38" s="40"/>
      <c r="Q38" s="40"/>
      <c r="R38" s="40"/>
      <c r="S38" s="40"/>
      <c r="T38" s="40"/>
      <c r="U38" s="40"/>
      <c r="V38" s="40"/>
      <c r="W38" s="40"/>
      <c r="X38" s="40"/>
    </row>
    <row r="39" spans="1:24">
      <c r="A39" s="40"/>
      <c r="B39" s="40"/>
      <c r="C39" s="40"/>
      <c r="D39" s="40"/>
      <c r="E39" s="40"/>
      <c r="F39" s="40"/>
      <c r="G39" s="40"/>
      <c r="H39" s="40"/>
      <c r="I39" s="40"/>
      <c r="J39" s="40"/>
      <c r="K39" s="40"/>
      <c r="L39" s="40"/>
      <c r="M39" s="40"/>
      <c r="N39" s="40"/>
      <c r="O39" s="40"/>
      <c r="P39" s="40"/>
      <c r="Q39" s="40"/>
      <c r="R39" s="40"/>
      <c r="S39" s="40"/>
      <c r="T39" s="40"/>
      <c r="U39" s="40"/>
      <c r="V39" s="40"/>
      <c r="W39" s="40"/>
      <c r="X39" s="40"/>
    </row>
    <row r="40" spans="1:24">
      <c r="A40" s="40"/>
      <c r="B40" s="40"/>
      <c r="C40" s="40"/>
      <c r="D40" s="40"/>
      <c r="E40" s="40"/>
      <c r="F40" s="40"/>
      <c r="G40" s="40"/>
      <c r="H40" s="40"/>
      <c r="I40" s="40"/>
      <c r="J40" s="40"/>
      <c r="K40" s="40"/>
      <c r="L40" s="40"/>
      <c r="M40" s="40"/>
      <c r="N40" s="40"/>
      <c r="O40" s="40"/>
      <c r="P40" s="40"/>
      <c r="Q40" s="40"/>
      <c r="R40" s="40"/>
      <c r="S40" s="40"/>
      <c r="T40" s="40"/>
      <c r="U40" s="40"/>
      <c r="V40" s="40"/>
      <c r="W40" s="40"/>
      <c r="X40" s="40"/>
    </row>
    <row r="41" spans="1:24">
      <c r="A41" s="40"/>
      <c r="B41" s="40"/>
      <c r="C41" s="40"/>
      <c r="D41" s="40"/>
      <c r="E41" s="40"/>
      <c r="F41" s="40"/>
      <c r="G41" s="40"/>
      <c r="H41" s="40"/>
      <c r="I41" s="40"/>
      <c r="J41" s="40"/>
      <c r="K41" s="40"/>
      <c r="L41" s="40"/>
      <c r="M41" s="40"/>
      <c r="N41" s="40"/>
      <c r="O41" s="40"/>
      <c r="P41" s="40"/>
      <c r="Q41" s="40"/>
      <c r="R41" s="40"/>
      <c r="S41" s="40"/>
      <c r="T41" s="40"/>
      <c r="U41" s="40"/>
      <c r="V41" s="40"/>
      <c r="W41" s="40"/>
      <c r="X41" s="40"/>
    </row>
    <row r="42" spans="1:24">
      <c r="A42" s="40"/>
      <c r="B42" s="40"/>
      <c r="C42" s="40"/>
      <c r="D42" s="40"/>
      <c r="E42" s="40"/>
      <c r="F42" s="40"/>
      <c r="G42" s="40"/>
      <c r="H42" s="40"/>
      <c r="I42" s="40"/>
      <c r="J42" s="40"/>
      <c r="K42" s="40"/>
      <c r="L42" s="40"/>
      <c r="M42" s="40"/>
      <c r="N42" s="40"/>
      <c r="O42" s="40"/>
      <c r="P42" s="40"/>
      <c r="Q42" s="40"/>
      <c r="R42" s="40"/>
      <c r="S42" s="40"/>
      <c r="T42" s="40"/>
      <c r="U42" s="40"/>
      <c r="V42" s="40"/>
      <c r="W42" s="40"/>
      <c r="X42" s="40"/>
    </row>
    <row r="43" spans="1:24">
      <c r="A43" s="40"/>
      <c r="B43" s="40"/>
      <c r="C43" s="40"/>
      <c r="D43" s="40"/>
      <c r="E43" s="40"/>
      <c r="F43" s="40"/>
      <c r="G43" s="40"/>
      <c r="H43" s="40"/>
      <c r="I43" s="40"/>
      <c r="J43" s="40"/>
      <c r="K43" s="40"/>
      <c r="L43" s="40"/>
      <c r="M43" s="40"/>
      <c r="N43" s="40"/>
      <c r="O43" s="40"/>
      <c r="P43" s="40"/>
      <c r="Q43" s="40"/>
      <c r="R43" s="40"/>
      <c r="S43" s="40"/>
      <c r="T43" s="40"/>
      <c r="U43" s="40"/>
      <c r="V43" s="40"/>
      <c r="W43" s="40"/>
      <c r="X43" s="40"/>
    </row>
    <row r="44" spans="1:24">
      <c r="A44" s="40"/>
      <c r="B44" s="40"/>
      <c r="C44" s="40"/>
      <c r="D44" s="40"/>
      <c r="E44" s="40"/>
      <c r="F44" s="40"/>
      <c r="G44" s="40"/>
      <c r="H44" s="40"/>
      <c r="I44" s="40"/>
      <c r="J44" s="40"/>
      <c r="K44" s="40"/>
      <c r="L44" s="40"/>
      <c r="M44" s="40"/>
      <c r="N44" s="40"/>
      <c r="O44" s="40"/>
      <c r="P44" s="40"/>
      <c r="Q44" s="40"/>
      <c r="R44" s="40"/>
      <c r="S44" s="40"/>
      <c r="T44" s="40"/>
      <c r="U44" s="40"/>
      <c r="V44" s="40"/>
      <c r="W44" s="40"/>
      <c r="X44" s="40"/>
    </row>
    <row r="45" spans="1:24">
      <c r="A45" s="40"/>
      <c r="B45" s="40"/>
      <c r="C45" s="40"/>
      <c r="D45" s="40"/>
      <c r="E45" s="40"/>
      <c r="F45" s="40"/>
      <c r="G45" s="40"/>
      <c r="H45" s="40"/>
      <c r="I45" s="40"/>
      <c r="J45" s="40"/>
      <c r="K45" s="40"/>
      <c r="L45" s="40"/>
      <c r="M45" s="40"/>
      <c r="N45" s="40"/>
      <c r="O45" s="40"/>
      <c r="P45" s="40"/>
      <c r="Q45" s="40"/>
      <c r="R45" s="40"/>
      <c r="S45" s="40"/>
      <c r="T45" s="40"/>
      <c r="U45" s="40"/>
      <c r="V45" s="40"/>
      <c r="W45" s="40"/>
      <c r="X45" s="40"/>
    </row>
    <row r="46" spans="1:24">
      <c r="A46" s="40"/>
      <c r="B46" s="40"/>
      <c r="C46" s="40"/>
      <c r="D46" s="40"/>
      <c r="E46" s="40"/>
      <c r="F46" s="40"/>
      <c r="G46" s="40"/>
      <c r="H46" s="40"/>
      <c r="I46" s="40"/>
      <c r="J46" s="40"/>
      <c r="K46" s="40"/>
      <c r="L46" s="40"/>
      <c r="M46" s="40"/>
      <c r="N46" s="40"/>
      <c r="O46" s="40"/>
      <c r="P46" s="40"/>
      <c r="Q46" s="40"/>
      <c r="R46" s="40"/>
      <c r="S46" s="40"/>
      <c r="T46" s="40"/>
      <c r="U46" s="40"/>
      <c r="V46" s="40"/>
      <c r="W46" s="40"/>
      <c r="X46" s="40"/>
    </row>
    <row r="47" spans="1:24">
      <c r="A47" s="40"/>
      <c r="B47" s="40"/>
      <c r="C47" s="40"/>
      <c r="D47" s="40"/>
      <c r="E47" s="40"/>
      <c r="F47" s="40"/>
      <c r="G47" s="40"/>
      <c r="H47" s="40"/>
      <c r="I47" s="40"/>
      <c r="J47" s="40"/>
      <c r="K47" s="40"/>
      <c r="L47" s="40"/>
      <c r="M47" s="40"/>
      <c r="N47" s="40"/>
      <c r="O47" s="40"/>
      <c r="P47" s="40"/>
      <c r="Q47" s="40"/>
      <c r="R47" s="40"/>
      <c r="S47" s="40"/>
      <c r="T47" s="40"/>
      <c r="U47" s="40"/>
      <c r="V47" s="40"/>
      <c r="W47" s="40"/>
      <c r="X47" s="40"/>
    </row>
    <row r="48" spans="1:24">
      <c r="A48" s="40"/>
      <c r="B48" s="40"/>
      <c r="C48" s="40"/>
      <c r="D48" s="40"/>
      <c r="E48" s="40"/>
      <c r="F48" s="40"/>
      <c r="G48" s="40"/>
      <c r="H48" s="40"/>
      <c r="I48" s="40"/>
      <c r="J48" s="40"/>
      <c r="K48" s="40"/>
      <c r="L48" s="40"/>
      <c r="M48" s="40"/>
      <c r="N48" s="40"/>
      <c r="O48" s="40"/>
      <c r="P48" s="40"/>
      <c r="Q48" s="40"/>
      <c r="R48" s="40"/>
      <c r="S48" s="40"/>
      <c r="T48" s="40"/>
      <c r="U48" s="40"/>
      <c r="V48" s="40"/>
      <c r="W48" s="40"/>
      <c r="X48" s="40"/>
    </row>
    <row r="49" spans="1:24">
      <c r="A49" s="40"/>
      <c r="B49" s="40"/>
      <c r="C49" s="40"/>
      <c r="D49" s="40"/>
      <c r="E49" s="40"/>
      <c r="F49" s="40"/>
      <c r="G49" s="40"/>
      <c r="H49" s="40"/>
      <c r="I49" s="40"/>
      <c r="J49" s="40"/>
      <c r="K49" s="40"/>
      <c r="L49" s="40"/>
      <c r="M49" s="40"/>
      <c r="N49" s="40"/>
      <c r="O49" s="40"/>
      <c r="P49" s="40"/>
      <c r="Q49" s="40"/>
      <c r="R49" s="40"/>
      <c r="S49" s="40"/>
      <c r="T49" s="40"/>
      <c r="U49" s="40"/>
      <c r="V49" s="40"/>
      <c r="W49" s="40"/>
      <c r="X49" s="40"/>
    </row>
    <row r="50" spans="1:24">
      <c r="A50" s="40"/>
      <c r="B50" s="40"/>
      <c r="C50" s="40"/>
      <c r="D50" s="40"/>
      <c r="E50" s="40"/>
      <c r="F50" s="40"/>
      <c r="G50" s="40"/>
      <c r="H50" s="40"/>
      <c r="I50" s="40"/>
      <c r="J50" s="40"/>
      <c r="K50" s="40"/>
      <c r="L50" s="40"/>
      <c r="M50" s="40"/>
      <c r="N50" s="40"/>
      <c r="O50" s="40"/>
      <c r="P50" s="40"/>
      <c r="Q50" s="40"/>
      <c r="R50" s="40"/>
      <c r="S50" s="40"/>
      <c r="T50" s="40"/>
      <c r="U50" s="40"/>
      <c r="V50" s="40"/>
      <c r="W50" s="40"/>
      <c r="X50" s="40"/>
    </row>
    <row r="51" spans="1:24">
      <c r="A51" s="40"/>
      <c r="B51" s="40"/>
      <c r="C51" s="40"/>
      <c r="D51" s="40"/>
      <c r="E51" s="40"/>
      <c r="F51" s="40"/>
      <c r="G51" s="40"/>
      <c r="H51" s="40"/>
      <c r="I51" s="40"/>
      <c r="J51" s="40"/>
      <c r="K51" s="40"/>
      <c r="L51" s="40"/>
      <c r="M51" s="40"/>
      <c r="N51" s="40"/>
      <c r="O51" s="40"/>
      <c r="P51" s="40"/>
      <c r="Q51" s="40"/>
      <c r="R51" s="40"/>
      <c r="S51" s="40"/>
      <c r="T51" s="40"/>
      <c r="U51" s="40"/>
      <c r="V51" s="40"/>
      <c r="W51" s="40"/>
      <c r="X51" s="40"/>
    </row>
    <row r="52" spans="1:24">
      <c r="A52" s="40"/>
      <c r="B52" s="40"/>
      <c r="C52" s="40"/>
      <c r="D52" s="40"/>
      <c r="E52" s="40"/>
      <c r="F52" s="40"/>
      <c r="G52" s="40"/>
      <c r="H52" s="40"/>
      <c r="I52" s="40"/>
      <c r="J52" s="40"/>
      <c r="K52" s="40"/>
      <c r="L52" s="40"/>
      <c r="M52" s="40"/>
      <c r="N52" s="40"/>
      <c r="O52" s="40"/>
      <c r="P52" s="40"/>
      <c r="Q52" s="40"/>
      <c r="R52" s="40"/>
      <c r="S52" s="40"/>
      <c r="T52" s="40"/>
      <c r="U52" s="40"/>
      <c r="V52" s="40"/>
      <c r="W52" s="40"/>
      <c r="X52" s="40"/>
    </row>
    <row r="53" spans="1:24">
      <c r="A53" s="40"/>
      <c r="B53" s="40"/>
      <c r="C53" s="40"/>
      <c r="D53" s="40"/>
      <c r="E53" s="40"/>
      <c r="F53" s="40"/>
      <c r="G53" s="40"/>
      <c r="H53" s="40"/>
      <c r="I53" s="40"/>
      <c r="J53" s="40"/>
      <c r="K53" s="40"/>
      <c r="L53" s="40"/>
      <c r="M53" s="40"/>
      <c r="N53" s="40"/>
      <c r="O53" s="40"/>
      <c r="P53" s="40"/>
      <c r="Q53" s="40"/>
      <c r="R53" s="40"/>
      <c r="S53" s="40"/>
      <c r="T53" s="40"/>
      <c r="U53" s="40"/>
      <c r="V53" s="40"/>
      <c r="W53" s="40"/>
      <c r="X53" s="40"/>
    </row>
    <row r="54" spans="1:24">
      <c r="A54" s="40"/>
      <c r="B54" s="40"/>
      <c r="C54" s="40"/>
      <c r="D54" s="40"/>
      <c r="E54" s="40"/>
      <c r="F54" s="40"/>
      <c r="G54" s="40"/>
      <c r="H54" s="40"/>
      <c r="I54" s="40"/>
      <c r="J54" s="40"/>
      <c r="K54" s="40"/>
      <c r="L54" s="40"/>
      <c r="M54" s="40"/>
      <c r="N54" s="40"/>
      <c r="O54" s="40"/>
      <c r="P54" s="40"/>
      <c r="Q54" s="40"/>
      <c r="R54" s="40"/>
      <c r="S54" s="40"/>
      <c r="T54" s="40"/>
      <c r="U54" s="40"/>
      <c r="V54" s="40"/>
      <c r="W54" s="40"/>
      <c r="X54" s="40"/>
    </row>
    <row r="55" spans="1:24">
      <c r="A55" s="40"/>
      <c r="B55" s="40"/>
      <c r="C55" s="40"/>
      <c r="D55" s="40"/>
      <c r="E55" s="40"/>
      <c r="F55" s="40"/>
      <c r="G55" s="40"/>
      <c r="H55" s="40"/>
      <c r="I55" s="40"/>
      <c r="J55" s="40"/>
      <c r="K55" s="40"/>
      <c r="L55" s="40"/>
      <c r="M55" s="40"/>
      <c r="N55" s="40"/>
      <c r="O55" s="40"/>
      <c r="P55" s="40"/>
      <c r="Q55" s="40"/>
      <c r="R55" s="40"/>
      <c r="S55" s="40"/>
      <c r="T55" s="40"/>
      <c r="U55" s="40"/>
      <c r="V55" s="40"/>
      <c r="W55" s="40"/>
      <c r="X55" s="40"/>
    </row>
    <row r="56" spans="1:24">
      <c r="A56" s="40"/>
      <c r="B56" s="40"/>
      <c r="C56" s="40"/>
      <c r="D56" s="40"/>
      <c r="E56" s="40"/>
      <c r="F56" s="40"/>
      <c r="G56" s="40"/>
      <c r="H56" s="40"/>
      <c r="I56" s="40"/>
      <c r="J56" s="40"/>
      <c r="K56" s="40"/>
      <c r="L56" s="40"/>
      <c r="M56" s="40"/>
      <c r="N56" s="40"/>
      <c r="O56" s="40"/>
      <c r="P56" s="40"/>
      <c r="Q56" s="40"/>
      <c r="R56" s="40"/>
      <c r="S56" s="40"/>
      <c r="T56" s="40"/>
      <c r="U56" s="40"/>
      <c r="V56" s="40"/>
      <c r="W56" s="40"/>
      <c r="X56" s="40"/>
    </row>
    <row r="57" spans="1:24">
      <c r="A57" s="40"/>
      <c r="B57" s="40"/>
      <c r="C57" s="40"/>
      <c r="D57" s="40"/>
      <c r="E57" s="40"/>
      <c r="F57" s="40"/>
      <c r="G57" s="40"/>
      <c r="H57" s="40"/>
      <c r="I57" s="40"/>
      <c r="J57" s="40"/>
      <c r="K57" s="40"/>
      <c r="L57" s="40"/>
      <c r="M57" s="40"/>
      <c r="N57" s="40"/>
      <c r="O57" s="40"/>
      <c r="P57" s="40"/>
      <c r="Q57" s="40"/>
      <c r="R57" s="40"/>
      <c r="S57" s="40"/>
      <c r="T57" s="40"/>
      <c r="U57" s="40"/>
      <c r="V57" s="40"/>
      <c r="W57" s="40"/>
      <c r="X57" s="40"/>
    </row>
    <row r="58" spans="1:24">
      <c r="A58" s="40"/>
      <c r="B58" s="40"/>
      <c r="C58" s="40"/>
      <c r="D58" s="40"/>
      <c r="E58" s="40"/>
      <c r="F58" s="40"/>
      <c r="G58" s="40"/>
      <c r="H58" s="40"/>
      <c r="I58" s="40"/>
      <c r="J58" s="40"/>
      <c r="K58" s="40"/>
      <c r="L58" s="40"/>
      <c r="M58" s="40"/>
      <c r="N58" s="40"/>
      <c r="O58" s="40"/>
      <c r="P58" s="40"/>
      <c r="Q58" s="40"/>
      <c r="R58" s="40"/>
      <c r="S58" s="40"/>
      <c r="T58" s="40"/>
      <c r="U58" s="40"/>
      <c r="V58" s="40"/>
      <c r="W58" s="40"/>
      <c r="X58" s="40"/>
    </row>
    <row r="59" spans="1:24">
      <c r="A59" s="40"/>
      <c r="B59" s="40"/>
      <c r="C59" s="40"/>
      <c r="D59" s="40"/>
      <c r="E59" s="40"/>
      <c r="F59" s="40"/>
      <c r="G59" s="40"/>
      <c r="H59" s="40"/>
      <c r="I59" s="40"/>
      <c r="J59" s="40"/>
      <c r="K59" s="40"/>
      <c r="L59" s="40"/>
      <c r="M59" s="40"/>
      <c r="N59" s="40"/>
      <c r="O59" s="40"/>
      <c r="P59" s="40"/>
      <c r="Q59" s="40"/>
      <c r="R59" s="40"/>
      <c r="S59" s="40"/>
      <c r="T59" s="40"/>
      <c r="U59" s="40"/>
      <c r="V59" s="40"/>
      <c r="W59" s="40"/>
      <c r="X59" s="40"/>
    </row>
    <row r="60" spans="1:24">
      <c r="A60" s="40"/>
      <c r="B60" s="40"/>
      <c r="C60" s="40"/>
      <c r="D60" s="40"/>
      <c r="E60" s="40"/>
      <c r="F60" s="40"/>
      <c r="G60" s="40"/>
      <c r="H60" s="40"/>
      <c r="I60" s="40"/>
      <c r="J60" s="40"/>
      <c r="K60" s="40"/>
      <c r="L60" s="40"/>
      <c r="M60" s="40"/>
      <c r="N60" s="40"/>
      <c r="O60" s="40"/>
      <c r="P60" s="40"/>
      <c r="Q60" s="40"/>
      <c r="R60" s="40"/>
      <c r="S60" s="40"/>
      <c r="T60" s="40"/>
      <c r="U60" s="40"/>
      <c r="V60" s="40"/>
      <c r="W60" s="40"/>
      <c r="X60" s="40"/>
    </row>
    <row r="61" spans="1:24">
      <c r="A61" s="40"/>
      <c r="B61" s="40"/>
      <c r="C61" s="40"/>
      <c r="D61" s="40"/>
      <c r="E61" s="40"/>
      <c r="F61" s="40"/>
      <c r="G61" s="40"/>
      <c r="H61" s="40"/>
      <c r="I61" s="40"/>
      <c r="J61" s="40"/>
      <c r="K61" s="40"/>
      <c r="L61" s="40"/>
      <c r="M61" s="40"/>
      <c r="N61" s="40"/>
      <c r="O61" s="40"/>
      <c r="P61" s="40"/>
      <c r="Q61" s="40"/>
      <c r="R61" s="40"/>
      <c r="S61" s="40"/>
      <c r="T61" s="40"/>
      <c r="U61" s="40"/>
      <c r="V61" s="40"/>
      <c r="W61" s="40"/>
      <c r="X61" s="40"/>
    </row>
    <row r="62" spans="1:24">
      <c r="A62" s="40"/>
      <c r="B62" s="40"/>
      <c r="C62" s="40"/>
      <c r="D62" s="40"/>
      <c r="E62" s="40"/>
      <c r="F62" s="40"/>
      <c r="G62" s="40"/>
      <c r="H62" s="40"/>
      <c r="I62" s="40"/>
      <c r="J62" s="40"/>
      <c r="K62" s="40"/>
      <c r="L62" s="40"/>
      <c r="M62" s="40"/>
      <c r="N62" s="40"/>
      <c r="O62" s="40"/>
      <c r="P62" s="40"/>
      <c r="Q62" s="40"/>
      <c r="R62" s="40"/>
      <c r="S62" s="40"/>
      <c r="T62" s="40"/>
      <c r="U62" s="40"/>
      <c r="V62" s="40"/>
      <c r="W62" s="40"/>
      <c r="X62" s="40"/>
    </row>
    <row r="63" spans="1:24">
      <c r="A63" s="40"/>
      <c r="B63" s="40"/>
      <c r="C63" s="40"/>
      <c r="D63" s="40"/>
      <c r="E63" s="40"/>
      <c r="F63" s="40"/>
      <c r="G63" s="40"/>
      <c r="H63" s="40"/>
      <c r="I63" s="40"/>
      <c r="J63" s="40"/>
      <c r="K63" s="40"/>
      <c r="L63" s="40"/>
      <c r="M63" s="40"/>
      <c r="N63" s="40"/>
      <c r="O63" s="40"/>
      <c r="P63" s="40"/>
      <c r="Q63" s="40"/>
      <c r="R63" s="40"/>
      <c r="S63" s="40"/>
      <c r="T63" s="40"/>
      <c r="U63" s="40"/>
      <c r="V63" s="40"/>
      <c r="W63" s="40"/>
      <c r="X63" s="40"/>
    </row>
    <row r="64" spans="1:24">
      <c r="A64" s="40"/>
      <c r="B64" s="40"/>
      <c r="C64" s="40"/>
      <c r="D64" s="40"/>
      <c r="E64" s="40"/>
      <c r="F64" s="40"/>
      <c r="G64" s="40"/>
      <c r="H64" s="40"/>
      <c r="I64" s="40"/>
      <c r="J64" s="40"/>
      <c r="K64" s="40"/>
      <c r="L64" s="40"/>
      <c r="M64" s="40"/>
      <c r="N64" s="40"/>
      <c r="O64" s="40"/>
      <c r="P64" s="40"/>
      <c r="Q64" s="40"/>
      <c r="R64" s="40"/>
      <c r="S64" s="40"/>
      <c r="T64" s="40"/>
      <c r="U64" s="40"/>
      <c r="V64" s="40"/>
      <c r="W64" s="40"/>
      <c r="X64" s="40"/>
    </row>
    <row r="65" spans="1:24">
      <c r="A65" s="40"/>
      <c r="B65" s="40"/>
      <c r="C65" s="40"/>
      <c r="D65" s="40"/>
      <c r="E65" s="40"/>
      <c r="F65" s="40"/>
      <c r="G65" s="40"/>
      <c r="H65" s="40"/>
      <c r="I65" s="40"/>
      <c r="J65" s="40"/>
      <c r="K65" s="40"/>
      <c r="L65" s="40"/>
      <c r="M65" s="40"/>
      <c r="N65" s="40"/>
      <c r="O65" s="40"/>
      <c r="P65" s="40"/>
      <c r="Q65" s="40"/>
      <c r="R65" s="40"/>
      <c r="S65" s="40"/>
      <c r="T65" s="40"/>
      <c r="U65" s="40"/>
      <c r="V65" s="40"/>
      <c r="W65" s="40"/>
      <c r="X65" s="40"/>
    </row>
    <row r="66" spans="1:24">
      <c r="A66" s="40"/>
      <c r="B66" s="40"/>
      <c r="C66" s="40"/>
      <c r="D66" s="40"/>
      <c r="E66" s="40"/>
      <c r="F66" s="40"/>
      <c r="G66" s="40"/>
      <c r="H66" s="40"/>
      <c r="I66" s="40"/>
      <c r="J66" s="40"/>
      <c r="K66" s="40"/>
      <c r="L66" s="40"/>
      <c r="M66" s="40"/>
      <c r="N66" s="40"/>
      <c r="O66" s="40"/>
      <c r="P66" s="40"/>
      <c r="Q66" s="40"/>
      <c r="R66" s="40"/>
      <c r="S66" s="40"/>
      <c r="T66" s="40"/>
      <c r="U66" s="40"/>
      <c r="V66" s="40"/>
      <c r="W66" s="40"/>
      <c r="X66" s="40"/>
    </row>
    <row r="67" spans="1:24">
      <c r="A67" s="40"/>
      <c r="B67" s="40"/>
      <c r="C67" s="40"/>
      <c r="D67" s="40"/>
      <c r="E67" s="40"/>
      <c r="F67" s="40"/>
      <c r="G67" s="40"/>
      <c r="H67" s="40"/>
      <c r="I67" s="40"/>
      <c r="J67" s="40"/>
      <c r="K67" s="40"/>
      <c r="L67" s="40"/>
      <c r="M67" s="40"/>
      <c r="N67" s="40"/>
      <c r="O67" s="40"/>
      <c r="P67" s="40"/>
      <c r="Q67" s="40"/>
      <c r="R67" s="40"/>
      <c r="S67" s="40"/>
      <c r="T67" s="40"/>
      <c r="U67" s="40"/>
      <c r="V67" s="40"/>
      <c r="W67" s="40"/>
      <c r="X67" s="40"/>
    </row>
    <row r="68" spans="1:24">
      <c r="A68" s="40"/>
      <c r="B68" s="40"/>
      <c r="C68" s="40"/>
      <c r="D68" s="40"/>
      <c r="E68" s="40"/>
      <c r="F68" s="40"/>
      <c r="G68" s="40"/>
      <c r="H68" s="40"/>
      <c r="I68" s="40"/>
      <c r="J68" s="40"/>
      <c r="K68" s="40"/>
      <c r="L68" s="40"/>
      <c r="M68" s="40"/>
      <c r="N68" s="40"/>
      <c r="O68" s="40"/>
      <c r="P68" s="40"/>
      <c r="Q68" s="40"/>
      <c r="R68" s="40"/>
      <c r="S68" s="40"/>
      <c r="T68" s="40"/>
      <c r="U68" s="40"/>
      <c r="V68" s="40"/>
      <c r="W68" s="40"/>
      <c r="X68" s="40"/>
    </row>
    <row r="69" spans="1:24">
      <c r="A69" s="40"/>
      <c r="B69" s="40"/>
      <c r="C69" s="40"/>
      <c r="D69" s="40"/>
      <c r="E69" s="40"/>
      <c r="F69" s="40"/>
      <c r="G69" s="40"/>
      <c r="H69" s="40"/>
      <c r="I69" s="40"/>
      <c r="J69" s="40"/>
      <c r="K69" s="40"/>
      <c r="L69" s="40"/>
      <c r="M69" s="40"/>
      <c r="N69" s="40"/>
      <c r="O69" s="40"/>
      <c r="P69" s="40"/>
      <c r="Q69" s="40"/>
      <c r="R69" s="40"/>
      <c r="S69" s="40"/>
      <c r="T69" s="40"/>
      <c r="U69" s="40"/>
      <c r="V69" s="40"/>
      <c r="W69" s="40"/>
      <c r="X69" s="40"/>
    </row>
    <row r="70" spans="1:24">
      <c r="A70" s="40"/>
      <c r="B70" s="40"/>
      <c r="C70" s="40"/>
      <c r="D70" s="40"/>
      <c r="E70" s="40"/>
      <c r="F70" s="40"/>
      <c r="G70" s="40"/>
      <c r="H70" s="40"/>
      <c r="I70" s="40"/>
      <c r="J70" s="40"/>
      <c r="K70" s="40"/>
      <c r="L70" s="40"/>
      <c r="M70" s="40"/>
      <c r="N70" s="40"/>
      <c r="O70" s="40"/>
      <c r="P70" s="40"/>
      <c r="Q70" s="40"/>
      <c r="R70" s="40"/>
      <c r="S70" s="40"/>
      <c r="T70" s="40"/>
      <c r="U70" s="40"/>
      <c r="V70" s="40"/>
      <c r="W70" s="40"/>
      <c r="X70" s="40"/>
    </row>
    <row r="71" spans="1:24">
      <c r="A71" s="40"/>
      <c r="B71" s="40"/>
      <c r="C71" s="40"/>
      <c r="D71" s="40"/>
      <c r="E71" s="40"/>
      <c r="F71" s="40"/>
      <c r="G71" s="40"/>
      <c r="H71" s="40"/>
      <c r="I71" s="40"/>
      <c r="J71" s="40"/>
      <c r="K71" s="40"/>
      <c r="L71" s="40"/>
      <c r="M71" s="40"/>
      <c r="N71" s="40"/>
      <c r="O71" s="40"/>
      <c r="P71" s="40"/>
      <c r="Q71" s="40"/>
      <c r="R71" s="40"/>
      <c r="S71" s="40"/>
      <c r="T71" s="40"/>
      <c r="U71" s="40"/>
      <c r="V71" s="40"/>
      <c r="W71" s="40"/>
      <c r="X71" s="40"/>
    </row>
    <row r="72" spans="1:24">
      <c r="A72" s="40"/>
      <c r="B72" s="40"/>
      <c r="C72" s="40"/>
      <c r="D72" s="40"/>
      <c r="E72" s="40"/>
      <c r="F72" s="40"/>
      <c r="G72" s="40"/>
      <c r="H72" s="40"/>
      <c r="I72" s="40"/>
      <c r="J72" s="40"/>
      <c r="K72" s="40"/>
      <c r="L72" s="40"/>
      <c r="M72" s="40"/>
      <c r="N72" s="40"/>
      <c r="O72" s="40"/>
      <c r="P72" s="40"/>
      <c r="Q72" s="40"/>
      <c r="R72" s="40"/>
      <c r="S72" s="40"/>
      <c r="T72" s="40"/>
      <c r="U72" s="40"/>
      <c r="V72" s="40"/>
      <c r="W72" s="40"/>
      <c r="X72" s="40"/>
    </row>
    <row r="73" spans="1:24">
      <c r="A73" s="40"/>
      <c r="B73" s="40"/>
      <c r="C73" s="40"/>
      <c r="D73" s="40"/>
      <c r="E73" s="40"/>
      <c r="F73" s="40"/>
      <c r="G73" s="40"/>
      <c r="H73" s="40"/>
      <c r="I73" s="40"/>
      <c r="J73" s="40"/>
      <c r="K73" s="40"/>
      <c r="L73" s="40"/>
      <c r="M73" s="40"/>
      <c r="N73" s="40"/>
      <c r="O73" s="40"/>
      <c r="P73" s="40"/>
      <c r="Q73" s="40"/>
      <c r="R73" s="40"/>
      <c r="S73" s="40"/>
      <c r="T73" s="40"/>
      <c r="U73" s="40"/>
      <c r="V73" s="40"/>
      <c r="W73" s="40"/>
      <c r="X73" s="4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
  <sheetViews>
    <sheetView workbookViewId="0"/>
  </sheetViews>
  <sheetFormatPr defaultRowHeight="14.4"/>
  <sheetData>
    <row r="1" spans="1:20">
      <c r="A1" t="s">
        <v>147</v>
      </c>
      <c r="B1" t="s">
        <v>149</v>
      </c>
      <c r="D1" t="s">
        <v>150</v>
      </c>
      <c r="E1" t="s">
        <v>151</v>
      </c>
      <c r="F1" t="s">
        <v>149</v>
      </c>
      <c r="H1" t="s">
        <v>116</v>
      </c>
      <c r="I1" t="s">
        <v>149</v>
      </c>
      <c r="L1" t="s">
        <v>152</v>
      </c>
      <c r="M1" t="s">
        <v>149</v>
      </c>
      <c r="O1" t="s">
        <v>150</v>
      </c>
      <c r="P1" t="s">
        <v>52</v>
      </c>
      <c r="Q1" t="s">
        <v>53</v>
      </c>
      <c r="S1" t="s">
        <v>153</v>
      </c>
      <c r="T1" t="s">
        <v>154</v>
      </c>
    </row>
    <row r="2" spans="1:20">
      <c r="A2" t="s">
        <v>17</v>
      </c>
      <c r="B2">
        <v>16.3</v>
      </c>
      <c r="D2" t="s">
        <v>82</v>
      </c>
      <c r="E2">
        <v>1677</v>
      </c>
      <c r="F2">
        <v>8.8000000000000007</v>
      </c>
      <c r="H2" t="s">
        <v>81</v>
      </c>
      <c r="I2">
        <v>61.7</v>
      </c>
      <c r="L2" t="s">
        <v>10</v>
      </c>
      <c r="M2">
        <v>56.7</v>
      </c>
      <c r="O2" t="s">
        <v>82</v>
      </c>
      <c r="P2">
        <v>196</v>
      </c>
      <c r="Q2">
        <v>1481</v>
      </c>
      <c r="S2" t="s">
        <v>53</v>
      </c>
      <c r="T2">
        <v>91.6</v>
      </c>
    </row>
    <row r="3" spans="1:20">
      <c r="A3" t="s">
        <v>18</v>
      </c>
      <c r="B3">
        <v>10.7</v>
      </c>
      <c r="D3" t="s">
        <v>89</v>
      </c>
      <c r="E3">
        <v>12385</v>
      </c>
      <c r="F3">
        <v>59.5</v>
      </c>
      <c r="H3" t="s">
        <v>101</v>
      </c>
      <c r="I3">
        <v>36</v>
      </c>
      <c r="L3" t="s">
        <v>11</v>
      </c>
      <c r="M3">
        <v>66</v>
      </c>
      <c r="O3" t="s">
        <v>89</v>
      </c>
      <c r="P3">
        <v>387</v>
      </c>
      <c r="Q3">
        <v>11998</v>
      </c>
      <c r="S3" t="s">
        <v>52</v>
      </c>
      <c r="T3">
        <v>8.4</v>
      </c>
    </row>
    <row r="4" spans="1:20">
      <c r="A4" t="s">
        <v>19</v>
      </c>
      <c r="B4">
        <v>7.2</v>
      </c>
      <c r="D4" t="s">
        <v>91</v>
      </c>
      <c r="E4">
        <v>4747</v>
      </c>
      <c r="F4">
        <v>56.5</v>
      </c>
      <c r="H4" t="s">
        <v>96</v>
      </c>
      <c r="I4">
        <v>33.200000000000003</v>
      </c>
      <c r="L4" t="s">
        <v>12</v>
      </c>
      <c r="M4">
        <v>61.4</v>
      </c>
      <c r="O4" t="s">
        <v>91</v>
      </c>
      <c r="P4">
        <v>583</v>
      </c>
      <c r="Q4">
        <v>4164</v>
      </c>
    </row>
    <row r="5" spans="1:20">
      <c r="A5" t="s">
        <v>20</v>
      </c>
      <c r="B5">
        <v>4.9000000000000004</v>
      </c>
      <c r="D5" t="s">
        <v>92</v>
      </c>
      <c r="E5">
        <v>6659</v>
      </c>
      <c r="F5">
        <v>77.400000000000006</v>
      </c>
      <c r="H5" t="s">
        <v>88</v>
      </c>
      <c r="I5">
        <v>58.6</v>
      </c>
      <c r="L5" t="s">
        <v>13</v>
      </c>
      <c r="M5">
        <v>67.7</v>
      </c>
      <c r="O5" t="s">
        <v>92</v>
      </c>
      <c r="P5">
        <v>995</v>
      </c>
      <c r="Q5">
        <v>5664</v>
      </c>
    </row>
    <row r="6" spans="1:20">
      <c r="A6" t="s">
        <v>21</v>
      </c>
      <c r="B6">
        <v>2.2000000000000002</v>
      </c>
      <c r="D6" t="s">
        <v>94</v>
      </c>
      <c r="E6">
        <v>10480</v>
      </c>
      <c r="F6">
        <v>80.599999999999994</v>
      </c>
      <c r="L6" t="s">
        <v>14</v>
      </c>
      <c r="M6">
        <v>65.900000000000006</v>
      </c>
      <c r="O6" t="s">
        <v>94</v>
      </c>
      <c r="P6">
        <v>1495</v>
      </c>
      <c r="Q6">
        <v>8985</v>
      </c>
    </row>
    <row r="7" spans="1:20">
      <c r="A7" t="s">
        <v>22</v>
      </c>
      <c r="B7">
        <v>4.2</v>
      </c>
      <c r="D7" t="s">
        <v>95</v>
      </c>
      <c r="E7">
        <v>15113</v>
      </c>
      <c r="F7">
        <v>116.3</v>
      </c>
      <c r="L7" t="s">
        <v>15</v>
      </c>
      <c r="M7">
        <v>46.7</v>
      </c>
      <c r="O7" t="s">
        <v>95</v>
      </c>
      <c r="P7">
        <v>804</v>
      </c>
      <c r="Q7">
        <v>14309</v>
      </c>
    </row>
    <row r="8" spans="1:20">
      <c r="A8" t="s">
        <v>23</v>
      </c>
      <c r="B8">
        <v>19.600000000000001</v>
      </c>
      <c r="D8" t="s">
        <v>97</v>
      </c>
      <c r="E8">
        <v>7243</v>
      </c>
      <c r="F8">
        <v>42.1</v>
      </c>
      <c r="L8" t="s">
        <v>16</v>
      </c>
      <c r="M8">
        <v>49.5</v>
      </c>
      <c r="O8" t="s">
        <v>97</v>
      </c>
      <c r="P8">
        <v>461</v>
      </c>
      <c r="Q8">
        <v>6782</v>
      </c>
    </row>
    <row r="9" spans="1:20">
      <c r="A9" t="s">
        <v>24</v>
      </c>
      <c r="B9">
        <v>54.4</v>
      </c>
    </row>
    <row r="10" spans="1:20">
      <c r="A10" t="s">
        <v>25</v>
      </c>
      <c r="B10">
        <v>128.30000000000001</v>
      </c>
    </row>
    <row r="11" spans="1:20">
      <c r="A11" t="s">
        <v>26</v>
      </c>
      <c r="B11">
        <v>87.4</v>
      </c>
    </row>
    <row r="12" spans="1:20">
      <c r="A12" t="s">
        <v>27</v>
      </c>
      <c r="B12">
        <v>53.6</v>
      </c>
    </row>
    <row r="13" spans="1:20">
      <c r="A13" t="s">
        <v>28</v>
      </c>
      <c r="B13">
        <v>59.4</v>
      </c>
    </row>
    <row r="14" spans="1:20">
      <c r="A14" t="s">
        <v>29</v>
      </c>
      <c r="B14">
        <v>76.3</v>
      </c>
    </row>
    <row r="15" spans="1:20">
      <c r="A15" t="s">
        <v>30</v>
      </c>
      <c r="B15">
        <v>78.5</v>
      </c>
    </row>
    <row r="16" spans="1:20">
      <c r="A16" t="s">
        <v>31</v>
      </c>
      <c r="B16">
        <v>74.400000000000006</v>
      </c>
    </row>
    <row r="17" spans="1:2">
      <c r="A17" t="s">
        <v>32</v>
      </c>
      <c r="B17">
        <v>78</v>
      </c>
    </row>
    <row r="18" spans="1:2">
      <c r="A18" t="s">
        <v>33</v>
      </c>
      <c r="B18">
        <v>89.3</v>
      </c>
    </row>
    <row r="19" spans="1:2">
      <c r="A19" t="s">
        <v>9</v>
      </c>
      <c r="B19">
        <v>140.19999999999999</v>
      </c>
    </row>
    <row r="20" spans="1:2">
      <c r="A20" t="s">
        <v>34</v>
      </c>
      <c r="B20">
        <v>122.9</v>
      </c>
    </row>
    <row r="21" spans="1:2">
      <c r="A21" t="s">
        <v>35</v>
      </c>
      <c r="B21">
        <v>85.1</v>
      </c>
    </row>
    <row r="22" spans="1:2">
      <c r="A22" t="s">
        <v>36</v>
      </c>
      <c r="B22">
        <v>61.8</v>
      </c>
    </row>
    <row r="23" spans="1:2">
      <c r="A23" t="s">
        <v>37</v>
      </c>
      <c r="B23">
        <v>46.4</v>
      </c>
    </row>
    <row r="24" spans="1:2">
      <c r="A24" t="s">
        <v>38</v>
      </c>
      <c r="B24">
        <v>35.1</v>
      </c>
    </row>
    <row r="25" spans="1:2">
      <c r="A25" t="s">
        <v>39</v>
      </c>
      <c r="B25">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dataset_1</vt:lpstr>
      <vt:lpstr>dataset_2</vt:lpstr>
      <vt:lpstr>Datasheet A</vt:lpstr>
      <vt:lpstr>Dataset_3</vt:lpstr>
      <vt:lpstr>Sheet14</vt:lpstr>
      <vt:lpstr>Datasheet B</vt:lpstr>
      <vt:lpstr>Conditional Logic</vt:lpstr>
      <vt:lpstr>Statistical Analysis</vt:lpstr>
      <vt:lpstr>Sheet6</vt:lpstr>
      <vt:lpstr>Sheet8</vt:lpstr>
      <vt:lpstr>Sheet9</vt:lpstr>
      <vt:lpstr>Sheet10</vt:lpstr>
      <vt:lpstr>Sheet11</vt:lpstr>
      <vt:lpstr>Sheet12</vt:lpstr>
      <vt:lpstr>Dashboard</vt:lpstr>
      <vt:lpstr>ChartData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subhashree mohanty</dc:creator>
  <cp:lastModifiedBy>subhashree mohanty</cp:lastModifiedBy>
  <dcterms:created xsi:type="dcterms:W3CDTF">2026-05-18T17:44:40Z</dcterms:created>
  <dcterms:modified xsi:type="dcterms:W3CDTF">2026-05-24T23:33:38Z</dcterms:modified>
</cp:coreProperties>
</file>